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ТЕСТ\"/>
    </mc:Choice>
  </mc:AlternateContent>
  <xr:revisionPtr revIDLastSave="0" documentId="8_{2DB33726-80AF-4D0C-ADBF-ED1E4B88F87A}" xr6:coauthVersionLast="47" xr6:coauthVersionMax="47" xr10:uidLastSave="{00000000-0000-0000-0000-000000000000}"/>
  <bookViews>
    <workbookView xWindow="-132" yWindow="-132" windowWidth="23304" windowHeight="13944" tabRatio="599" firstSheet="1" activeTab="2" xr2:uid="{00000000-000D-0000-FFFF-FFFF00000000}"/>
  </bookViews>
  <sheets>
    <sheet name="Легенда" sheetId="3" r:id="rId1"/>
    <sheet name="1_квартал" sheetId="1" r:id="rId2"/>
    <sheet name="2_квартал" sheetId="4" r:id="rId3"/>
    <sheet name="3_квартал" sheetId="5" r:id="rId4"/>
    <sheet name="4_квартал" sheetId="6" r:id="rId5"/>
    <sheet name="Потребность" sheetId="2" r:id="rId6"/>
    <sheet name="Расход мешков на площадках" sheetId="10" r:id="rId7"/>
    <sheet name="Кормовит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4" i="4" l="1"/>
  <c r="I43" i="4"/>
  <c r="I34" i="4"/>
  <c r="I29" i="4"/>
  <c r="I19" i="4"/>
  <c r="GH84" i="4"/>
  <c r="GH79" i="4"/>
  <c r="GH69" i="4"/>
  <c r="GH57" i="4"/>
  <c r="GH51" i="4"/>
  <c r="GH44" i="4"/>
  <c r="GH43" i="4"/>
  <c r="GH42" i="4"/>
  <c r="GH34" i="4"/>
  <c r="GH33" i="4"/>
  <c r="GH30" i="4"/>
  <c r="GH29" i="4"/>
  <c r="GH27" i="4"/>
  <c r="GH26" i="4"/>
  <c r="GH25" i="4"/>
  <c r="GH24" i="4"/>
  <c r="GH20" i="4"/>
  <c r="GH19" i="4"/>
  <c r="GH15" i="4"/>
  <c r="GH11" i="4"/>
  <c r="GH10" i="4"/>
  <c r="GH9" i="4"/>
  <c r="GH8" i="4"/>
  <c r="GH91" i="4" s="1"/>
  <c r="GG84" i="4"/>
  <c r="GG69" i="4"/>
  <c r="GG51" i="4"/>
  <c r="GG44" i="4"/>
  <c r="GG43" i="4"/>
  <c r="GG42" i="4"/>
  <c r="GG36" i="4"/>
  <c r="GG34" i="4"/>
  <c r="GG33" i="4"/>
  <c r="GG30" i="4"/>
  <c r="GG29" i="4"/>
  <c r="GG27" i="4"/>
  <c r="GG26" i="4"/>
  <c r="GG25" i="4"/>
  <c r="GG24" i="4"/>
  <c r="GG20" i="4"/>
  <c r="GG19" i="4"/>
  <c r="GG11" i="4"/>
  <c r="GG10" i="4"/>
  <c r="GG9" i="4"/>
  <c r="GG8" i="4"/>
  <c r="GG89" i="4" s="1"/>
  <c r="EE84" i="4"/>
  <c r="ED84" i="4"/>
  <c r="ED78" i="4"/>
  <c r="EE68" i="4"/>
  <c r="ED62" i="4"/>
  <c r="EE51" i="4"/>
  <c r="ED49" i="4"/>
  <c r="EE44" i="4"/>
  <c r="EE43" i="4"/>
  <c r="EE34" i="4"/>
  <c r="ED34" i="4"/>
  <c r="EE30" i="4"/>
  <c r="EE29" i="4"/>
  <c r="EE28" i="4"/>
  <c r="EE26" i="4"/>
  <c r="EE25" i="4"/>
  <c r="EE24" i="4"/>
  <c r="EE23" i="4"/>
  <c r="EE19" i="4"/>
  <c r="ED19" i="4"/>
  <c r="ED15" i="4"/>
  <c r="EE11" i="4"/>
  <c r="EE10" i="4"/>
  <c r="EE9" i="4"/>
  <c r="EE8" i="4"/>
  <c r="ED8" i="4"/>
  <c r="ED92" i="4" s="1"/>
  <c r="I79" i="4"/>
  <c r="I38" i="4"/>
  <c r="I54" i="4"/>
  <c r="I46" i="4"/>
  <c r="I42" i="4"/>
  <c r="I20" i="4"/>
  <c r="GE84" i="4"/>
  <c r="GE78" i="4"/>
  <c r="GE77" i="4"/>
  <c r="GE72" i="4"/>
  <c r="GE71" i="4"/>
  <c r="GE69" i="4"/>
  <c r="GE65" i="4"/>
  <c r="GE64" i="4"/>
  <c r="GE62" i="4"/>
  <c r="GE60" i="4"/>
  <c r="GE57" i="4"/>
  <c r="GE51" i="4"/>
  <c r="GE50" i="4"/>
  <c r="GE48" i="4"/>
  <c r="GE44" i="4"/>
  <c r="GE43" i="4"/>
  <c r="GE42" i="4"/>
  <c r="GE33" i="4"/>
  <c r="GE32" i="4"/>
  <c r="GE29" i="4"/>
  <c r="GE28" i="4"/>
  <c r="GE20" i="4"/>
  <c r="GE19" i="4"/>
  <c r="GE17" i="4"/>
  <c r="GE11" i="4"/>
  <c r="GE10" i="4"/>
  <c r="GE9" i="4"/>
  <c r="GE8" i="4"/>
  <c r="GD84" i="4"/>
  <c r="GD78" i="4"/>
  <c r="GD77" i="4"/>
  <c r="GD72" i="4"/>
  <c r="GD71" i="4"/>
  <c r="GD69" i="4"/>
  <c r="GD64" i="4"/>
  <c r="GD60" i="4"/>
  <c r="GD51" i="4"/>
  <c r="GD50" i="4"/>
  <c r="GD48" i="4"/>
  <c r="GD44" i="4"/>
  <c r="GD43" i="4"/>
  <c r="GD42" i="4"/>
  <c r="GD39" i="4"/>
  <c r="GD38" i="4"/>
  <c r="GD36" i="4"/>
  <c r="GD34" i="4"/>
  <c r="GD32" i="4"/>
  <c r="GD29" i="4"/>
  <c r="GD28" i="4"/>
  <c r="GD20" i="4"/>
  <c r="GD19" i="4"/>
  <c r="GD17" i="4"/>
  <c r="GD11" i="4"/>
  <c r="GD10" i="4"/>
  <c r="GD9" i="4"/>
  <c r="GD8" i="4"/>
  <c r="GF84" i="4"/>
  <c r="GF68" i="4"/>
  <c r="GF57" i="4"/>
  <c r="GF44" i="4"/>
  <c r="GF34" i="4"/>
  <c r="GF30" i="4"/>
  <c r="GF29" i="4"/>
  <c r="GF27" i="4"/>
  <c r="GF26" i="4"/>
  <c r="GF25" i="4"/>
  <c r="GF24" i="4"/>
  <c r="GF22" i="4"/>
  <c r="GF20" i="4"/>
  <c r="GF19" i="4"/>
  <c r="GF17" i="4"/>
  <c r="GF11" i="4"/>
  <c r="GF10" i="4"/>
  <c r="GF9" i="4"/>
  <c r="GF8" i="4"/>
  <c r="GF91" i="4" s="1"/>
  <c r="EC84" i="4"/>
  <c r="EB84" i="4"/>
  <c r="EB79" i="4"/>
  <c r="EC74" i="4"/>
  <c r="EC69" i="4"/>
  <c r="EB69" i="4"/>
  <c r="EB65" i="4"/>
  <c r="EB62" i="4"/>
  <c r="EB54" i="4"/>
  <c r="EC51" i="4"/>
  <c r="EB46" i="4"/>
  <c r="EC44" i="4"/>
  <c r="EC43" i="4"/>
  <c r="EC42" i="4"/>
  <c r="EB38" i="4"/>
  <c r="EC36" i="4"/>
  <c r="EB36" i="4"/>
  <c r="EC34" i="4"/>
  <c r="EB34" i="4"/>
  <c r="EC33" i="4"/>
  <c r="EC29" i="4"/>
  <c r="EC27" i="4"/>
  <c r="EC20" i="4"/>
  <c r="EC19" i="4"/>
  <c r="EB19" i="4"/>
  <c r="EC15" i="4"/>
  <c r="EC11" i="4"/>
  <c r="EB11" i="4"/>
  <c r="EC10" i="4"/>
  <c r="EC9" i="4"/>
  <c r="EC8" i="4"/>
  <c r="EC89" i="4" s="1"/>
  <c r="EB8" i="4"/>
  <c r="EB92" i="4" s="1"/>
  <c r="I77" i="4"/>
  <c r="GO35" i="4"/>
  <c r="GP35" i="4" s="1"/>
  <c r="GQ35" i="4"/>
  <c r="GR35" i="4"/>
  <c r="GS35" i="4"/>
  <c r="GA35" i="4"/>
  <c r="GT35" i="4"/>
  <c r="BJ69" i="1"/>
  <c r="BJ57" i="1"/>
  <c r="BJ60" i="1"/>
  <c r="BJ61" i="1"/>
  <c r="BJ65" i="1"/>
  <c r="BJ66" i="1"/>
  <c r="EA84" i="4"/>
  <c r="EA69" i="4"/>
  <c r="EA57" i="4"/>
  <c r="EA51" i="4"/>
  <c r="EA50" i="4"/>
  <c r="EA44" i="4"/>
  <c r="EA43" i="4"/>
  <c r="EA42" i="4"/>
  <c r="EA34" i="4"/>
  <c r="EA33" i="4"/>
  <c r="EA29" i="4"/>
  <c r="EA28" i="4"/>
  <c r="EA20" i="4"/>
  <c r="EA19" i="4"/>
  <c r="EA15" i="4"/>
  <c r="EA11" i="4"/>
  <c r="EA10" i="4"/>
  <c r="EA9" i="4"/>
  <c r="EA8" i="4"/>
  <c r="EA91" i="4" s="1"/>
  <c r="GS90" i="4"/>
  <c r="GS91" i="4"/>
  <c r="GS92" i="4"/>
  <c r="GS93" i="4"/>
  <c r="GS89" i="4"/>
  <c r="I71" i="4"/>
  <c r="I56" i="4"/>
  <c r="I39" i="4"/>
  <c r="I17" i="4"/>
  <c r="DZ89" i="4"/>
  <c r="DY84" i="4"/>
  <c r="DY78" i="4"/>
  <c r="DY72" i="4"/>
  <c r="DY71" i="4"/>
  <c r="DY69" i="4"/>
  <c r="DY64" i="4"/>
  <c r="DY56" i="4"/>
  <c r="DY51" i="4"/>
  <c r="DY50" i="4"/>
  <c r="DY44" i="4"/>
  <c r="DY43" i="4"/>
  <c r="DY42" i="4"/>
  <c r="DZ39" i="4"/>
  <c r="DY39" i="4"/>
  <c r="DY36" i="4"/>
  <c r="DZ34" i="4"/>
  <c r="DY34" i="4"/>
  <c r="DY29" i="4"/>
  <c r="DY28" i="4"/>
  <c r="DY20" i="4"/>
  <c r="DY19" i="4"/>
  <c r="DY17" i="4"/>
  <c r="DY15" i="4"/>
  <c r="DY11" i="4"/>
  <c r="DY10" i="4"/>
  <c r="DY9" i="4"/>
  <c r="DY8" i="4"/>
  <c r="DY90" i="4" s="1"/>
  <c r="GH85" i="4" l="1"/>
  <c r="GG85" i="4"/>
  <c r="EE85" i="4"/>
  <c r="ED85" i="4"/>
  <c r="EE92" i="4"/>
  <c r="GF85" i="4"/>
  <c r="EB85" i="4"/>
  <c r="EC85" i="4"/>
  <c r="EA85" i="4"/>
  <c r="DZ85" i="4"/>
  <c r="DY85" i="4"/>
  <c r="DX15" i="4" l="1"/>
  <c r="DX84" i="4"/>
  <c r="DW84" i="4"/>
  <c r="DX74" i="4"/>
  <c r="DX69" i="4"/>
  <c r="DW69" i="4"/>
  <c r="DW57" i="4"/>
  <c r="DX51" i="4"/>
  <c r="DW51" i="4"/>
  <c r="DX44" i="4"/>
  <c r="DW44" i="4"/>
  <c r="DX43" i="4"/>
  <c r="DW43" i="4"/>
  <c r="DX42" i="4"/>
  <c r="DW42" i="4"/>
  <c r="DX36" i="4"/>
  <c r="GA36" i="4" s="1"/>
  <c r="DX34" i="4"/>
  <c r="DW34" i="4"/>
  <c r="DX33" i="4"/>
  <c r="DW33" i="4"/>
  <c r="DX29" i="4"/>
  <c r="DW29" i="4"/>
  <c r="DX28" i="4"/>
  <c r="DW28" i="4"/>
  <c r="DX20" i="4"/>
  <c r="DW20" i="4"/>
  <c r="DX19" i="4"/>
  <c r="DW19" i="4"/>
  <c r="DX11" i="4"/>
  <c r="DW11" i="4"/>
  <c r="DX10" i="4"/>
  <c r="DW10" i="4"/>
  <c r="DX9" i="4"/>
  <c r="DW9" i="4"/>
  <c r="DX8" i="4"/>
  <c r="DX89" i="4" s="1"/>
  <c r="DW8" i="4"/>
  <c r="GS12" i="4"/>
  <c r="GS13" i="4"/>
  <c r="GS14" i="4"/>
  <c r="GS15" i="4"/>
  <c r="GS16" i="4"/>
  <c r="GS19" i="4"/>
  <c r="GS20" i="4"/>
  <c r="GS21" i="4"/>
  <c r="GS23" i="4"/>
  <c r="GS25" i="4"/>
  <c r="GS26" i="4"/>
  <c r="GS27" i="4"/>
  <c r="GS28" i="4"/>
  <c r="GS29" i="4"/>
  <c r="GS30" i="4"/>
  <c r="GS31" i="4"/>
  <c r="GS32" i="4"/>
  <c r="GS33" i="4"/>
  <c r="GS34" i="4"/>
  <c r="GS36" i="4"/>
  <c r="GS40" i="4"/>
  <c r="GS41" i="4"/>
  <c r="GS42" i="4"/>
  <c r="GS45" i="4"/>
  <c r="GS47" i="4"/>
  <c r="GS49" i="4"/>
  <c r="GS51" i="4"/>
  <c r="GS52" i="4"/>
  <c r="GS53" i="4"/>
  <c r="GS54" i="4"/>
  <c r="GS55" i="4"/>
  <c r="GS58" i="4"/>
  <c r="GS63" i="4"/>
  <c r="GS65" i="4"/>
  <c r="GS66" i="4"/>
  <c r="GS71" i="4"/>
  <c r="GS73" i="4"/>
  <c r="GS74" i="4"/>
  <c r="GS75" i="4"/>
  <c r="GS76" i="4"/>
  <c r="GS78" i="4"/>
  <c r="GS79" i="4"/>
  <c r="GS80" i="4"/>
  <c r="GS81" i="4"/>
  <c r="GS82" i="4"/>
  <c r="GD90" i="4"/>
  <c r="H92" i="4"/>
  <c r="H91" i="4"/>
  <c r="H90" i="4"/>
  <c r="E77" i="4"/>
  <c r="GS77" i="4" s="1"/>
  <c r="E72" i="4"/>
  <c r="GS72" i="4" s="1"/>
  <c r="E70" i="4"/>
  <c r="GS70" i="4" s="1"/>
  <c r="E69" i="4"/>
  <c r="GS69" i="4" s="1"/>
  <c r="E68" i="4"/>
  <c r="GS68" i="4" s="1"/>
  <c r="E67" i="4"/>
  <c r="GS67" i="4" s="1"/>
  <c r="E64" i="4"/>
  <c r="GS64" i="4" s="1"/>
  <c r="E62" i="4"/>
  <c r="GS62" i="4" s="1"/>
  <c r="E61" i="4"/>
  <c r="GS61" i="4" s="1"/>
  <c r="E60" i="4"/>
  <c r="GS60" i="4" s="1"/>
  <c r="E57" i="4"/>
  <c r="GS57" i="4" s="1"/>
  <c r="E56" i="4"/>
  <c r="GS56" i="4" s="1"/>
  <c r="E50" i="4"/>
  <c r="GS50" i="4" s="1"/>
  <c r="E48" i="4"/>
  <c r="GS48" i="4" s="1"/>
  <c r="E46" i="4"/>
  <c r="GS46" i="4" s="1"/>
  <c r="E44" i="4"/>
  <c r="GS44" i="4" s="1"/>
  <c r="E43" i="4"/>
  <c r="GS43" i="4" s="1"/>
  <c r="E39" i="4"/>
  <c r="GS39" i="4" s="1"/>
  <c r="E38" i="4"/>
  <c r="GS38" i="4" s="1"/>
  <c r="E24" i="4"/>
  <c r="GS24" i="4" s="1"/>
  <c r="E22" i="4"/>
  <c r="GS22" i="4" s="1"/>
  <c r="E17" i="4"/>
  <c r="GS17" i="4" s="1"/>
  <c r="E11" i="4"/>
  <c r="GS11" i="4" s="1"/>
  <c r="E10" i="4"/>
  <c r="GS10" i="4" s="1"/>
  <c r="E9" i="4"/>
  <c r="GS9" i="4" s="1"/>
  <c r="E105" i="4"/>
  <c r="GS83" i="4" l="1"/>
  <c r="E18" i="4"/>
  <c r="DW85" i="4"/>
  <c r="DW91" i="4"/>
  <c r="DX85" i="4"/>
  <c r="GA77" i="4"/>
  <c r="GA78" i="4"/>
  <c r="GA74" i="4"/>
  <c r="H79" i="4"/>
  <c r="H71" i="4"/>
  <c r="H67" i="4"/>
  <c r="H56" i="4"/>
  <c r="H53" i="4"/>
  <c r="H48" i="4"/>
  <c r="H46" i="4"/>
  <c r="H44" i="4"/>
  <c r="H43" i="4"/>
  <c r="H42" i="4"/>
  <c r="H39" i="4"/>
  <c r="H38" i="4"/>
  <c r="H34" i="4"/>
  <c r="H29" i="4"/>
  <c r="H25" i="4"/>
  <c r="H23" i="4"/>
  <c r="H20" i="4"/>
  <c r="H17" i="4"/>
  <c r="H18" i="4" s="1"/>
  <c r="GE93" i="4"/>
  <c r="DT84" i="4"/>
  <c r="DT78" i="4"/>
  <c r="DT74" i="4"/>
  <c r="DT72" i="4"/>
  <c r="DT69" i="4"/>
  <c r="DT62" i="4"/>
  <c r="DT57" i="4"/>
  <c r="DT56" i="4"/>
  <c r="DT51" i="4"/>
  <c r="DT50" i="4"/>
  <c r="DT44" i="4"/>
  <c r="DT34" i="4"/>
  <c r="DT33" i="4"/>
  <c r="DT30" i="4"/>
  <c r="DT29" i="4"/>
  <c r="DT28" i="4"/>
  <c r="DT26" i="4"/>
  <c r="DT25" i="4"/>
  <c r="DT24" i="4"/>
  <c r="DT20" i="4"/>
  <c r="DT17" i="4"/>
  <c r="DT11" i="4"/>
  <c r="DT10" i="4"/>
  <c r="DT9" i="4"/>
  <c r="DT8" i="4"/>
  <c r="DT91" i="4" s="1"/>
  <c r="DF93" i="4"/>
  <c r="GE85" i="4" l="1"/>
  <c r="DT85" i="4"/>
  <c r="GD85" i="4"/>
  <c r="DS84" i="4"/>
  <c r="DR84" i="4"/>
  <c r="DQ84" i="4"/>
  <c r="DP84" i="4"/>
  <c r="DO84" i="4"/>
  <c r="DN84" i="4"/>
  <c r="DP78" i="4"/>
  <c r="DN78" i="4"/>
  <c r="DO74" i="4"/>
  <c r="DN74" i="4"/>
  <c r="DS72" i="4"/>
  <c r="DP72" i="4"/>
  <c r="DO72" i="4"/>
  <c r="DP71" i="4"/>
  <c r="DO71" i="4"/>
  <c r="DR69" i="4"/>
  <c r="DQ69" i="4"/>
  <c r="DP69" i="4"/>
  <c r="DO69" i="4"/>
  <c r="DS64" i="4"/>
  <c r="DP64" i="4"/>
  <c r="DO64" i="4"/>
  <c r="DN62" i="4"/>
  <c r="DQ57" i="4"/>
  <c r="DP56" i="4"/>
  <c r="DR54" i="4"/>
  <c r="DS51" i="4"/>
  <c r="DR51" i="4"/>
  <c r="DQ51" i="4"/>
  <c r="DP51" i="4"/>
  <c r="DO51" i="4"/>
  <c r="DP50" i="4"/>
  <c r="DN49" i="4"/>
  <c r="DO46" i="4"/>
  <c r="DR44" i="4"/>
  <c r="DQ44" i="4"/>
  <c r="DP44" i="4"/>
  <c r="DO44" i="4"/>
  <c r="DR43" i="4"/>
  <c r="DQ43" i="4"/>
  <c r="DP43" i="4"/>
  <c r="DR42" i="4"/>
  <c r="DQ42" i="4"/>
  <c r="DP42" i="4"/>
  <c r="DS39" i="4"/>
  <c r="DP39" i="4"/>
  <c r="DR36" i="4"/>
  <c r="DP36" i="4"/>
  <c r="DS34" i="4"/>
  <c r="DR34" i="4"/>
  <c r="DQ34" i="4"/>
  <c r="DP34" i="4"/>
  <c r="DO34" i="4"/>
  <c r="DN34" i="4"/>
  <c r="DR33" i="4"/>
  <c r="DQ33" i="4"/>
  <c r="DR30" i="4"/>
  <c r="DQ30" i="4"/>
  <c r="DO30" i="4"/>
  <c r="DR29" i="4"/>
  <c r="DQ29" i="4"/>
  <c r="DP29" i="4"/>
  <c r="DO29" i="4"/>
  <c r="DR28" i="4"/>
  <c r="DQ28" i="4"/>
  <c r="DP28" i="4"/>
  <c r="DR26" i="4"/>
  <c r="DQ26" i="4"/>
  <c r="DO26" i="4"/>
  <c r="DR25" i="4"/>
  <c r="DQ25" i="4"/>
  <c r="DO25" i="4"/>
  <c r="DR24" i="4"/>
  <c r="DQ24" i="4"/>
  <c r="DS20" i="4"/>
  <c r="DR20" i="4"/>
  <c r="DQ20" i="4"/>
  <c r="DP20" i="4"/>
  <c r="DO20" i="4"/>
  <c r="DR19" i="4"/>
  <c r="DQ19" i="4"/>
  <c r="DP19" i="4"/>
  <c r="DN19" i="4"/>
  <c r="DP17" i="4"/>
  <c r="DP15" i="4"/>
  <c r="DN15" i="4"/>
  <c r="DS11" i="4"/>
  <c r="DR11" i="4"/>
  <c r="DQ11" i="4"/>
  <c r="DP11" i="4"/>
  <c r="DO11" i="4"/>
  <c r="DR10" i="4"/>
  <c r="DQ10" i="4"/>
  <c r="DP10" i="4"/>
  <c r="DO10" i="4"/>
  <c r="DR9" i="4"/>
  <c r="DQ9" i="4"/>
  <c r="DP9" i="4"/>
  <c r="DO9" i="4"/>
  <c r="DS8" i="4"/>
  <c r="DR8" i="4"/>
  <c r="DR90" i="4" s="1"/>
  <c r="DQ8" i="4"/>
  <c r="DQ93" i="4" s="1"/>
  <c r="DP8" i="4"/>
  <c r="DP90" i="4" s="1"/>
  <c r="DO8" i="4"/>
  <c r="DN8" i="4"/>
  <c r="DN92" i="4" s="1"/>
  <c r="I48" i="4"/>
  <c r="I37" i="4"/>
  <c r="DL92" i="4"/>
  <c r="DM84" i="4"/>
  <c r="DM78" i="4"/>
  <c r="DM72" i="4"/>
  <c r="DM71" i="4"/>
  <c r="DM69" i="4"/>
  <c r="DL68" i="4"/>
  <c r="DL85" i="4" s="1"/>
  <c r="DM65" i="4"/>
  <c r="DM64" i="4"/>
  <c r="DM62" i="4"/>
  <c r="DM57" i="4"/>
  <c r="DM56" i="4"/>
  <c r="DM51" i="4"/>
  <c r="DM50" i="4"/>
  <c r="DM48" i="4"/>
  <c r="DM44" i="4"/>
  <c r="DM43" i="4"/>
  <c r="DM42" i="4"/>
  <c r="DM39" i="4"/>
  <c r="DM34" i="4"/>
  <c r="DM29" i="4"/>
  <c r="DM27" i="4"/>
  <c r="DM26" i="4"/>
  <c r="DM25" i="4"/>
  <c r="DM24" i="4"/>
  <c r="DM20" i="4"/>
  <c r="DM17" i="4"/>
  <c r="DM15" i="4"/>
  <c r="DM11" i="4"/>
  <c r="DM10" i="4"/>
  <c r="DM9" i="4"/>
  <c r="DM8" i="4"/>
  <c r="DM93" i="4" s="1"/>
  <c r="DJ92" i="4"/>
  <c r="DJ85" i="4"/>
  <c r="DK84" i="4"/>
  <c r="DK78" i="4"/>
  <c r="DK72" i="4"/>
  <c r="DK71" i="4"/>
  <c r="DK69" i="4"/>
  <c r="DK65" i="4"/>
  <c r="DK64" i="4"/>
  <c r="DK62" i="4"/>
  <c r="DK57" i="4"/>
  <c r="DK56" i="4"/>
  <c r="DK51" i="4"/>
  <c r="DK50" i="4"/>
  <c r="DK48" i="4"/>
  <c r="DK44" i="4"/>
  <c r="DK43" i="4"/>
  <c r="DK42" i="4"/>
  <c r="DK39" i="4"/>
  <c r="DK34" i="4"/>
  <c r="DK29" i="4"/>
  <c r="DK27" i="4"/>
  <c r="DK26" i="4"/>
  <c r="DK25" i="4"/>
  <c r="DK24" i="4"/>
  <c r="DK20" i="4"/>
  <c r="DK17" i="4"/>
  <c r="DK14" i="4"/>
  <c r="DK11" i="4"/>
  <c r="DK10" i="4"/>
  <c r="DK9" i="4"/>
  <c r="DK8" i="4"/>
  <c r="DK93" i="4" s="1"/>
  <c r="DU75" i="4"/>
  <c r="DU76" i="4"/>
  <c r="DU77" i="4"/>
  <c r="DO85" i="4" l="1"/>
  <c r="DO92" i="4"/>
  <c r="DS85" i="4"/>
  <c r="DQ85" i="4"/>
  <c r="DP85" i="4"/>
  <c r="DS92" i="4"/>
  <c r="DN85" i="4"/>
  <c r="DR85" i="4"/>
  <c r="DM85" i="4"/>
  <c r="DK85" i="4"/>
  <c r="DI92" i="4" l="1"/>
  <c r="DG91" i="4"/>
  <c r="DH90" i="4"/>
  <c r="DI85" i="4"/>
  <c r="DH85" i="4"/>
  <c r="DG70" i="4"/>
  <c r="DG85" i="4" s="1"/>
  <c r="I67" i="4"/>
  <c r="DE91" i="4"/>
  <c r="DF84" i="4"/>
  <c r="DE84" i="4"/>
  <c r="DE78" i="4"/>
  <c r="DE74" i="4"/>
  <c r="DE72" i="4"/>
  <c r="DE69" i="4"/>
  <c r="DF68" i="4"/>
  <c r="DF67" i="4"/>
  <c r="DE62" i="4"/>
  <c r="DF60" i="4"/>
  <c r="DE57" i="4"/>
  <c r="DF56" i="4"/>
  <c r="DE56" i="4"/>
  <c r="DF51" i="4"/>
  <c r="DE51" i="4"/>
  <c r="DE50" i="4"/>
  <c r="DF44" i="4"/>
  <c r="DE44" i="4"/>
  <c r="DF43" i="4"/>
  <c r="DF42" i="4"/>
  <c r="DF39" i="4"/>
  <c r="DF34" i="4"/>
  <c r="DE34" i="4"/>
  <c r="DE33" i="4"/>
  <c r="DE30" i="4"/>
  <c r="DF29" i="4"/>
  <c r="DE29" i="4"/>
  <c r="DE28" i="4"/>
  <c r="DF27" i="4"/>
  <c r="DE26" i="4"/>
  <c r="DE25" i="4"/>
  <c r="DE24" i="4"/>
  <c r="DF22" i="4"/>
  <c r="DE20" i="4"/>
  <c r="DF19" i="4"/>
  <c r="DE17" i="4"/>
  <c r="DF11" i="4"/>
  <c r="DE11" i="4"/>
  <c r="DF10" i="4"/>
  <c r="DE10" i="4"/>
  <c r="DF9" i="4"/>
  <c r="DE9" i="4"/>
  <c r="DC93" i="4"/>
  <c r="DD91" i="4"/>
  <c r="DD84" i="4"/>
  <c r="DD78" i="4"/>
  <c r="DC78" i="4"/>
  <c r="DD74" i="4"/>
  <c r="DD72" i="4"/>
  <c r="DC72" i="4"/>
  <c r="DC71" i="4"/>
  <c r="DD69" i="4"/>
  <c r="DC69" i="4"/>
  <c r="DC65" i="4"/>
  <c r="DC64" i="4"/>
  <c r="DD62" i="4"/>
  <c r="DC62" i="4"/>
  <c r="DD57" i="4"/>
  <c r="DC57" i="4"/>
  <c r="DD56" i="4"/>
  <c r="DC56" i="4"/>
  <c r="DD51" i="4"/>
  <c r="DC51" i="4"/>
  <c r="DD50" i="4"/>
  <c r="DC50" i="4"/>
  <c r="DC48" i="4"/>
  <c r="DD44" i="4"/>
  <c r="DC44" i="4"/>
  <c r="DC43" i="4"/>
  <c r="DC42" i="4"/>
  <c r="DC39" i="4"/>
  <c r="DD34" i="4"/>
  <c r="DD33" i="4"/>
  <c r="DC33" i="4"/>
  <c r="DC32" i="4"/>
  <c r="DD30" i="4"/>
  <c r="DD29" i="4"/>
  <c r="DC29" i="4"/>
  <c r="DD28" i="4"/>
  <c r="DC27" i="4"/>
  <c r="DD26" i="4"/>
  <c r="DD25" i="4"/>
  <c r="DD24" i="4"/>
  <c r="DD20" i="4"/>
  <c r="DC20" i="4"/>
  <c r="DC19" i="4"/>
  <c r="DD17" i="4"/>
  <c r="DC17" i="4"/>
  <c r="DD11" i="4"/>
  <c r="DC11" i="4"/>
  <c r="DD10" i="4"/>
  <c r="DC10" i="4"/>
  <c r="DD9" i="4"/>
  <c r="DC9" i="4"/>
  <c r="DB91" i="4"/>
  <c r="DA90" i="4"/>
  <c r="DA78" i="4"/>
  <c r="CZ69" i="4"/>
  <c r="DB68" i="4"/>
  <c r="DB57" i="4"/>
  <c r="CZ51" i="4"/>
  <c r="DB44" i="4"/>
  <c r="CZ44" i="4"/>
  <c r="CZ43" i="4"/>
  <c r="DA42" i="4"/>
  <c r="CZ42" i="4"/>
  <c r="CZ36" i="4"/>
  <c r="DB34" i="4"/>
  <c r="DA34" i="4"/>
  <c r="CZ34" i="4"/>
  <c r="DA33" i="4"/>
  <c r="CZ33" i="4"/>
  <c r="DB30" i="4"/>
  <c r="CZ29" i="4"/>
  <c r="DB27" i="4"/>
  <c r="CZ27" i="4"/>
  <c r="DB26" i="4"/>
  <c r="DB25" i="4"/>
  <c r="DB24" i="4"/>
  <c r="DB22" i="4"/>
  <c r="DB20" i="4"/>
  <c r="CZ20" i="4"/>
  <c r="DB19" i="4"/>
  <c r="DA19" i="4"/>
  <c r="CZ19" i="4"/>
  <c r="CZ11" i="4"/>
  <c r="CZ10" i="4"/>
  <c r="DA9" i="4"/>
  <c r="CZ9" i="4"/>
  <c r="CZ8" i="4"/>
  <c r="CZ89" i="4" s="1"/>
  <c r="DE85" i="4" l="1"/>
  <c r="DF85" i="4"/>
  <c r="DC85" i="4"/>
  <c r="DD85" i="4"/>
  <c r="DA85" i="4"/>
  <c r="CZ85" i="4"/>
  <c r="DB85" i="4"/>
  <c r="CX92" i="4" l="1"/>
  <c r="CV91" i="4"/>
  <c r="CY89" i="4"/>
  <c r="CY84" i="4"/>
  <c r="CX84" i="4"/>
  <c r="CX78" i="4"/>
  <c r="CV78" i="4"/>
  <c r="CX74" i="4"/>
  <c r="CY69" i="4"/>
  <c r="CW69" i="4"/>
  <c r="CV69" i="4"/>
  <c r="CX62" i="4"/>
  <c r="CV57" i="4"/>
  <c r="CY51" i="4"/>
  <c r="CW51" i="4"/>
  <c r="CV51" i="4"/>
  <c r="CX49" i="4"/>
  <c r="CY44" i="4"/>
  <c r="CW44" i="4"/>
  <c r="CV44" i="4"/>
  <c r="CY43" i="4"/>
  <c r="CW43" i="4"/>
  <c r="CV43" i="4"/>
  <c r="CY42" i="4"/>
  <c r="CW42" i="4"/>
  <c r="CV42" i="4"/>
  <c r="CW38" i="4"/>
  <c r="CY36" i="4"/>
  <c r="CW36" i="4"/>
  <c r="CY34" i="4"/>
  <c r="CX34" i="4"/>
  <c r="CW34" i="4"/>
  <c r="CY33" i="4"/>
  <c r="CW33" i="4"/>
  <c r="CV33" i="4"/>
  <c r="CW30" i="4"/>
  <c r="CY29" i="4"/>
  <c r="CW29" i="4"/>
  <c r="CV29" i="4"/>
  <c r="CY27" i="4"/>
  <c r="CW27" i="4"/>
  <c r="CV27" i="4"/>
  <c r="CW26" i="4"/>
  <c r="CW25" i="4"/>
  <c r="CW24" i="4"/>
  <c r="CY20" i="4"/>
  <c r="CV20" i="4"/>
  <c r="CY19" i="4"/>
  <c r="CX19" i="4"/>
  <c r="CW19" i="4"/>
  <c r="CV19" i="4"/>
  <c r="CX15" i="4"/>
  <c r="CY11" i="4"/>
  <c r="CW11" i="4"/>
  <c r="CV11" i="4"/>
  <c r="CY10" i="4"/>
  <c r="CW10" i="4"/>
  <c r="CV10" i="4"/>
  <c r="CY9" i="4"/>
  <c r="CW9" i="4"/>
  <c r="CV9" i="4"/>
  <c r="CW8" i="4"/>
  <c r="CW92" i="4" s="1"/>
  <c r="CU92" i="4"/>
  <c r="CT84" i="4"/>
  <c r="CT79" i="4"/>
  <c r="CU69" i="4"/>
  <c r="CT61" i="4"/>
  <c r="CT56" i="4"/>
  <c r="CU51" i="4"/>
  <c r="CT48" i="4"/>
  <c r="CU44" i="4"/>
  <c r="CU43" i="4"/>
  <c r="CU42" i="4"/>
  <c r="CT39" i="4"/>
  <c r="CU38" i="4"/>
  <c r="CU36" i="4"/>
  <c r="CU34" i="4"/>
  <c r="CU33" i="4"/>
  <c r="CU30" i="4"/>
  <c r="CU29" i="4"/>
  <c r="CU27" i="4"/>
  <c r="CU26" i="4"/>
  <c r="CU25" i="4"/>
  <c r="CU24" i="4"/>
  <c r="CU19" i="4"/>
  <c r="CU11" i="4"/>
  <c r="CT11" i="4"/>
  <c r="CU10" i="4"/>
  <c r="CU9" i="4"/>
  <c r="CT8" i="4"/>
  <c r="CT93" i="4" s="1"/>
  <c r="CR92" i="4"/>
  <c r="CS91" i="4"/>
  <c r="CS84" i="4"/>
  <c r="CS69" i="4"/>
  <c r="CS57" i="4"/>
  <c r="CS56" i="4"/>
  <c r="CS50" i="4"/>
  <c r="CS44" i="4"/>
  <c r="CS42" i="4"/>
  <c r="CS34" i="4"/>
  <c r="CS30" i="4"/>
  <c r="CS26" i="4"/>
  <c r="CR26" i="4"/>
  <c r="CS25" i="4"/>
  <c r="CR25" i="4"/>
  <c r="CS20" i="4"/>
  <c r="CS16" i="4"/>
  <c r="CS11" i="4"/>
  <c r="CR11" i="4"/>
  <c r="CS10" i="4"/>
  <c r="CS9" i="4"/>
  <c r="CQ89" i="4"/>
  <c r="CQ84" i="4"/>
  <c r="CQ74" i="4"/>
  <c r="CQ69" i="4"/>
  <c r="CQ51" i="4"/>
  <c r="CQ44" i="4"/>
  <c r="CQ43" i="4"/>
  <c r="CQ42" i="4"/>
  <c r="CQ36" i="4"/>
  <c r="CQ34" i="4"/>
  <c r="CQ33" i="4"/>
  <c r="CQ29" i="4"/>
  <c r="CQ27" i="4"/>
  <c r="CQ20" i="4"/>
  <c r="CQ19" i="4"/>
  <c r="CQ14" i="4"/>
  <c r="CQ11" i="4"/>
  <c r="CQ10" i="4"/>
  <c r="CQ9" i="4"/>
  <c r="CP84" i="4"/>
  <c r="CO84" i="4"/>
  <c r="CO78" i="4"/>
  <c r="CO72" i="4"/>
  <c r="CO71" i="4"/>
  <c r="CP69" i="4"/>
  <c r="CO69" i="4"/>
  <c r="CO65" i="4"/>
  <c r="CO64" i="4"/>
  <c r="CO62" i="4"/>
  <c r="CO57" i="4"/>
  <c r="CO56" i="4"/>
  <c r="CP51" i="4"/>
  <c r="CO51" i="4"/>
  <c r="CO50" i="4"/>
  <c r="CO48" i="4"/>
  <c r="CP44" i="4"/>
  <c r="CO44" i="4"/>
  <c r="CP43" i="4"/>
  <c r="CO43" i="4"/>
  <c r="CP42" i="4"/>
  <c r="CO42" i="4"/>
  <c r="CO39" i="4"/>
  <c r="CP36" i="4"/>
  <c r="CP34" i="4"/>
  <c r="CO34" i="4"/>
  <c r="CP33" i="4"/>
  <c r="CP30" i="4"/>
  <c r="CP29" i="4"/>
  <c r="CO29" i="4"/>
  <c r="CP27" i="4"/>
  <c r="CO27" i="4"/>
  <c r="CP26" i="4"/>
  <c r="CO26" i="4"/>
  <c r="CP25" i="4"/>
  <c r="CO25" i="4"/>
  <c r="CP24" i="4"/>
  <c r="CO24" i="4"/>
  <c r="CP20" i="4"/>
  <c r="CO20" i="4"/>
  <c r="CP19" i="4"/>
  <c r="CO17" i="4"/>
  <c r="CO14" i="4"/>
  <c r="CP11" i="4"/>
  <c r="CO11" i="4"/>
  <c r="CP10" i="4"/>
  <c r="CO10" i="4"/>
  <c r="CP9" i="4"/>
  <c r="CO9" i="4"/>
  <c r="CP8" i="4"/>
  <c r="CP89" i="4" s="1"/>
  <c r="CO8" i="4"/>
  <c r="CO93" i="4" s="1"/>
  <c r="CN92" i="4"/>
  <c r="CN85" i="4"/>
  <c r="CX85" i="4" l="1"/>
  <c r="CV85" i="4"/>
  <c r="CY85" i="4"/>
  <c r="CW85" i="4"/>
  <c r="CT85" i="4"/>
  <c r="CU85" i="4"/>
  <c r="CR85" i="4"/>
  <c r="CS85" i="4"/>
  <c r="CQ85" i="4"/>
  <c r="CO85" i="4"/>
  <c r="CP85" i="4"/>
  <c r="CM84" i="4"/>
  <c r="CL84" i="4"/>
  <c r="CM69" i="4"/>
  <c r="CL69" i="4"/>
  <c r="CM57" i="4"/>
  <c r="CM54" i="4"/>
  <c r="CL54" i="4"/>
  <c r="CM51" i="4"/>
  <c r="CL51" i="4"/>
  <c r="CM44" i="4"/>
  <c r="CL44" i="4"/>
  <c r="CM43" i="4"/>
  <c r="CL43" i="4"/>
  <c r="CM42" i="4"/>
  <c r="CL42" i="4"/>
  <c r="CL36" i="4"/>
  <c r="CM34" i="4"/>
  <c r="CL34" i="4"/>
  <c r="CM33" i="4"/>
  <c r="CL33" i="4"/>
  <c r="CM30" i="4"/>
  <c r="CL30" i="4"/>
  <c r="CM29" i="4"/>
  <c r="CL29" i="4"/>
  <c r="CM27" i="4"/>
  <c r="CL27" i="4"/>
  <c r="CM26" i="4"/>
  <c r="CL26" i="4"/>
  <c r="CM25" i="4"/>
  <c r="CL25" i="4"/>
  <c r="CM24" i="4"/>
  <c r="CL24" i="4"/>
  <c r="CM20" i="4"/>
  <c r="CL20" i="4"/>
  <c r="CM19" i="4"/>
  <c r="CL19" i="4"/>
  <c r="CM14" i="4"/>
  <c r="CM11" i="4"/>
  <c r="CL11" i="4"/>
  <c r="CM10" i="4"/>
  <c r="CL10" i="4"/>
  <c r="CM9" i="4"/>
  <c r="CL9" i="4"/>
  <c r="CM8" i="4"/>
  <c r="CM91" i="4" s="1"/>
  <c r="CL8" i="4"/>
  <c r="I53" i="4"/>
  <c r="I59" i="4" s="1"/>
  <c r="CH89" i="4"/>
  <c r="CH85" i="4"/>
  <c r="CK84" i="4"/>
  <c r="CJ84" i="4"/>
  <c r="CI84" i="4"/>
  <c r="CJ74" i="4"/>
  <c r="CK69" i="4"/>
  <c r="CJ69" i="4"/>
  <c r="CI69" i="4"/>
  <c r="CK57" i="4"/>
  <c r="CK51" i="4"/>
  <c r="CJ51" i="4"/>
  <c r="CI51" i="4"/>
  <c r="CK50" i="4"/>
  <c r="CK44" i="4"/>
  <c r="CJ44" i="4"/>
  <c r="CI44" i="4"/>
  <c r="CK43" i="4"/>
  <c r="CJ43" i="4"/>
  <c r="CI43" i="4"/>
  <c r="CK42" i="4"/>
  <c r="CJ42" i="4"/>
  <c r="CI42" i="4"/>
  <c r="CI38" i="4"/>
  <c r="CJ36" i="4"/>
  <c r="CI36" i="4"/>
  <c r="CK34" i="4"/>
  <c r="CJ34" i="4"/>
  <c r="CI34" i="4"/>
  <c r="CK33" i="4"/>
  <c r="CJ33" i="4"/>
  <c r="CI33" i="4"/>
  <c r="CI30" i="4"/>
  <c r="CK29" i="4"/>
  <c r="CJ29" i="4"/>
  <c r="CI29" i="4"/>
  <c r="CK27" i="4"/>
  <c r="CJ27" i="4"/>
  <c r="CI27" i="4"/>
  <c r="CI26" i="4"/>
  <c r="CI25" i="4"/>
  <c r="CI24" i="4"/>
  <c r="CK20" i="4"/>
  <c r="CJ20" i="4"/>
  <c r="CK19" i="4"/>
  <c r="CJ19" i="4"/>
  <c r="CI19" i="4"/>
  <c r="CK16" i="4"/>
  <c r="CJ14" i="4"/>
  <c r="CK11" i="4"/>
  <c r="CJ11" i="4"/>
  <c r="CI11" i="4"/>
  <c r="CK10" i="4"/>
  <c r="CJ10" i="4"/>
  <c r="CI10" i="4"/>
  <c r="CK9" i="4"/>
  <c r="CJ9" i="4"/>
  <c r="CI9" i="4"/>
  <c r="CK8" i="4"/>
  <c r="CK91" i="4" s="1"/>
  <c r="CJ8" i="4"/>
  <c r="CI8" i="4"/>
  <c r="CG84" i="4"/>
  <c r="CF84" i="4"/>
  <c r="CG74" i="4"/>
  <c r="CG69" i="4"/>
  <c r="CF69" i="4"/>
  <c r="CG57" i="4"/>
  <c r="CF57" i="4"/>
  <c r="CG51" i="4"/>
  <c r="CF51" i="4"/>
  <c r="CG44" i="4"/>
  <c r="CF44" i="4"/>
  <c r="CG43" i="4"/>
  <c r="CF43" i="4"/>
  <c r="CG42" i="4"/>
  <c r="CF42" i="4"/>
  <c r="CG34" i="4"/>
  <c r="CF34" i="4"/>
  <c r="CG33" i="4"/>
  <c r="CF33" i="4"/>
  <c r="CG30" i="4"/>
  <c r="CF30" i="4"/>
  <c r="CG29" i="4"/>
  <c r="CF29" i="4"/>
  <c r="CG27" i="4"/>
  <c r="CF27" i="4"/>
  <c r="CG26" i="4"/>
  <c r="CF26" i="4"/>
  <c r="CG25" i="4"/>
  <c r="CF25" i="4"/>
  <c r="CG24" i="4"/>
  <c r="CF24" i="4"/>
  <c r="CG20" i="4"/>
  <c r="CF20" i="4"/>
  <c r="CG19" i="4"/>
  <c r="CF19" i="4"/>
  <c r="CG14" i="4"/>
  <c r="CG11" i="4"/>
  <c r="CF11" i="4"/>
  <c r="CG10" i="4"/>
  <c r="CF10" i="4"/>
  <c r="CG9" i="4"/>
  <c r="CF9" i="4"/>
  <c r="CG8" i="4"/>
  <c r="CF8" i="4"/>
  <c r="E73" i="2"/>
  <c r="DU74" i="4" l="1"/>
  <c r="E70" i="2" s="1"/>
  <c r="CM85" i="4"/>
  <c r="CL85" i="4"/>
  <c r="CL90" i="4"/>
  <c r="CI85" i="4"/>
  <c r="CJ85" i="4"/>
  <c r="CJ89" i="4"/>
  <c r="CK85" i="4"/>
  <c r="CI92" i="4"/>
  <c r="CG85" i="4"/>
  <c r="CF85" i="4"/>
  <c r="CF91" i="4"/>
  <c r="CG91" i="4"/>
  <c r="CD92" i="4" l="1"/>
  <c r="CD85" i="4"/>
  <c r="CE84" i="4"/>
  <c r="CC84" i="4"/>
  <c r="CE79" i="4"/>
  <c r="CE78" i="4"/>
  <c r="CE72" i="4"/>
  <c r="CE71" i="4"/>
  <c r="CE69" i="4"/>
  <c r="CC69" i="4"/>
  <c r="CE65" i="4"/>
  <c r="CE64" i="4"/>
  <c r="CE62" i="4"/>
  <c r="CE57" i="4"/>
  <c r="CC57" i="4"/>
  <c r="CE51" i="4"/>
  <c r="CC51" i="4"/>
  <c r="CE50" i="4"/>
  <c r="CE48" i="4"/>
  <c r="DU48" i="4" s="1"/>
  <c r="E44" i="2" s="1"/>
  <c r="CE44" i="4"/>
  <c r="CC44" i="4"/>
  <c r="CE43" i="4"/>
  <c r="CC43" i="4"/>
  <c r="CE42" i="4"/>
  <c r="CC42" i="4"/>
  <c r="CE34" i="4"/>
  <c r="CC34" i="4"/>
  <c r="CC33" i="4"/>
  <c r="CE29" i="4"/>
  <c r="CC29" i="4"/>
  <c r="CE27" i="4"/>
  <c r="CC27" i="4"/>
  <c r="CE26" i="4"/>
  <c r="CE25" i="4"/>
  <c r="CE24" i="4"/>
  <c r="CE20" i="4"/>
  <c r="CC20" i="4"/>
  <c r="CE19" i="4"/>
  <c r="CC19" i="4"/>
  <c r="CE17" i="4"/>
  <c r="CE14" i="4"/>
  <c r="CE11" i="4"/>
  <c r="CC11" i="4"/>
  <c r="CE10" i="4"/>
  <c r="CC10" i="4"/>
  <c r="CE9" i="4"/>
  <c r="CC9" i="4"/>
  <c r="CE8" i="4"/>
  <c r="CC8" i="4"/>
  <c r="G77" i="4"/>
  <c r="D72" i="4"/>
  <c r="D73" i="4"/>
  <c r="D56" i="4"/>
  <c r="D69" i="4"/>
  <c r="D68" i="4"/>
  <c r="D65" i="4"/>
  <c r="D64" i="4"/>
  <c r="D61" i="4"/>
  <c r="D60" i="4"/>
  <c r="D57" i="4"/>
  <c r="D51" i="4"/>
  <c r="D44" i="4"/>
  <c r="D43" i="4"/>
  <c r="D42" i="4"/>
  <c r="D39" i="4"/>
  <c r="D38" i="4"/>
  <c r="D33" i="4"/>
  <c r="D32" i="4"/>
  <c r="D25" i="4"/>
  <c r="D20" i="4"/>
  <c r="F18" i="4"/>
  <c r="D17" i="4"/>
  <c r="D11" i="4"/>
  <c r="D10" i="4"/>
  <c r="D9" i="4"/>
  <c r="BG89" i="4"/>
  <c r="R92" i="4"/>
  <c r="BZ84" i="4"/>
  <c r="BY84" i="4"/>
  <c r="BY78" i="4"/>
  <c r="BY72" i="4"/>
  <c r="BY71" i="4"/>
  <c r="BZ69" i="4"/>
  <c r="BY69" i="4"/>
  <c r="BY65" i="4"/>
  <c r="BY64" i="4"/>
  <c r="BY62" i="4"/>
  <c r="BY57" i="4"/>
  <c r="BY56" i="4"/>
  <c r="BZ51" i="4"/>
  <c r="BY51" i="4"/>
  <c r="BY50" i="4"/>
  <c r="BY48" i="4"/>
  <c r="BZ47" i="4"/>
  <c r="BZ44" i="4"/>
  <c r="BY44" i="4"/>
  <c r="BZ43" i="4"/>
  <c r="BY43" i="4"/>
  <c r="BZ42" i="4"/>
  <c r="BY42" i="4"/>
  <c r="BY39" i="4"/>
  <c r="BZ36" i="4"/>
  <c r="BZ34" i="4"/>
  <c r="BY34" i="4"/>
  <c r="BZ33" i="4"/>
  <c r="BZ29" i="4"/>
  <c r="BY29" i="4"/>
  <c r="BZ27" i="4"/>
  <c r="BY27" i="4"/>
  <c r="BY26" i="4"/>
  <c r="BY25" i="4"/>
  <c r="BY24" i="4"/>
  <c r="BZ20" i="4"/>
  <c r="BY20" i="4"/>
  <c r="BZ19" i="4"/>
  <c r="BY17" i="4"/>
  <c r="BZ14" i="4"/>
  <c r="BY14" i="4"/>
  <c r="BZ11" i="4"/>
  <c r="BY11" i="4"/>
  <c r="BZ10" i="4"/>
  <c r="BY10" i="4"/>
  <c r="BZ9" i="4"/>
  <c r="BY9" i="4"/>
  <c r="BZ8" i="4"/>
  <c r="BZ89" i="4" s="1"/>
  <c r="BY8" i="4"/>
  <c r="BY93" i="4" s="1"/>
  <c r="BX90" i="4"/>
  <c r="BV90" i="4"/>
  <c r="BV85" i="4"/>
  <c r="BW84" i="4"/>
  <c r="BU84" i="4"/>
  <c r="BT84" i="4"/>
  <c r="BW79" i="4"/>
  <c r="BT78" i="4"/>
  <c r="BU74" i="4"/>
  <c r="BW69" i="4"/>
  <c r="BT62" i="4"/>
  <c r="BW57" i="4"/>
  <c r="BU56" i="4"/>
  <c r="BW51" i="4"/>
  <c r="BT49" i="4"/>
  <c r="BW44" i="4"/>
  <c r="BW43" i="4"/>
  <c r="BW42" i="4"/>
  <c r="BU39" i="4"/>
  <c r="BW34" i="4"/>
  <c r="BU34" i="4"/>
  <c r="BT34" i="4"/>
  <c r="BW33" i="4"/>
  <c r="BW30" i="4"/>
  <c r="BU30" i="4"/>
  <c r="BW29" i="4"/>
  <c r="BW27" i="4"/>
  <c r="BW26" i="4"/>
  <c r="BW25" i="4"/>
  <c r="BW24" i="4"/>
  <c r="BW20" i="4"/>
  <c r="BW19" i="4"/>
  <c r="BT19" i="4"/>
  <c r="BW14" i="4"/>
  <c r="BW11" i="4"/>
  <c r="BU11" i="4"/>
  <c r="BX10" i="4"/>
  <c r="BX85" i="4" s="1"/>
  <c r="BW10" i="4"/>
  <c r="BW9" i="4"/>
  <c r="BU9" i="4"/>
  <c r="BW8" i="4"/>
  <c r="BW91" i="4" s="1"/>
  <c r="BU8" i="4"/>
  <c r="BU93" i="4" s="1"/>
  <c r="BT8" i="4"/>
  <c r="BT92" i="4" s="1"/>
  <c r="DU51" i="4" l="1"/>
  <c r="E47" i="2" s="1"/>
  <c r="D18" i="4"/>
  <c r="CC85" i="4"/>
  <c r="CE85" i="4"/>
  <c r="CE93" i="4"/>
  <c r="DU93" i="4" s="1"/>
  <c r="CC91" i="4"/>
  <c r="BY85" i="4"/>
  <c r="BZ85" i="4"/>
  <c r="BW85" i="4"/>
  <c r="BT85" i="4"/>
  <c r="BU85" i="4"/>
  <c r="BS92" i="4"/>
  <c r="BS84" i="4"/>
  <c r="BR84" i="4"/>
  <c r="BR78" i="4"/>
  <c r="BS74" i="4"/>
  <c r="BR74" i="4"/>
  <c r="BR72" i="4"/>
  <c r="BS71" i="4"/>
  <c r="BR71" i="4"/>
  <c r="BR69" i="4"/>
  <c r="BS56" i="4"/>
  <c r="BR56" i="4"/>
  <c r="BS51" i="4"/>
  <c r="BR51" i="4"/>
  <c r="BS50" i="4"/>
  <c r="BR44" i="4"/>
  <c r="BR43" i="4"/>
  <c r="BR42" i="4"/>
  <c r="BS39" i="4"/>
  <c r="BR39" i="4"/>
  <c r="BS36" i="4"/>
  <c r="BS34" i="4"/>
  <c r="BR34" i="4"/>
  <c r="BR33" i="4"/>
  <c r="BS30" i="4"/>
  <c r="BS29" i="4"/>
  <c r="BR29" i="4"/>
  <c r="BS27" i="4"/>
  <c r="BR27" i="4"/>
  <c r="BS26" i="4"/>
  <c r="BS25" i="4"/>
  <c r="BS24" i="4"/>
  <c r="BS23" i="4"/>
  <c r="BR23" i="4"/>
  <c r="BS22" i="4"/>
  <c r="BR22" i="4"/>
  <c r="BS19" i="4"/>
  <c r="BR19" i="4"/>
  <c r="BR16" i="4"/>
  <c r="BR15" i="4"/>
  <c r="BR14" i="4"/>
  <c r="BS11" i="4"/>
  <c r="BR11" i="4"/>
  <c r="BS10" i="4"/>
  <c r="BR10" i="4"/>
  <c r="BS9" i="4"/>
  <c r="BR9" i="4"/>
  <c r="BR8" i="4"/>
  <c r="BR92" i="4" s="1"/>
  <c r="L53" i="2"/>
  <c r="N53" i="2" s="1"/>
  <c r="BQ91" i="4"/>
  <c r="BQ85" i="4"/>
  <c r="BP84" i="4"/>
  <c r="BP79" i="4"/>
  <c r="BP74" i="4"/>
  <c r="BP73" i="4"/>
  <c r="BP68" i="4"/>
  <c r="BP60" i="4"/>
  <c r="BP56" i="4"/>
  <c r="BP50" i="4"/>
  <c r="BP48" i="4"/>
  <c r="BP46" i="4"/>
  <c r="BP44" i="4"/>
  <c r="BP43" i="4"/>
  <c r="BP42" i="4"/>
  <c r="BP34" i="4"/>
  <c r="BP30" i="4"/>
  <c r="BP29" i="4"/>
  <c r="BP27" i="4"/>
  <c r="BP23" i="4"/>
  <c r="BP19" i="4"/>
  <c r="BP17" i="4"/>
  <c r="BP11" i="4"/>
  <c r="BP10" i="4"/>
  <c r="BP9" i="4"/>
  <c r="BP8" i="4"/>
  <c r="BP93" i="4" s="1"/>
  <c r="BL92" i="4"/>
  <c r="BL85" i="4"/>
  <c r="BO84" i="4"/>
  <c r="BN84" i="4"/>
  <c r="BM84" i="4"/>
  <c r="BK84" i="4"/>
  <c r="BO79" i="4"/>
  <c r="BK79" i="4"/>
  <c r="BK74" i="4"/>
  <c r="BK73" i="4"/>
  <c r="BM69" i="4"/>
  <c r="BN68" i="4"/>
  <c r="BK68" i="4"/>
  <c r="BO61" i="4"/>
  <c r="BK60" i="4"/>
  <c r="BO56" i="4"/>
  <c r="BK56" i="4"/>
  <c r="BN51" i="4"/>
  <c r="BM51" i="4"/>
  <c r="BK50" i="4"/>
  <c r="BO48" i="4"/>
  <c r="BK48" i="4"/>
  <c r="BK46" i="4"/>
  <c r="BN44" i="4"/>
  <c r="BM44" i="4"/>
  <c r="BK44" i="4"/>
  <c r="BN43" i="4"/>
  <c r="BM43" i="4"/>
  <c r="BK43" i="4"/>
  <c r="BM42" i="4"/>
  <c r="BK42" i="4"/>
  <c r="BO39" i="4"/>
  <c r="BM36" i="4"/>
  <c r="BN34" i="4"/>
  <c r="BM34" i="4"/>
  <c r="BK34" i="4"/>
  <c r="BM33" i="4"/>
  <c r="BN30" i="4"/>
  <c r="BM30" i="4"/>
  <c r="BK30" i="4"/>
  <c r="BN29" i="4"/>
  <c r="BM29" i="4"/>
  <c r="BK29" i="4"/>
  <c r="BN27" i="4"/>
  <c r="BM27" i="4"/>
  <c r="BK27" i="4"/>
  <c r="BN26" i="4"/>
  <c r="BM26" i="4"/>
  <c r="BN25" i="4"/>
  <c r="BM25" i="4"/>
  <c r="BN24" i="4"/>
  <c r="BM24" i="4"/>
  <c r="BN23" i="4"/>
  <c r="BK23" i="4"/>
  <c r="BM20" i="4"/>
  <c r="BN19" i="4"/>
  <c r="BM19" i="4"/>
  <c r="BK19" i="4"/>
  <c r="BK17" i="4"/>
  <c r="BO11" i="4"/>
  <c r="BN11" i="4"/>
  <c r="BM11" i="4"/>
  <c r="BK11" i="4"/>
  <c r="BN10" i="4"/>
  <c r="BM10" i="4"/>
  <c r="BK10" i="4"/>
  <c r="BN9" i="4"/>
  <c r="BM9" i="4"/>
  <c r="BK9" i="4"/>
  <c r="BO8" i="4"/>
  <c r="BN8" i="4"/>
  <c r="BN92" i="4" s="1"/>
  <c r="BM8" i="4"/>
  <c r="BM89" i="4" s="1"/>
  <c r="BK8" i="4"/>
  <c r="BK93" i="4" s="1"/>
  <c r="BJ84" i="4"/>
  <c r="BJ79" i="4"/>
  <c r="BJ73" i="4"/>
  <c r="BJ68" i="4"/>
  <c r="BJ60" i="4"/>
  <c r="BJ74" i="4"/>
  <c r="BJ56" i="4"/>
  <c r="BJ50" i="4"/>
  <c r="BJ48" i="4"/>
  <c r="BJ46" i="4"/>
  <c r="BJ44" i="4"/>
  <c r="BJ43" i="4"/>
  <c r="BJ42" i="4"/>
  <c r="BJ34" i="4"/>
  <c r="BJ30" i="4"/>
  <c r="BJ29" i="4"/>
  <c r="BJ27" i="4"/>
  <c r="BJ23" i="4"/>
  <c r="BJ19" i="4"/>
  <c r="BJ17" i="4"/>
  <c r="BJ11" i="4"/>
  <c r="BJ10" i="4"/>
  <c r="BJ9" i="4"/>
  <c r="BJ8" i="4"/>
  <c r="BJ93" i="4" s="1"/>
  <c r="BE92" i="4"/>
  <c r="BI89" i="4"/>
  <c r="BI85" i="4"/>
  <c r="BG85" i="4"/>
  <c r="BE85" i="4"/>
  <c r="BH84" i="4"/>
  <c r="BF84" i="4"/>
  <c r="BD84" i="4"/>
  <c r="BD79" i="4"/>
  <c r="BH78" i="4"/>
  <c r="BF72" i="4"/>
  <c r="BD72" i="4"/>
  <c r="BF71" i="4"/>
  <c r="BD71" i="4"/>
  <c r="BF69" i="4"/>
  <c r="BD68" i="4"/>
  <c r="BF64" i="4"/>
  <c r="BH62" i="4"/>
  <c r="BD56" i="4"/>
  <c r="BF51" i="4"/>
  <c r="BD51" i="4"/>
  <c r="BH49" i="4"/>
  <c r="BD48" i="4"/>
  <c r="BF46" i="4"/>
  <c r="BD46" i="4"/>
  <c r="BF44" i="4"/>
  <c r="BD44" i="4"/>
  <c r="BD43" i="4"/>
  <c r="BD42" i="4"/>
  <c r="BD39" i="4"/>
  <c r="BH34" i="4"/>
  <c r="BF34" i="4"/>
  <c r="BF30" i="4"/>
  <c r="BF29" i="4"/>
  <c r="BD29" i="4"/>
  <c r="BD27" i="4"/>
  <c r="BF26" i="4"/>
  <c r="BD26" i="4"/>
  <c r="BF25" i="4"/>
  <c r="BD25" i="4"/>
  <c r="BD24" i="4"/>
  <c r="BD23" i="4"/>
  <c r="BD22" i="4"/>
  <c r="BF20" i="4"/>
  <c r="BH19" i="4"/>
  <c r="BD19" i="4"/>
  <c r="BD15" i="4"/>
  <c r="BD14" i="4"/>
  <c r="BF11" i="4"/>
  <c r="BD11" i="4"/>
  <c r="BF10" i="4"/>
  <c r="BD10" i="4"/>
  <c r="BF9" i="4"/>
  <c r="BD9" i="4"/>
  <c r="BH8" i="4"/>
  <c r="BF8" i="4"/>
  <c r="BD8" i="4"/>
  <c r="F72" i="2"/>
  <c r="D73" i="2"/>
  <c r="F73" i="2"/>
  <c r="F76" i="2"/>
  <c r="D70" i="2"/>
  <c r="F70" i="2"/>
  <c r="B7" i="2"/>
  <c r="B8" i="2"/>
  <c r="B9" i="2"/>
  <c r="B10" i="2"/>
  <c r="B11" i="2"/>
  <c r="B12" i="2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70" i="2"/>
  <c r="C70" i="2"/>
  <c r="B53" i="2"/>
  <c r="O53" i="2" s="1"/>
  <c r="B54" i="2"/>
  <c r="O54" i="2" s="1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1" i="2"/>
  <c r="B72" i="2"/>
  <c r="B73" i="2"/>
  <c r="C73" i="2"/>
  <c r="B74" i="2"/>
  <c r="B75" i="2"/>
  <c r="B76" i="2"/>
  <c r="B77" i="2"/>
  <c r="B6" i="2"/>
  <c r="A6" i="2"/>
  <c r="BS85" i="4" l="1"/>
  <c r="BR85" i="4"/>
  <c r="BP85" i="4"/>
  <c r="BO85" i="4"/>
  <c r="BO93" i="4"/>
  <c r="BN85" i="4"/>
  <c r="BM85" i="4"/>
  <c r="BK85" i="4"/>
  <c r="BJ85" i="4"/>
  <c r="BF85" i="4"/>
  <c r="BD85" i="4"/>
  <c r="BD92" i="4"/>
  <c r="BH85" i="4"/>
  <c r="BH92" i="4"/>
  <c r="BF92" i="4"/>
  <c r="F75" i="2"/>
  <c r="F74" i="2"/>
  <c r="F53" i="2"/>
  <c r="AZ93" i="4" l="1"/>
  <c r="AZ85" i="4"/>
  <c r="BC84" i="4"/>
  <c r="BB84" i="4"/>
  <c r="BA84" i="4"/>
  <c r="AX84" i="4"/>
  <c r="BC79" i="4"/>
  <c r="AX78" i="4"/>
  <c r="BB69" i="4"/>
  <c r="BA69" i="4"/>
  <c r="AY69" i="4"/>
  <c r="AX69" i="4"/>
  <c r="BC68" i="4"/>
  <c r="BC67" i="4"/>
  <c r="BC60" i="4"/>
  <c r="AX57" i="4"/>
  <c r="BC56" i="4"/>
  <c r="BB51" i="4"/>
  <c r="BA51" i="4"/>
  <c r="AY51" i="4"/>
  <c r="AX51" i="4"/>
  <c r="BC48" i="4"/>
  <c r="BC46" i="4"/>
  <c r="BC44" i="4"/>
  <c r="BB44" i="4"/>
  <c r="BA44" i="4"/>
  <c r="AY44" i="4"/>
  <c r="AX44" i="4"/>
  <c r="BC43" i="4"/>
  <c r="BB43" i="4"/>
  <c r="BA43" i="4"/>
  <c r="AY43" i="4"/>
  <c r="AX43" i="4"/>
  <c r="BC42" i="4"/>
  <c r="BB42" i="4"/>
  <c r="BA42" i="4"/>
  <c r="AY42" i="4"/>
  <c r="AX42" i="4"/>
  <c r="BC39" i="4"/>
  <c r="BA38" i="4"/>
  <c r="AY38" i="4"/>
  <c r="BB36" i="4"/>
  <c r="BA36" i="4"/>
  <c r="AY36" i="4"/>
  <c r="BC34" i="4"/>
  <c r="BB34" i="4"/>
  <c r="BA34" i="4"/>
  <c r="AY34" i="4"/>
  <c r="BB33" i="4"/>
  <c r="BA33" i="4"/>
  <c r="AY33" i="4"/>
  <c r="AX33" i="4"/>
  <c r="BC30" i="4"/>
  <c r="BA30" i="4"/>
  <c r="AY30" i="4"/>
  <c r="BC29" i="4"/>
  <c r="BB29" i="4"/>
  <c r="BA29" i="4"/>
  <c r="AY29" i="4"/>
  <c r="AX29" i="4"/>
  <c r="BC27" i="4"/>
  <c r="BB27" i="4"/>
  <c r="BA27" i="4"/>
  <c r="AY27" i="4"/>
  <c r="AX27" i="4"/>
  <c r="BC26" i="4"/>
  <c r="BA26" i="4"/>
  <c r="AY26" i="4"/>
  <c r="BC25" i="4"/>
  <c r="BA25" i="4"/>
  <c r="AY25" i="4"/>
  <c r="BC24" i="4"/>
  <c r="BA24" i="4"/>
  <c r="AY24" i="4"/>
  <c r="BB20" i="4"/>
  <c r="AX20" i="4"/>
  <c r="BC19" i="4"/>
  <c r="BB19" i="4"/>
  <c r="BA19" i="4"/>
  <c r="AY19" i="4"/>
  <c r="AX19" i="4"/>
  <c r="BC17" i="4"/>
  <c r="BC11" i="4"/>
  <c r="BB11" i="4"/>
  <c r="AY11" i="4"/>
  <c r="AX11" i="4"/>
  <c r="BC10" i="4"/>
  <c r="BB10" i="4"/>
  <c r="BA10" i="4"/>
  <c r="AY10" i="4"/>
  <c r="AX10" i="4"/>
  <c r="BC9" i="4"/>
  <c r="BB9" i="4"/>
  <c r="BA9" i="4"/>
  <c r="AY9" i="4"/>
  <c r="AX9" i="4"/>
  <c r="BC8" i="4"/>
  <c r="BB8" i="4"/>
  <c r="BB89" i="4" s="1"/>
  <c r="BA8" i="4"/>
  <c r="BA92" i="4" s="1"/>
  <c r="AY8" i="4"/>
  <c r="AY92" i="4" s="1"/>
  <c r="AX8" i="4"/>
  <c r="AX91" i="4" s="1"/>
  <c r="CA74" i="4"/>
  <c r="G74" i="4"/>
  <c r="GQ74" i="4"/>
  <c r="GT74" i="4"/>
  <c r="GO74" i="4" l="1"/>
  <c r="GP74" i="4" s="1"/>
  <c r="G70" i="2" s="1"/>
  <c r="BC85" i="4"/>
  <c r="AX85" i="4"/>
  <c r="BB85" i="4"/>
  <c r="AY85" i="4"/>
  <c r="BC92" i="4"/>
  <c r="BA85" i="4"/>
  <c r="CA77" i="4"/>
  <c r="AW92" i="4"/>
  <c r="AW85" i="4"/>
  <c r="AV84" i="4"/>
  <c r="AU84" i="4"/>
  <c r="AU34" i="4"/>
  <c r="AU33" i="4"/>
  <c r="AV30" i="4"/>
  <c r="AU30" i="4"/>
  <c r="AV29" i="4"/>
  <c r="AU29" i="4"/>
  <c r="AV27" i="4"/>
  <c r="AU27" i="4"/>
  <c r="AV26" i="4"/>
  <c r="AU26" i="4"/>
  <c r="AV25" i="4"/>
  <c r="AU25" i="4"/>
  <c r="AV24" i="4"/>
  <c r="AU24" i="4"/>
  <c r="AU23" i="4"/>
  <c r="AV19" i="4"/>
  <c r="AU19" i="4"/>
  <c r="AV11" i="4"/>
  <c r="AU11" i="4"/>
  <c r="AV10" i="4"/>
  <c r="AU10" i="4"/>
  <c r="AV9" i="4"/>
  <c r="AU9" i="4"/>
  <c r="AV8" i="4"/>
  <c r="AU8" i="4"/>
  <c r="AU91" i="4" s="1"/>
  <c r="GO77" i="4"/>
  <c r="GP77" i="4" s="1"/>
  <c r="GQ77" i="4"/>
  <c r="GT77" i="4"/>
  <c r="GQ7" i="4"/>
  <c r="G73" i="2" l="1"/>
  <c r="AV85" i="4"/>
  <c r="AV90" i="4"/>
  <c r="AU85" i="4"/>
  <c r="AS93" i="4"/>
  <c r="AR92" i="4"/>
  <c r="AQ90" i="4"/>
  <c r="AS85" i="4"/>
  <c r="AR85" i="4"/>
  <c r="AT84" i="4"/>
  <c r="AT34" i="4"/>
  <c r="AT30" i="4"/>
  <c r="AT29" i="4"/>
  <c r="AT27" i="4"/>
  <c r="AT26" i="4"/>
  <c r="AT25" i="4"/>
  <c r="AT24" i="4"/>
  <c r="AQ24" i="4"/>
  <c r="AQ85" i="4" s="1"/>
  <c r="AT23" i="4"/>
  <c r="AT22" i="4"/>
  <c r="AT19" i="4"/>
  <c r="AT11" i="4"/>
  <c r="AT10" i="4"/>
  <c r="AT9" i="4"/>
  <c r="AT8" i="4"/>
  <c r="AT92" i="4" s="1"/>
  <c r="AL92" i="4"/>
  <c r="AK91" i="4"/>
  <c r="AO90" i="4"/>
  <c r="AN89" i="4"/>
  <c r="AO85" i="4"/>
  <c r="AN85" i="4"/>
  <c r="AL85" i="4"/>
  <c r="AK85" i="4"/>
  <c r="AP84" i="4"/>
  <c r="AM84" i="4"/>
  <c r="AP72" i="4"/>
  <c r="AM69" i="4"/>
  <c r="AP64" i="4"/>
  <c r="AM57" i="4"/>
  <c r="AM54" i="4"/>
  <c r="AP51" i="4"/>
  <c r="AM51" i="4"/>
  <c r="AM44" i="4"/>
  <c r="AM43" i="4"/>
  <c r="AM42" i="4"/>
  <c r="AP39" i="4"/>
  <c r="AP34" i="4"/>
  <c r="AM34" i="4"/>
  <c r="AM33" i="4"/>
  <c r="AM30" i="4"/>
  <c r="AM29" i="4"/>
  <c r="AM27" i="4"/>
  <c r="AM26" i="4"/>
  <c r="AM25" i="4"/>
  <c r="AM24" i="4"/>
  <c r="AP20" i="4"/>
  <c r="AM20" i="4"/>
  <c r="AM19" i="4"/>
  <c r="AM14" i="4"/>
  <c r="AP11" i="4"/>
  <c r="AM11" i="4"/>
  <c r="AM10" i="4"/>
  <c r="AM9" i="4"/>
  <c r="AP8" i="4"/>
  <c r="AP92" i="4" s="1"/>
  <c r="AM8" i="4"/>
  <c r="AM91" i="4" s="1"/>
  <c r="AT85" i="4" l="1"/>
  <c r="AM85" i="4"/>
  <c r="AP85" i="4"/>
  <c r="F40" i="2"/>
  <c r="AJ84" i="4"/>
  <c r="AJ69" i="4"/>
  <c r="AJ57" i="4"/>
  <c r="AJ51" i="4"/>
  <c r="AJ44" i="4"/>
  <c r="AJ43" i="4"/>
  <c r="AJ42" i="4"/>
  <c r="AJ34" i="4"/>
  <c r="AJ33" i="4"/>
  <c r="AJ30" i="4"/>
  <c r="AJ29" i="4"/>
  <c r="AJ27" i="4"/>
  <c r="AJ26" i="4"/>
  <c r="AJ25" i="4"/>
  <c r="AJ24" i="4"/>
  <c r="AJ20" i="4"/>
  <c r="AJ19" i="4"/>
  <c r="AJ11" i="4"/>
  <c r="AJ10" i="4"/>
  <c r="AJ9" i="4"/>
  <c r="AJ8" i="4"/>
  <c r="F22" i="2"/>
  <c r="F17" i="2"/>
  <c r="F8" i="2"/>
  <c r="F7" i="2"/>
  <c r="F6" i="2"/>
  <c r="F9" i="2"/>
  <c r="F10" i="2"/>
  <c r="F11" i="2"/>
  <c r="F12" i="2"/>
  <c r="F13" i="2"/>
  <c r="F14" i="2"/>
  <c r="F16" i="2"/>
  <c r="F18" i="2"/>
  <c r="F19" i="2"/>
  <c r="F20" i="2"/>
  <c r="F21" i="2"/>
  <c r="F23" i="2"/>
  <c r="F24" i="2"/>
  <c r="F25" i="2"/>
  <c r="F27" i="2"/>
  <c r="F28" i="2"/>
  <c r="F30" i="2"/>
  <c r="F31" i="2"/>
  <c r="F32" i="2"/>
  <c r="F36" i="2"/>
  <c r="F37" i="2"/>
  <c r="F38" i="2"/>
  <c r="F39" i="2"/>
  <c r="F41" i="2"/>
  <c r="F42" i="2"/>
  <c r="F43" i="2"/>
  <c r="F44" i="2"/>
  <c r="F45" i="2"/>
  <c r="F46" i="2"/>
  <c r="F47" i="2"/>
  <c r="F48" i="2"/>
  <c r="F49" i="2"/>
  <c r="F50" i="2"/>
  <c r="F51" i="2"/>
  <c r="F54" i="2"/>
  <c r="F56" i="2"/>
  <c r="F57" i="2"/>
  <c r="F59" i="2"/>
  <c r="F60" i="2"/>
  <c r="F61" i="2"/>
  <c r="F62" i="2"/>
  <c r="F65" i="2"/>
  <c r="F67" i="2"/>
  <c r="F69" i="2"/>
  <c r="F71" i="2"/>
  <c r="F77" i="2"/>
  <c r="F52" i="2"/>
  <c r="AI84" i="4"/>
  <c r="AI69" i="4"/>
  <c r="AI57" i="4"/>
  <c r="AI56" i="4"/>
  <c r="AI50" i="4"/>
  <c r="AI44" i="4"/>
  <c r="AI34" i="4"/>
  <c r="AI30" i="4"/>
  <c r="AI29" i="4"/>
  <c r="AI27" i="4"/>
  <c r="AI26" i="4"/>
  <c r="AI25" i="4"/>
  <c r="AI24" i="4"/>
  <c r="AI20" i="4"/>
  <c r="AI19" i="4"/>
  <c r="AI17" i="4"/>
  <c r="AI14" i="4"/>
  <c r="AI11" i="4"/>
  <c r="AI10" i="4"/>
  <c r="AI9" i="4"/>
  <c r="AI8" i="4"/>
  <c r="AI91" i="4" s="1"/>
  <c r="F68" i="2"/>
  <c r="F35" i="2"/>
  <c r="F34" i="2"/>
  <c r="F26" i="2" l="1"/>
  <c r="AJ85" i="4"/>
  <c r="AJ91" i="4"/>
  <c r="AI85" i="4"/>
  <c r="F29" i="2"/>
  <c r="AG90" i="4"/>
  <c r="AH84" i="4"/>
  <c r="AF84" i="4"/>
  <c r="AE84" i="4"/>
  <c r="AD84" i="4"/>
  <c r="AH69" i="4"/>
  <c r="AF69" i="4"/>
  <c r="AE69" i="4"/>
  <c r="AD69" i="4"/>
  <c r="AH57" i="4"/>
  <c r="AH56" i="4"/>
  <c r="AF51" i="4"/>
  <c r="AE51" i="4"/>
  <c r="AD51" i="4"/>
  <c r="AH50" i="4"/>
  <c r="AD50" i="4"/>
  <c r="AE47" i="4"/>
  <c r="AH44" i="4"/>
  <c r="AF44" i="4"/>
  <c r="AE44" i="4"/>
  <c r="AD44" i="4"/>
  <c r="AF43" i="4"/>
  <c r="AE43" i="4"/>
  <c r="AD43" i="4"/>
  <c r="AF42" i="4"/>
  <c r="AE42" i="4"/>
  <c r="AD42" i="4"/>
  <c r="AD39" i="4"/>
  <c r="AD38" i="4"/>
  <c r="AF36" i="4"/>
  <c r="AE36" i="4"/>
  <c r="AD36" i="4"/>
  <c r="AH34" i="4"/>
  <c r="AF34" i="4"/>
  <c r="AE34" i="4"/>
  <c r="AD34" i="4"/>
  <c r="AF33" i="4"/>
  <c r="AE33" i="4"/>
  <c r="AD33" i="4"/>
  <c r="AH30" i="4"/>
  <c r="AF30" i="4"/>
  <c r="AD30" i="4"/>
  <c r="AH29" i="4"/>
  <c r="AF29" i="4"/>
  <c r="AE29" i="4"/>
  <c r="AD29" i="4"/>
  <c r="AH27" i="4"/>
  <c r="AF27" i="4"/>
  <c r="AE27" i="4"/>
  <c r="AD27" i="4"/>
  <c r="AH26" i="4"/>
  <c r="AF26" i="4"/>
  <c r="AD26" i="4"/>
  <c r="AH25" i="4"/>
  <c r="AF25" i="4"/>
  <c r="AD25" i="4"/>
  <c r="AH24" i="4"/>
  <c r="AF24" i="4"/>
  <c r="AD24" i="4"/>
  <c r="AH20" i="4"/>
  <c r="AF20" i="4"/>
  <c r="AE20" i="4"/>
  <c r="AD20" i="4"/>
  <c r="AH19" i="4"/>
  <c r="AF19" i="4"/>
  <c r="AE19" i="4"/>
  <c r="AD19" i="4"/>
  <c r="AH17" i="4"/>
  <c r="AD16" i="4"/>
  <c r="AH14" i="4"/>
  <c r="AD14" i="4"/>
  <c r="AH11" i="4"/>
  <c r="AF11" i="4"/>
  <c r="AE11" i="4"/>
  <c r="AD11" i="4"/>
  <c r="AH10" i="4"/>
  <c r="AF10" i="4"/>
  <c r="AE10" i="4"/>
  <c r="AD10" i="4"/>
  <c r="AH9" i="4"/>
  <c r="AG9" i="4"/>
  <c r="AG85" i="4" s="1"/>
  <c r="AF9" i="4"/>
  <c r="AE9" i="4"/>
  <c r="AD9" i="4"/>
  <c r="AH8" i="4"/>
  <c r="AF8" i="4"/>
  <c r="AF89" i="4" s="1"/>
  <c r="AE8" i="4"/>
  <c r="AE89" i="4" s="1"/>
  <c r="AD8" i="4"/>
  <c r="AD91" i="4" s="1"/>
  <c r="F66" i="2"/>
  <c r="F64" i="2"/>
  <c r="F58" i="2"/>
  <c r="Z93" i="4"/>
  <c r="Z85" i="4"/>
  <c r="AC84" i="4"/>
  <c r="AB84" i="4"/>
  <c r="AA84" i="4"/>
  <c r="Y84" i="4"/>
  <c r="X84" i="4"/>
  <c r="AB78" i="4"/>
  <c r="X78" i="4"/>
  <c r="AB72" i="4"/>
  <c r="X72" i="4"/>
  <c r="AB71" i="4"/>
  <c r="X71" i="4"/>
  <c r="AC69" i="4"/>
  <c r="AB69" i="4"/>
  <c r="AA69" i="4"/>
  <c r="Y69" i="4"/>
  <c r="X69" i="4"/>
  <c r="AB65" i="4"/>
  <c r="AB64" i="4"/>
  <c r="X64" i="4"/>
  <c r="AB62" i="4"/>
  <c r="AC57" i="4"/>
  <c r="AB57" i="4"/>
  <c r="AB56" i="4"/>
  <c r="X56" i="4"/>
  <c r="AC51" i="4"/>
  <c r="AB51" i="4"/>
  <c r="AA51" i="4"/>
  <c r="Y51" i="4"/>
  <c r="X51" i="4"/>
  <c r="AC50" i="4"/>
  <c r="AB50" i="4"/>
  <c r="X50" i="4"/>
  <c r="AB48" i="4"/>
  <c r="Y47" i="4"/>
  <c r="AC44" i="4"/>
  <c r="AB44" i="4"/>
  <c r="AA44" i="4"/>
  <c r="Y44" i="4"/>
  <c r="X44" i="4"/>
  <c r="AC43" i="4"/>
  <c r="AB43" i="4"/>
  <c r="AA43" i="4"/>
  <c r="Y43" i="4"/>
  <c r="X43" i="4"/>
  <c r="AC42" i="4"/>
  <c r="AB42" i="4"/>
  <c r="AA42" i="4"/>
  <c r="Y42" i="4"/>
  <c r="X42" i="4"/>
  <c r="AB39" i="4"/>
  <c r="X39" i="4"/>
  <c r="AA38" i="4"/>
  <c r="AA36" i="4"/>
  <c r="Y36" i="4"/>
  <c r="X36" i="4"/>
  <c r="AC34" i="4"/>
  <c r="AB34" i="4"/>
  <c r="AA34" i="4"/>
  <c r="Y34" i="4"/>
  <c r="X34" i="4"/>
  <c r="AC33" i="4"/>
  <c r="AA33" i="4"/>
  <c r="Y33" i="4"/>
  <c r="AA30" i="4"/>
  <c r="AC29" i="4"/>
  <c r="AB29" i="4"/>
  <c r="AA29" i="4"/>
  <c r="Y29" i="4"/>
  <c r="X29" i="4"/>
  <c r="AC27" i="4"/>
  <c r="AB27" i="4"/>
  <c r="AA27" i="4"/>
  <c r="Y27" i="4"/>
  <c r="X27" i="4"/>
  <c r="AB26" i="4"/>
  <c r="AA26" i="4"/>
  <c r="AB25" i="4"/>
  <c r="AA25" i="4"/>
  <c r="AB24" i="4"/>
  <c r="AA24" i="4"/>
  <c r="AC20" i="4"/>
  <c r="AB20" i="4"/>
  <c r="Y20" i="4"/>
  <c r="X20" i="4"/>
  <c r="AC19" i="4"/>
  <c r="AA19" i="4"/>
  <c r="Y19" i="4"/>
  <c r="X19" i="4"/>
  <c r="AB17" i="4"/>
  <c r="X17" i="4"/>
  <c r="AC16" i="4"/>
  <c r="AB14" i="4"/>
  <c r="Y14" i="4"/>
  <c r="X14" i="4"/>
  <c r="AC11" i="4"/>
  <c r="AB11" i="4"/>
  <c r="AA11" i="4"/>
  <c r="Y11" i="4"/>
  <c r="X11" i="4"/>
  <c r="AC10" i="4"/>
  <c r="AB10" i="4"/>
  <c r="AA10" i="4"/>
  <c r="Y10" i="4"/>
  <c r="X10" i="4"/>
  <c r="AC9" i="4"/>
  <c r="AB9" i="4"/>
  <c r="AA9" i="4"/>
  <c r="Y9" i="4"/>
  <c r="X9" i="4"/>
  <c r="AC8" i="4"/>
  <c r="AC91" i="4" s="1"/>
  <c r="AB8" i="4"/>
  <c r="AB93" i="4" s="1"/>
  <c r="AA8" i="4"/>
  <c r="Y8" i="4"/>
  <c r="Y89" i="4" s="1"/>
  <c r="X8" i="4"/>
  <c r="X90" i="4" s="1"/>
  <c r="W84" i="4"/>
  <c r="V84" i="4"/>
  <c r="U84" i="4"/>
  <c r="T84" i="4"/>
  <c r="W79" i="4"/>
  <c r="W78" i="4"/>
  <c r="T78" i="4"/>
  <c r="W72" i="4"/>
  <c r="T72" i="4"/>
  <c r="W71" i="4"/>
  <c r="T71" i="4"/>
  <c r="W69" i="4"/>
  <c r="U69" i="4"/>
  <c r="T69" i="4"/>
  <c r="V68" i="4"/>
  <c r="W65" i="4"/>
  <c r="W64" i="4"/>
  <c r="T64" i="4"/>
  <c r="W62" i="4"/>
  <c r="W57" i="4"/>
  <c r="V57" i="4"/>
  <c r="T56" i="4"/>
  <c r="W51" i="4"/>
  <c r="V51" i="4"/>
  <c r="U51" i="4"/>
  <c r="T51" i="4"/>
  <c r="W50" i="4"/>
  <c r="T50" i="4"/>
  <c r="W48" i="4"/>
  <c r="U47" i="4"/>
  <c r="W44" i="4"/>
  <c r="V44" i="4"/>
  <c r="U44" i="4"/>
  <c r="T44" i="4"/>
  <c r="W43" i="4"/>
  <c r="V43" i="4"/>
  <c r="U43" i="4"/>
  <c r="T43" i="4"/>
  <c r="W42" i="4"/>
  <c r="V42" i="4"/>
  <c r="U42" i="4"/>
  <c r="T42" i="4"/>
  <c r="T39" i="4"/>
  <c r="U36" i="4"/>
  <c r="T36" i="4"/>
  <c r="W34" i="4"/>
  <c r="V34" i="4"/>
  <c r="U34" i="4"/>
  <c r="T34" i="4"/>
  <c r="V33" i="4"/>
  <c r="U33" i="4"/>
  <c r="V30" i="4"/>
  <c r="W29" i="4"/>
  <c r="V29" i="4"/>
  <c r="U29" i="4"/>
  <c r="T29" i="4"/>
  <c r="W27" i="4"/>
  <c r="V27" i="4"/>
  <c r="U27" i="4"/>
  <c r="T27" i="4"/>
  <c r="W26" i="4"/>
  <c r="V26" i="4"/>
  <c r="W25" i="4"/>
  <c r="V25" i="4"/>
  <c r="W24" i="4"/>
  <c r="V24" i="4"/>
  <c r="W20" i="4"/>
  <c r="V20" i="4"/>
  <c r="U20" i="4"/>
  <c r="T20" i="4"/>
  <c r="W19" i="4"/>
  <c r="V19" i="4"/>
  <c r="U19" i="4"/>
  <c r="T19" i="4"/>
  <c r="W17" i="4"/>
  <c r="T17" i="4"/>
  <c r="W14" i="4"/>
  <c r="U14" i="4"/>
  <c r="T14" i="4"/>
  <c r="W11" i="4"/>
  <c r="V11" i="4"/>
  <c r="U11" i="4"/>
  <c r="T11" i="4"/>
  <c r="W10" i="4"/>
  <c r="V10" i="4"/>
  <c r="U10" i="4"/>
  <c r="T10" i="4"/>
  <c r="W9" i="4"/>
  <c r="V9" i="4"/>
  <c r="U9" i="4"/>
  <c r="T9" i="4"/>
  <c r="W8" i="4"/>
  <c r="W93" i="4" s="1"/>
  <c r="V8" i="4"/>
  <c r="V91" i="4" s="1"/>
  <c r="U8" i="4"/>
  <c r="T8" i="4"/>
  <c r="T90" i="4" s="1"/>
  <c r="AH85" i="4" l="1"/>
  <c r="AF85" i="4"/>
  <c r="AH91" i="4"/>
  <c r="AD85" i="4"/>
  <c r="AE85" i="4"/>
  <c r="AA85" i="4"/>
  <c r="X85" i="4"/>
  <c r="AB85" i="4"/>
  <c r="Y85" i="4"/>
  <c r="AC85" i="4"/>
  <c r="AA92" i="4"/>
  <c r="U85" i="4"/>
  <c r="V85" i="4"/>
  <c r="T85" i="4"/>
  <c r="U89" i="4"/>
  <c r="W85" i="4"/>
  <c r="S84" i="4" l="1"/>
  <c r="S78" i="4"/>
  <c r="S72" i="4"/>
  <c r="S71" i="4"/>
  <c r="S69" i="4"/>
  <c r="S65" i="4"/>
  <c r="S64" i="4"/>
  <c r="S62" i="4"/>
  <c r="S57" i="4"/>
  <c r="S56" i="4"/>
  <c r="S51" i="4"/>
  <c r="S50" i="4"/>
  <c r="S48" i="4"/>
  <c r="S44" i="4"/>
  <c r="S43" i="4"/>
  <c r="S42" i="4"/>
  <c r="S39" i="4"/>
  <c r="S34" i="4"/>
  <c r="S29" i="4"/>
  <c r="S27" i="4"/>
  <c r="S26" i="4"/>
  <c r="S25" i="4"/>
  <c r="S24" i="4"/>
  <c r="S20" i="4"/>
  <c r="R20" i="4"/>
  <c r="R85" i="4" s="1"/>
  <c r="S17" i="4"/>
  <c r="S14" i="4"/>
  <c r="S11" i="4"/>
  <c r="S10" i="4"/>
  <c r="S9" i="4"/>
  <c r="S8" i="4"/>
  <c r="Q84" i="4"/>
  <c r="P84" i="4"/>
  <c r="O84" i="4"/>
  <c r="Q79" i="4"/>
  <c r="O79" i="4"/>
  <c r="Q78" i="4"/>
  <c r="O78" i="4"/>
  <c r="Q72" i="4"/>
  <c r="O72" i="4"/>
  <c r="Q71" i="4"/>
  <c r="O71" i="4"/>
  <c r="Q69" i="4"/>
  <c r="P69" i="4"/>
  <c r="O69" i="4"/>
  <c r="O65" i="4"/>
  <c r="Q64" i="4"/>
  <c r="O64" i="4"/>
  <c r="O62" i="4"/>
  <c r="P57" i="4"/>
  <c r="O57" i="4"/>
  <c r="Q56" i="4"/>
  <c r="O56" i="4"/>
  <c r="Q51" i="4"/>
  <c r="P51" i="4"/>
  <c r="O51" i="4"/>
  <c r="Q50" i="4"/>
  <c r="O50" i="4"/>
  <c r="O48" i="4"/>
  <c r="Q44" i="4"/>
  <c r="P44" i="4"/>
  <c r="O44" i="4"/>
  <c r="Q43" i="4"/>
  <c r="P43" i="4"/>
  <c r="O43" i="4"/>
  <c r="Q42" i="4"/>
  <c r="P42" i="4"/>
  <c r="O42" i="4"/>
  <c r="Q36" i="4"/>
  <c r="Q34" i="4"/>
  <c r="P34" i="4"/>
  <c r="O34" i="4"/>
  <c r="P33" i="4"/>
  <c r="Q29" i="4"/>
  <c r="P29" i="4"/>
  <c r="O29" i="4"/>
  <c r="Q27" i="4"/>
  <c r="P27" i="4"/>
  <c r="O27" i="4"/>
  <c r="Q26" i="4"/>
  <c r="O26" i="4"/>
  <c r="Q25" i="4"/>
  <c r="O25" i="4"/>
  <c r="Q24" i="4"/>
  <c r="O24" i="4"/>
  <c r="Q20" i="4"/>
  <c r="P20" i="4"/>
  <c r="O20" i="4"/>
  <c r="Q19" i="4"/>
  <c r="P19" i="4"/>
  <c r="O19" i="4"/>
  <c r="Q17" i="4"/>
  <c r="O17" i="4"/>
  <c r="Q11" i="4"/>
  <c r="P11" i="4"/>
  <c r="O11" i="4"/>
  <c r="Q10" i="4"/>
  <c r="P10" i="4"/>
  <c r="O10" i="4"/>
  <c r="Q9" i="4"/>
  <c r="P9" i="4"/>
  <c r="O9" i="4"/>
  <c r="Q8" i="4"/>
  <c r="Q90" i="4" s="1"/>
  <c r="P8" i="4"/>
  <c r="O8" i="4"/>
  <c r="O93" i="4" s="1"/>
  <c r="N84" i="4"/>
  <c r="N44" i="4"/>
  <c r="N25" i="4"/>
  <c r="M34" i="4"/>
  <c r="M39" i="4"/>
  <c r="G48" i="4"/>
  <c r="M84" i="4"/>
  <c r="M72" i="4"/>
  <c r="N69" i="4"/>
  <c r="M64" i="4"/>
  <c r="N57" i="4"/>
  <c r="N56" i="4"/>
  <c r="M51" i="4"/>
  <c r="N50" i="4"/>
  <c r="N42" i="4"/>
  <c r="N34" i="4"/>
  <c r="N30" i="4"/>
  <c r="N26" i="4"/>
  <c r="N20" i="4"/>
  <c r="M20" i="4"/>
  <c r="N16" i="4"/>
  <c r="N11" i="4"/>
  <c r="M11" i="4"/>
  <c r="N10" i="4"/>
  <c r="N9" i="4"/>
  <c r="N8" i="4"/>
  <c r="N91" i="4" s="1"/>
  <c r="M8" i="4"/>
  <c r="S85" i="4" l="1"/>
  <c r="S93" i="4"/>
  <c r="CA93" i="4" s="1"/>
  <c r="P85" i="4"/>
  <c r="O85" i="4"/>
  <c r="P91" i="4"/>
  <c r="Q85" i="4"/>
  <c r="M85" i="4"/>
  <c r="N85" i="4"/>
  <c r="M92" i="4"/>
  <c r="G105" i="4"/>
  <c r="AE12" i="10" l="1"/>
  <c r="Y12" i="10"/>
  <c r="AB10" i="10"/>
  <c r="AA10" i="10"/>
  <c r="AA8" i="10"/>
  <c r="E20" i="10"/>
  <c r="R16" i="10"/>
  <c r="R15" i="10"/>
  <c r="R12" i="10"/>
  <c r="G69" i="1"/>
  <c r="G70" i="1"/>
  <c r="G71" i="1"/>
  <c r="G72" i="1"/>
  <c r="G60" i="1"/>
  <c r="G61" i="1"/>
  <c r="G62" i="1"/>
  <c r="G63" i="1"/>
  <c r="G64" i="1"/>
  <c r="G65" i="1"/>
  <c r="G66" i="1"/>
  <c r="G52" i="1"/>
  <c r="G53" i="1"/>
  <c r="G54" i="1"/>
  <c r="G55" i="1"/>
  <c r="G56" i="1"/>
  <c r="G57" i="1"/>
  <c r="AE8" i="10"/>
  <c r="I9" i="10"/>
  <c r="C96" i="4"/>
  <c r="C95" i="4"/>
  <c r="GT96" i="4"/>
  <c r="GT95" i="4"/>
  <c r="GT90" i="4"/>
  <c r="GT91" i="4"/>
  <c r="GT92" i="4"/>
  <c r="GT93" i="4"/>
  <c r="GT89" i="4"/>
  <c r="GO96" i="4"/>
  <c r="G96" i="4"/>
  <c r="GO95" i="4"/>
  <c r="G95" i="4"/>
  <c r="GP93" i="1"/>
  <c r="G93" i="1"/>
  <c r="GP92" i="1"/>
  <c r="G92" i="1"/>
  <c r="F92" i="1"/>
  <c r="L92" i="4"/>
  <c r="L85" i="4"/>
  <c r="K84" i="4"/>
  <c r="K69" i="4"/>
  <c r="K57" i="4"/>
  <c r="K51" i="4"/>
  <c r="CA51" i="4" s="1"/>
  <c r="K50" i="4"/>
  <c r="CA50" i="4" s="1"/>
  <c r="K44" i="4"/>
  <c r="K43" i="4"/>
  <c r="K42" i="4"/>
  <c r="K34" i="4"/>
  <c r="K33" i="4"/>
  <c r="K29" i="4"/>
  <c r="K27" i="4"/>
  <c r="K20" i="4"/>
  <c r="K19" i="4"/>
  <c r="K16" i="4"/>
  <c r="K11" i="4"/>
  <c r="K10" i="4"/>
  <c r="K9" i="4"/>
  <c r="K8" i="4"/>
  <c r="F75" i="1"/>
  <c r="C74" i="2" s="1"/>
  <c r="F71" i="1"/>
  <c r="F72" i="1"/>
  <c r="F67" i="1"/>
  <c r="C64" i="2" s="1"/>
  <c r="F66" i="1"/>
  <c r="C63" i="2" s="1"/>
  <c r="F64" i="1"/>
  <c r="F63" i="1"/>
  <c r="C60" i="2" s="1"/>
  <c r="F56" i="1"/>
  <c r="F55" i="1"/>
  <c r="C52" i="2" s="1"/>
  <c r="F47" i="1"/>
  <c r="C44" i="2" s="1"/>
  <c r="F45" i="1"/>
  <c r="C42" i="2" s="1"/>
  <c r="F41" i="1"/>
  <c r="F38" i="1"/>
  <c r="C35" i="2" s="1"/>
  <c r="F37" i="1"/>
  <c r="F34" i="1"/>
  <c r="F30" i="1"/>
  <c r="C27" i="2" s="1"/>
  <c r="F26" i="1"/>
  <c r="C23" i="2" s="1"/>
  <c r="F23" i="1"/>
  <c r="F20" i="1"/>
  <c r="F19" i="1"/>
  <c r="F11" i="1"/>
  <c r="F10" i="1"/>
  <c r="C7" i="2" s="1"/>
  <c r="F9" i="1"/>
  <c r="C6" i="2" s="1"/>
  <c r="GR88" i="4"/>
  <c r="GQ93" i="4"/>
  <c r="GQ91" i="4"/>
  <c r="GQ90" i="4"/>
  <c r="GQ89" i="4"/>
  <c r="AE7" i="10"/>
  <c r="G103" i="4"/>
  <c r="C98" i="4"/>
  <c r="G107" i="4"/>
  <c r="G106" i="4"/>
  <c r="G104" i="4"/>
  <c r="G102" i="4"/>
  <c r="G101" i="4"/>
  <c r="G100" i="4"/>
  <c r="H94" i="4"/>
  <c r="C8" i="2"/>
  <c r="C9" i="2"/>
  <c r="C10" i="2"/>
  <c r="C11" i="2"/>
  <c r="C12" i="2"/>
  <c r="C13" i="2"/>
  <c r="C14" i="2"/>
  <c r="C16" i="2"/>
  <c r="C17" i="2"/>
  <c r="C18" i="2"/>
  <c r="C19" i="2"/>
  <c r="C20" i="2"/>
  <c r="C21" i="2"/>
  <c r="C22" i="2"/>
  <c r="C24" i="2"/>
  <c r="C25" i="2"/>
  <c r="C26" i="2"/>
  <c r="C28" i="2"/>
  <c r="C29" i="2"/>
  <c r="C30" i="2"/>
  <c r="C31" i="2"/>
  <c r="C32" i="2"/>
  <c r="C34" i="2"/>
  <c r="C36" i="2"/>
  <c r="C37" i="2"/>
  <c r="C38" i="2"/>
  <c r="C39" i="2"/>
  <c r="C40" i="2"/>
  <c r="C41" i="2"/>
  <c r="C43" i="2"/>
  <c r="C45" i="2"/>
  <c r="C46" i="2"/>
  <c r="C47" i="2"/>
  <c r="C48" i="2"/>
  <c r="C49" i="2"/>
  <c r="C50" i="2"/>
  <c r="C51" i="2"/>
  <c r="C53" i="2"/>
  <c r="C54" i="2"/>
  <c r="C56" i="2"/>
  <c r="C57" i="2"/>
  <c r="C58" i="2"/>
  <c r="C59" i="2"/>
  <c r="C61" i="2"/>
  <c r="C62" i="2"/>
  <c r="C65" i="2"/>
  <c r="C66" i="2"/>
  <c r="C67" i="2"/>
  <c r="C68" i="2"/>
  <c r="C69" i="2"/>
  <c r="C71" i="2"/>
  <c r="C72" i="2"/>
  <c r="C75" i="2"/>
  <c r="C76" i="2"/>
  <c r="C77" i="2"/>
  <c r="CA48" i="4"/>
  <c r="CA49" i="4"/>
  <c r="F63" i="2"/>
  <c r="C61" i="4"/>
  <c r="GR61" i="4" s="1"/>
  <c r="D57" i="2" s="1"/>
  <c r="C66" i="4"/>
  <c r="GR66" i="4" s="1"/>
  <c r="D62" i="2" s="1"/>
  <c r="C70" i="4"/>
  <c r="GR70" i="4" s="1"/>
  <c r="D66" i="2" s="1"/>
  <c r="C53" i="4"/>
  <c r="GR53" i="4" s="1"/>
  <c r="D49" i="2" s="1"/>
  <c r="C54" i="4"/>
  <c r="GR54" i="4" s="1"/>
  <c r="D50" i="2" s="1"/>
  <c r="C58" i="4"/>
  <c r="GR58" i="4" s="1"/>
  <c r="D54" i="2" s="1"/>
  <c r="D83" i="4"/>
  <c r="A10" i="4"/>
  <c r="I76" i="1"/>
  <c r="I68" i="1"/>
  <c r="I63" i="1"/>
  <c r="I61" i="1"/>
  <c r="I55" i="1"/>
  <c r="I38" i="1"/>
  <c r="I49" i="1"/>
  <c r="I43" i="1"/>
  <c r="I42" i="1"/>
  <c r="I41" i="1"/>
  <c r="I37" i="1"/>
  <c r="I33" i="1"/>
  <c r="I20" i="1"/>
  <c r="I11" i="1"/>
  <c r="I10" i="1"/>
  <c r="I9" i="1"/>
  <c r="A11" i="4" l="1"/>
  <c r="A7" i="2"/>
  <c r="AA12" i="10"/>
  <c r="AB8" i="10"/>
  <c r="AB12" i="10" s="1"/>
  <c r="AC10" i="10"/>
  <c r="AD10" i="10" s="1"/>
  <c r="K85" i="4"/>
  <c r="K91" i="4"/>
  <c r="GS94" i="4"/>
  <c r="GQ92" i="4"/>
  <c r="GQ94" i="4" s="1"/>
  <c r="I18" i="4"/>
  <c r="FR86" i="1"/>
  <c r="FR82" i="1"/>
  <c r="FT81" i="1"/>
  <c r="FS81" i="1"/>
  <c r="FQ81" i="1"/>
  <c r="FP81" i="1"/>
  <c r="FO81" i="1"/>
  <c r="FT76" i="1"/>
  <c r="FS76" i="1"/>
  <c r="FQ76" i="1"/>
  <c r="FP76" i="1"/>
  <c r="FS75" i="1"/>
  <c r="FO75" i="1"/>
  <c r="FS71" i="1"/>
  <c r="FO71" i="1"/>
  <c r="FS70" i="1"/>
  <c r="FO70" i="1"/>
  <c r="FT68" i="1"/>
  <c r="FS68" i="1"/>
  <c r="FQ68" i="1"/>
  <c r="FP68" i="1"/>
  <c r="FO68" i="1"/>
  <c r="FO64" i="1"/>
  <c r="FS63" i="1"/>
  <c r="FO63" i="1"/>
  <c r="FO61" i="1"/>
  <c r="FQ56" i="1"/>
  <c r="FP56" i="1"/>
  <c r="FO56" i="1"/>
  <c r="FO55" i="1"/>
  <c r="FS51" i="1"/>
  <c r="FT50" i="1"/>
  <c r="FS50" i="1"/>
  <c r="FQ50" i="1"/>
  <c r="FP50" i="1"/>
  <c r="FO50" i="1"/>
  <c r="FS49" i="1"/>
  <c r="FO49" i="1"/>
  <c r="FO47" i="1"/>
  <c r="FT43" i="1"/>
  <c r="FS43" i="1"/>
  <c r="FQ43" i="1"/>
  <c r="FP43" i="1"/>
  <c r="FO43" i="1"/>
  <c r="FT42" i="1"/>
  <c r="FS42" i="1"/>
  <c r="FQ42" i="1"/>
  <c r="FP42" i="1"/>
  <c r="FO42" i="1"/>
  <c r="FT41" i="1"/>
  <c r="FS41" i="1"/>
  <c r="FQ41" i="1"/>
  <c r="FP41" i="1"/>
  <c r="FO41" i="1"/>
  <c r="FO38" i="1"/>
  <c r="FT37" i="1"/>
  <c r="FT35" i="1"/>
  <c r="FS35" i="1"/>
  <c r="FT34" i="1"/>
  <c r="FS34" i="1"/>
  <c r="FQ34" i="1"/>
  <c r="FP34" i="1"/>
  <c r="FO34" i="1"/>
  <c r="FT33" i="1"/>
  <c r="FQ33" i="1"/>
  <c r="FP33" i="1"/>
  <c r="FQ30" i="1"/>
  <c r="FP30" i="1"/>
  <c r="FT29" i="1"/>
  <c r="FS29" i="1"/>
  <c r="FQ29" i="1"/>
  <c r="FP29" i="1"/>
  <c r="FO29" i="1"/>
  <c r="FT27" i="1"/>
  <c r="FS27" i="1"/>
  <c r="FQ27" i="1"/>
  <c r="FP27" i="1"/>
  <c r="FO27" i="1"/>
  <c r="FS26" i="1"/>
  <c r="FQ26" i="1"/>
  <c r="FP26" i="1"/>
  <c r="FS25" i="1"/>
  <c r="FQ25" i="1"/>
  <c r="FP25" i="1"/>
  <c r="FS24" i="1"/>
  <c r="FQ24" i="1"/>
  <c r="FP24" i="1"/>
  <c r="FT20" i="1"/>
  <c r="FS20" i="1"/>
  <c r="FQ20" i="1"/>
  <c r="FP20" i="1"/>
  <c r="FO20" i="1"/>
  <c r="FT19" i="1"/>
  <c r="FS19" i="1"/>
  <c r="FQ19" i="1"/>
  <c r="FP19" i="1"/>
  <c r="FS17" i="1"/>
  <c r="FO17" i="1"/>
  <c r="FS16" i="1"/>
  <c r="FT11" i="1"/>
  <c r="FS11" i="1"/>
  <c r="FQ11" i="1"/>
  <c r="FP11" i="1"/>
  <c r="FO11" i="1"/>
  <c r="FT10" i="1"/>
  <c r="FS10" i="1"/>
  <c r="FQ10" i="1"/>
  <c r="FP10" i="1"/>
  <c r="FO10" i="1"/>
  <c r="FT9" i="1"/>
  <c r="FS9" i="1"/>
  <c r="FQ9" i="1"/>
  <c r="FP9" i="1"/>
  <c r="FO9" i="1"/>
  <c r="FT8" i="1"/>
  <c r="FS8" i="1"/>
  <c r="FS87" i="1" s="1"/>
  <c r="FQ8" i="1"/>
  <c r="FQ88" i="1" s="1"/>
  <c r="FP8" i="1"/>
  <c r="FP88" i="1" s="1"/>
  <c r="FO8" i="1"/>
  <c r="FO90" i="1" s="1"/>
  <c r="A12" i="4" l="1"/>
  <c r="A8" i="2"/>
  <c r="FT82" i="1"/>
  <c r="FS82" i="1"/>
  <c r="FO82" i="1"/>
  <c r="FT87" i="1"/>
  <c r="FP82" i="1"/>
  <c r="FQ82" i="1"/>
  <c r="FK88" i="1"/>
  <c r="FM86" i="1"/>
  <c r="FM82" i="1"/>
  <c r="FN81" i="1"/>
  <c r="FL81" i="1"/>
  <c r="FK81" i="1"/>
  <c r="FJ81" i="1"/>
  <c r="FN76" i="1"/>
  <c r="FK76" i="1"/>
  <c r="FJ76" i="1"/>
  <c r="FN71" i="1"/>
  <c r="FN70" i="1"/>
  <c r="FN68" i="1"/>
  <c r="FL68" i="1"/>
  <c r="FK68" i="1"/>
  <c r="FJ68" i="1"/>
  <c r="FN63" i="1"/>
  <c r="FK56" i="1"/>
  <c r="FJ56" i="1"/>
  <c r="FJ55" i="1"/>
  <c r="FN50" i="1"/>
  <c r="FL50" i="1"/>
  <c r="FK50" i="1"/>
  <c r="FJ49" i="1"/>
  <c r="FL46" i="1"/>
  <c r="FN45" i="1"/>
  <c r="FN43" i="1"/>
  <c r="FL43" i="1"/>
  <c r="FK43" i="1"/>
  <c r="FJ43" i="1"/>
  <c r="FL42" i="1"/>
  <c r="FK42" i="1"/>
  <c r="FL41" i="1"/>
  <c r="FK41" i="1"/>
  <c r="FL35" i="1"/>
  <c r="FN34" i="1"/>
  <c r="FL34" i="1"/>
  <c r="FK34" i="1"/>
  <c r="FJ34" i="1"/>
  <c r="FL33" i="1"/>
  <c r="FK33" i="1"/>
  <c r="FN30" i="1"/>
  <c r="FK30" i="1"/>
  <c r="FJ30" i="1"/>
  <c r="FN29" i="1"/>
  <c r="FL29" i="1"/>
  <c r="FK29" i="1"/>
  <c r="FJ29" i="1"/>
  <c r="FL27" i="1"/>
  <c r="FK27" i="1"/>
  <c r="FJ27" i="1"/>
  <c r="FN26" i="1"/>
  <c r="FK26" i="1"/>
  <c r="FJ26" i="1"/>
  <c r="FN25" i="1"/>
  <c r="FK25" i="1"/>
  <c r="FJ25" i="1"/>
  <c r="FK24" i="1"/>
  <c r="FJ24" i="1"/>
  <c r="FN20" i="1"/>
  <c r="FL20" i="1"/>
  <c r="FK20" i="1"/>
  <c r="FJ20" i="1"/>
  <c r="FL19" i="1"/>
  <c r="FK19" i="1"/>
  <c r="FJ19" i="1"/>
  <c r="FJ17" i="1"/>
  <c r="FN11" i="1"/>
  <c r="FL11" i="1"/>
  <c r="FK11" i="1"/>
  <c r="FJ11" i="1"/>
  <c r="FN10" i="1"/>
  <c r="FL10" i="1"/>
  <c r="FK10" i="1"/>
  <c r="FJ10" i="1"/>
  <c r="FN9" i="1"/>
  <c r="FL9" i="1"/>
  <c r="FK9" i="1"/>
  <c r="FJ9" i="1"/>
  <c r="FN8" i="1"/>
  <c r="FN89" i="1" s="1"/>
  <c r="FL8" i="1"/>
  <c r="FL86" i="1" s="1"/>
  <c r="FJ8" i="1"/>
  <c r="FJ88" i="1" s="1"/>
  <c r="FU60" i="1"/>
  <c r="FU65" i="1"/>
  <c r="I66" i="1"/>
  <c r="FG88" i="1"/>
  <c r="FG82" i="1"/>
  <c r="FI81" i="1"/>
  <c r="FH81" i="1"/>
  <c r="FI76" i="1"/>
  <c r="FH75" i="1"/>
  <c r="FI68" i="1"/>
  <c r="FI56" i="1"/>
  <c r="FI50" i="1"/>
  <c r="FH46" i="1"/>
  <c r="FI43" i="1"/>
  <c r="FI42" i="1"/>
  <c r="FI41" i="1"/>
  <c r="FI34" i="1"/>
  <c r="FH34" i="1"/>
  <c r="FI33" i="1"/>
  <c r="FI30" i="1"/>
  <c r="FI29" i="1"/>
  <c r="FI27" i="1"/>
  <c r="FI26" i="1"/>
  <c r="FI25" i="1"/>
  <c r="FI24" i="1"/>
  <c r="FI20" i="1"/>
  <c r="FI19" i="1"/>
  <c r="FI11" i="1"/>
  <c r="FH11" i="1"/>
  <c r="FI10" i="1"/>
  <c r="FH10" i="1"/>
  <c r="FI9" i="1"/>
  <c r="FH9" i="1"/>
  <c r="FI8" i="1"/>
  <c r="FI88" i="1" s="1"/>
  <c r="FH8" i="1"/>
  <c r="FH86" i="1" s="1"/>
  <c r="FF81" i="1"/>
  <c r="FE81" i="1"/>
  <c r="FF76" i="1"/>
  <c r="FE76" i="1"/>
  <c r="FF68" i="1"/>
  <c r="FE68" i="1"/>
  <c r="FF56" i="1"/>
  <c r="FF50" i="1"/>
  <c r="FE50" i="1"/>
  <c r="FF43" i="1"/>
  <c r="FE43" i="1"/>
  <c r="FF42" i="1"/>
  <c r="FE42" i="1"/>
  <c r="FF41" i="1"/>
  <c r="FE41" i="1"/>
  <c r="FE37" i="1"/>
  <c r="FE35" i="1"/>
  <c r="FF34" i="1"/>
  <c r="FE34" i="1"/>
  <c r="FF33" i="1"/>
  <c r="FE33" i="1"/>
  <c r="FF30" i="1"/>
  <c r="FE30" i="1"/>
  <c r="FF29" i="1"/>
  <c r="FE29" i="1"/>
  <c r="FF27" i="1"/>
  <c r="FE27" i="1"/>
  <c r="FF26" i="1"/>
  <c r="FE26" i="1"/>
  <c r="FF25" i="1"/>
  <c r="FE25" i="1"/>
  <c r="FF24" i="1"/>
  <c r="FE24" i="1"/>
  <c r="FF20" i="1"/>
  <c r="FF19" i="1"/>
  <c r="FE19" i="1"/>
  <c r="FF11" i="1"/>
  <c r="FE11" i="1"/>
  <c r="FF10" i="1"/>
  <c r="FE10" i="1"/>
  <c r="FF9" i="1"/>
  <c r="FE9" i="1"/>
  <c r="FF8" i="1"/>
  <c r="FF88" i="1" s="1"/>
  <c r="FE8" i="1"/>
  <c r="FE89" i="1" s="1"/>
  <c r="I32" i="1"/>
  <c r="A13" i="4" l="1"/>
  <c r="A9" i="2"/>
  <c r="FJ82" i="1"/>
  <c r="FN82" i="1"/>
  <c r="FK82" i="1"/>
  <c r="FL82" i="1"/>
  <c r="FI82" i="1"/>
  <c r="FH82" i="1"/>
  <c r="FE82" i="1"/>
  <c r="FF82" i="1"/>
  <c r="FD90" i="1"/>
  <c r="FA89" i="1"/>
  <c r="FC88" i="1"/>
  <c r="FD82" i="1"/>
  <c r="FA82" i="1"/>
  <c r="FB81" i="1"/>
  <c r="FC76" i="1"/>
  <c r="FB68" i="1"/>
  <c r="FC67" i="1"/>
  <c r="FB66" i="1"/>
  <c r="FB64" i="1"/>
  <c r="FB63" i="1"/>
  <c r="FB55" i="1"/>
  <c r="FB51" i="1"/>
  <c r="FB50" i="1"/>
  <c r="FB47" i="1"/>
  <c r="FB46" i="1"/>
  <c r="FB43" i="1"/>
  <c r="FB42" i="1"/>
  <c r="FB41" i="1"/>
  <c r="FB40" i="1"/>
  <c r="FB38" i="1"/>
  <c r="FB32" i="1"/>
  <c r="FB29" i="1"/>
  <c r="FB27" i="1"/>
  <c r="FB25" i="1"/>
  <c r="FB22" i="1"/>
  <c r="FB20" i="1"/>
  <c r="FB19" i="1"/>
  <c r="FB17" i="1"/>
  <c r="FB11" i="1"/>
  <c r="FB10" i="1"/>
  <c r="FB9" i="1"/>
  <c r="FB8" i="1"/>
  <c r="FB87" i="1" s="1"/>
  <c r="FU69" i="1"/>
  <c r="A14" i="4" l="1"/>
  <c r="A10" i="2"/>
  <c r="FB82" i="1"/>
  <c r="FC82" i="1"/>
  <c r="EZ90" i="1"/>
  <c r="EZ45" i="1"/>
  <c r="EZ82" i="1" s="1"/>
  <c r="EY81" i="1"/>
  <c r="EX81" i="1"/>
  <c r="EX75" i="1"/>
  <c r="EY68" i="1"/>
  <c r="EX68" i="1"/>
  <c r="EX56" i="1"/>
  <c r="EY50" i="1"/>
  <c r="EX50" i="1"/>
  <c r="EY43" i="1"/>
  <c r="EX43" i="1"/>
  <c r="EY42" i="1"/>
  <c r="EX42" i="1"/>
  <c r="EY41" i="1"/>
  <c r="EX41" i="1"/>
  <c r="EY35" i="1"/>
  <c r="EY34" i="1"/>
  <c r="EY33" i="1"/>
  <c r="EX33" i="1"/>
  <c r="EY29" i="1"/>
  <c r="EX29" i="1"/>
  <c r="EY27" i="1"/>
  <c r="EX27" i="1"/>
  <c r="EY20" i="1"/>
  <c r="EX20" i="1"/>
  <c r="EY19" i="1"/>
  <c r="EX19" i="1"/>
  <c r="EY11" i="1"/>
  <c r="EX11" i="1"/>
  <c r="EY10" i="1"/>
  <c r="EX10" i="1"/>
  <c r="EY9" i="1"/>
  <c r="EX9" i="1"/>
  <c r="EY8" i="1"/>
  <c r="EY86" i="1" s="1"/>
  <c r="EX8" i="1"/>
  <c r="ET90" i="1"/>
  <c r="EV87" i="1"/>
  <c r="EU87" i="1"/>
  <c r="EV82" i="1"/>
  <c r="EU82" i="1"/>
  <c r="ET82" i="1"/>
  <c r="EW81" i="1"/>
  <c r="ES81" i="1"/>
  <c r="EW76" i="1"/>
  <c r="ES75" i="1"/>
  <c r="ES71" i="1"/>
  <c r="ES70" i="1"/>
  <c r="EW68" i="1"/>
  <c r="ES68" i="1"/>
  <c r="ES63" i="1"/>
  <c r="ES55" i="1"/>
  <c r="EW50" i="1"/>
  <c r="ES50" i="1"/>
  <c r="ES49" i="1"/>
  <c r="EW43" i="1"/>
  <c r="ES43" i="1"/>
  <c r="EW42" i="1"/>
  <c r="ES42" i="1"/>
  <c r="EW41" i="1"/>
  <c r="ES41" i="1"/>
  <c r="ES38" i="1"/>
  <c r="EW37" i="1"/>
  <c r="EW35" i="1"/>
  <c r="ES35" i="1"/>
  <c r="EW34" i="1"/>
  <c r="ES34" i="1"/>
  <c r="EW33" i="1"/>
  <c r="EW30" i="1"/>
  <c r="EW29" i="1"/>
  <c r="ES29" i="1"/>
  <c r="EW27" i="1"/>
  <c r="ES27" i="1"/>
  <c r="EW26" i="1"/>
  <c r="EW25" i="1"/>
  <c r="EW24" i="1"/>
  <c r="ES20" i="1"/>
  <c r="EW19" i="1"/>
  <c r="ES19" i="1"/>
  <c r="ES17" i="1"/>
  <c r="EW11" i="1"/>
  <c r="ES11" i="1"/>
  <c r="EW10" i="1"/>
  <c r="ES10" i="1"/>
  <c r="EW9" i="1"/>
  <c r="ES9" i="1"/>
  <c r="EW8" i="1"/>
  <c r="EW89" i="1" s="1"/>
  <c r="ES8" i="1"/>
  <c r="EQ88" i="1"/>
  <c r="EQ82" i="1"/>
  <c r="ER81" i="1"/>
  <c r="EP81" i="1"/>
  <c r="ER76" i="1"/>
  <c r="ER75" i="1"/>
  <c r="EP75" i="1"/>
  <c r="ER71" i="1"/>
  <c r="EP71" i="1"/>
  <c r="ER70" i="1"/>
  <c r="EP70" i="1"/>
  <c r="ER68" i="1"/>
  <c r="EP68" i="1"/>
  <c r="ER66" i="1"/>
  <c r="EP63" i="1"/>
  <c r="ER55" i="1"/>
  <c r="EP55" i="1"/>
  <c r="ER50" i="1"/>
  <c r="EP50" i="1"/>
  <c r="EP49" i="1"/>
  <c r="ER47" i="1"/>
  <c r="ER46" i="1"/>
  <c r="ER43" i="1"/>
  <c r="EP43" i="1"/>
  <c r="ER42" i="1"/>
  <c r="EP42" i="1"/>
  <c r="ER41" i="1"/>
  <c r="EP41" i="1"/>
  <c r="ER38" i="1"/>
  <c r="EP38" i="1"/>
  <c r="EP35" i="1"/>
  <c r="ER34" i="1"/>
  <c r="EP34" i="1"/>
  <c r="ER33" i="1"/>
  <c r="ER29" i="1"/>
  <c r="EP29" i="1"/>
  <c r="ER27" i="1"/>
  <c r="EP27" i="1"/>
  <c r="ER23" i="1"/>
  <c r="ER22" i="1"/>
  <c r="EP20" i="1"/>
  <c r="ER19" i="1"/>
  <c r="EP19" i="1"/>
  <c r="EP17" i="1"/>
  <c r="ER16" i="1"/>
  <c r="ER15" i="1"/>
  <c r="ER14" i="1"/>
  <c r="ER11" i="1"/>
  <c r="EP11" i="1"/>
  <c r="ER10" i="1"/>
  <c r="EP10" i="1"/>
  <c r="ER9" i="1"/>
  <c r="EP9" i="1"/>
  <c r="ER8" i="1"/>
  <c r="ER89" i="1" s="1"/>
  <c r="EP8" i="1"/>
  <c r="EP87" i="1" s="1"/>
  <c r="EO81" i="1"/>
  <c r="EO68" i="1"/>
  <c r="EO50" i="1"/>
  <c r="EO46" i="1"/>
  <c r="EO43" i="1"/>
  <c r="EO42" i="1"/>
  <c r="EO41" i="1"/>
  <c r="EO35" i="1"/>
  <c r="EO34" i="1"/>
  <c r="EO33" i="1"/>
  <c r="EO29" i="1"/>
  <c r="EO27" i="1"/>
  <c r="EO20" i="1"/>
  <c r="EO19" i="1"/>
  <c r="EO11" i="1"/>
  <c r="EO10" i="1"/>
  <c r="EO9" i="1"/>
  <c r="EO8" i="1"/>
  <c r="EO86" i="1" s="1"/>
  <c r="EN81" i="1"/>
  <c r="EN75" i="1"/>
  <c r="EN71" i="1"/>
  <c r="EN70" i="1"/>
  <c r="EN68" i="1"/>
  <c r="EN64" i="1"/>
  <c r="EN63" i="1"/>
  <c r="EN61" i="1"/>
  <c r="EN56" i="1"/>
  <c r="EN55" i="1"/>
  <c r="EN50" i="1"/>
  <c r="EN49" i="1"/>
  <c r="EN47" i="1"/>
  <c r="EN43" i="1"/>
  <c r="EN42" i="1"/>
  <c r="EN41" i="1"/>
  <c r="EN38" i="1"/>
  <c r="EN34" i="1"/>
  <c r="EN29" i="1"/>
  <c r="EN27" i="1"/>
  <c r="EN26" i="1"/>
  <c r="EN25" i="1"/>
  <c r="EN24" i="1"/>
  <c r="EN20" i="1"/>
  <c r="EN17" i="1"/>
  <c r="EN11" i="1"/>
  <c r="EN10" i="1"/>
  <c r="EN9" i="1"/>
  <c r="EN8" i="1"/>
  <c r="EM89" i="1"/>
  <c r="EL87" i="1"/>
  <c r="EK87" i="1"/>
  <c r="EL82" i="1"/>
  <c r="EK82" i="1"/>
  <c r="EM23" i="1"/>
  <c r="EM82" i="1" s="1"/>
  <c r="EF90" i="1"/>
  <c r="EE90" i="1"/>
  <c r="EH88" i="1"/>
  <c r="ED87" i="1"/>
  <c r="EC86" i="1"/>
  <c r="EH82" i="1"/>
  <c r="EF82" i="1"/>
  <c r="ED82" i="1"/>
  <c r="EC82" i="1"/>
  <c r="EJ81" i="1"/>
  <c r="EI81" i="1"/>
  <c r="EG81" i="1"/>
  <c r="EG76" i="1"/>
  <c r="EJ75" i="1"/>
  <c r="EJ71" i="1"/>
  <c r="EJ70" i="1"/>
  <c r="EJ68" i="1"/>
  <c r="EI68" i="1"/>
  <c r="EG68" i="1"/>
  <c r="EJ63" i="1"/>
  <c r="EJ55" i="1"/>
  <c r="EJ50" i="1"/>
  <c r="EI50" i="1"/>
  <c r="EG50" i="1"/>
  <c r="EJ49" i="1"/>
  <c r="EI46" i="1"/>
  <c r="EJ43" i="1"/>
  <c r="EI43" i="1"/>
  <c r="EG43" i="1"/>
  <c r="EJ42" i="1"/>
  <c r="EI42" i="1"/>
  <c r="EG42" i="1"/>
  <c r="EE42" i="1"/>
  <c r="EE82" i="1" s="1"/>
  <c r="EJ41" i="1"/>
  <c r="EI41" i="1"/>
  <c r="EG41" i="1"/>
  <c r="EJ38" i="1"/>
  <c r="EG37" i="1"/>
  <c r="EJ35" i="1"/>
  <c r="EI35" i="1"/>
  <c r="EG35" i="1"/>
  <c r="EJ34" i="1"/>
  <c r="EI34" i="1"/>
  <c r="EG34" i="1"/>
  <c r="EI33" i="1"/>
  <c r="EG33" i="1"/>
  <c r="EJ29" i="1"/>
  <c r="EI29" i="1"/>
  <c r="EG29" i="1"/>
  <c r="EJ27" i="1"/>
  <c r="EI27" i="1"/>
  <c r="EG27" i="1"/>
  <c r="EJ20" i="1"/>
  <c r="EI20" i="1"/>
  <c r="EG20" i="1"/>
  <c r="EJ19" i="1"/>
  <c r="EI19" i="1"/>
  <c r="EG19" i="1"/>
  <c r="EJ17" i="1"/>
  <c r="EJ11" i="1"/>
  <c r="EI11" i="1"/>
  <c r="EG11" i="1"/>
  <c r="EJ10" i="1"/>
  <c r="EI10" i="1"/>
  <c r="EG10" i="1"/>
  <c r="EJ9" i="1"/>
  <c r="EI9" i="1"/>
  <c r="EG9" i="1"/>
  <c r="EJ8" i="1"/>
  <c r="EJ87" i="1" s="1"/>
  <c r="EI8" i="1"/>
  <c r="EG8" i="1"/>
  <c r="EG87" i="1" s="1"/>
  <c r="FU57" i="1"/>
  <c r="GP57" i="1"/>
  <c r="GR57" i="1"/>
  <c r="GS57" i="1"/>
  <c r="GT57" i="1"/>
  <c r="GU57" i="1"/>
  <c r="DZ89" i="1"/>
  <c r="EA87" i="1"/>
  <c r="DZ82" i="1"/>
  <c r="EB81" i="1"/>
  <c r="EB76" i="1"/>
  <c r="EB68" i="1"/>
  <c r="EA67" i="1"/>
  <c r="EB56" i="1"/>
  <c r="EB55" i="1"/>
  <c r="EB49" i="1"/>
  <c r="EB43" i="1"/>
  <c r="EB34" i="1"/>
  <c r="EB30" i="1"/>
  <c r="EB29" i="1"/>
  <c r="EA29" i="1"/>
  <c r="EB27" i="1"/>
  <c r="EA27" i="1"/>
  <c r="EB26" i="1"/>
  <c r="EA26" i="1"/>
  <c r="EB25" i="1"/>
  <c r="EA25" i="1"/>
  <c r="EB24" i="1"/>
  <c r="EA24" i="1"/>
  <c r="EB20" i="1"/>
  <c r="EB19" i="1"/>
  <c r="EB17" i="1"/>
  <c r="EA17" i="1"/>
  <c r="EB11" i="1"/>
  <c r="EA11" i="1"/>
  <c r="EB10" i="1"/>
  <c r="EA10" i="1"/>
  <c r="EB9" i="1"/>
  <c r="EA9" i="1"/>
  <c r="EB8" i="1"/>
  <c r="EB88" i="1" s="1"/>
  <c r="A15" i="4" l="1"/>
  <c r="A11" i="2"/>
  <c r="GQ57" i="1"/>
  <c r="EX82" i="1"/>
  <c r="EX88" i="1"/>
  <c r="EY82" i="1"/>
  <c r="ES82" i="1"/>
  <c r="ES87" i="1"/>
  <c r="ER82" i="1"/>
  <c r="EW82" i="1"/>
  <c r="EP82" i="1"/>
  <c r="EO82" i="1"/>
  <c r="EN82" i="1"/>
  <c r="EN90" i="1"/>
  <c r="EI82" i="1"/>
  <c r="EJ82" i="1"/>
  <c r="EG82" i="1"/>
  <c r="EI86" i="1"/>
  <c r="EB82" i="1"/>
  <c r="EA82" i="1"/>
  <c r="DY81" i="1"/>
  <c r="DX81" i="1"/>
  <c r="DX76" i="1"/>
  <c r="DY68" i="1"/>
  <c r="DX68" i="1"/>
  <c r="DY50" i="1"/>
  <c r="DX50" i="1"/>
  <c r="DY46" i="1"/>
  <c r="DY43" i="1"/>
  <c r="DX43" i="1"/>
  <c r="DY42" i="1"/>
  <c r="DX42" i="1"/>
  <c r="DY41" i="1"/>
  <c r="DX41" i="1"/>
  <c r="DX37" i="1"/>
  <c r="DY35" i="1"/>
  <c r="DX35" i="1"/>
  <c r="DY34" i="1"/>
  <c r="DX34" i="1"/>
  <c r="DY33" i="1"/>
  <c r="DX33" i="1"/>
  <c r="DX30" i="1"/>
  <c r="DY29" i="1"/>
  <c r="DX29" i="1"/>
  <c r="DY27" i="1"/>
  <c r="DX27" i="1"/>
  <c r="DX26" i="1"/>
  <c r="DX25" i="1"/>
  <c r="DX24" i="1"/>
  <c r="DY20" i="1"/>
  <c r="DY19" i="1"/>
  <c r="DX19" i="1"/>
  <c r="DY11" i="1"/>
  <c r="DX11" i="1"/>
  <c r="DY10" i="1"/>
  <c r="DX10" i="1"/>
  <c r="DY9" i="1"/>
  <c r="DX9" i="1"/>
  <c r="DY8" i="1"/>
  <c r="DY86" i="1" s="1"/>
  <c r="DX8" i="1"/>
  <c r="A16" i="4" l="1"/>
  <c r="A12" i="2"/>
  <c r="DY82" i="1"/>
  <c r="DX82" i="1"/>
  <c r="DX89" i="1"/>
  <c r="A17" i="4" l="1"/>
  <c r="A13" i="2"/>
  <c r="GT10" i="1"/>
  <c r="GT12" i="1"/>
  <c r="GT13" i="1"/>
  <c r="GT14" i="1"/>
  <c r="GT15" i="1"/>
  <c r="GT16" i="1"/>
  <c r="GT17" i="1"/>
  <c r="GT19" i="1"/>
  <c r="GT21" i="1"/>
  <c r="GT22" i="1"/>
  <c r="GT24" i="1"/>
  <c r="GT28" i="1"/>
  <c r="GT29" i="1"/>
  <c r="GT30" i="1"/>
  <c r="GT31" i="1"/>
  <c r="GT32" i="1"/>
  <c r="GT33" i="1"/>
  <c r="GT37" i="1"/>
  <c r="GT39" i="1"/>
  <c r="GT40" i="1"/>
  <c r="GT44" i="1"/>
  <c r="GT45" i="1"/>
  <c r="GT46" i="1"/>
  <c r="GT48" i="1"/>
  <c r="GT52" i="1"/>
  <c r="GT53" i="1"/>
  <c r="GT54" i="1"/>
  <c r="GT60" i="1"/>
  <c r="GT62" i="1"/>
  <c r="GT65" i="1"/>
  <c r="GT67" i="1"/>
  <c r="GT68" i="1"/>
  <c r="GT69" i="1"/>
  <c r="GT70" i="1"/>
  <c r="GT73" i="1"/>
  <c r="GT74" i="1"/>
  <c r="GT75" i="1"/>
  <c r="GT76" i="1"/>
  <c r="GT77" i="1"/>
  <c r="GT78" i="1"/>
  <c r="GT79" i="1"/>
  <c r="GT9" i="1"/>
  <c r="DV88" i="1"/>
  <c r="DW87" i="1"/>
  <c r="DW82" i="1"/>
  <c r="DV20" i="1"/>
  <c r="DV82" i="1" s="1"/>
  <c r="E71" i="1"/>
  <c r="GT71" i="1" s="1"/>
  <c r="E72" i="1"/>
  <c r="GT72" i="1" s="1"/>
  <c r="E66" i="1"/>
  <c r="GT66" i="1" s="1"/>
  <c r="E64" i="1"/>
  <c r="GT64" i="1" s="1"/>
  <c r="E63" i="1"/>
  <c r="GT63" i="1" s="1"/>
  <c r="E61" i="1"/>
  <c r="GT61" i="1" s="1"/>
  <c r="E59" i="1"/>
  <c r="GT59" i="1" s="1"/>
  <c r="E56" i="1"/>
  <c r="GT56" i="1" s="1"/>
  <c r="E55" i="1"/>
  <c r="GT55" i="1" s="1"/>
  <c r="FU52" i="1"/>
  <c r="FU53" i="1"/>
  <c r="E51" i="1"/>
  <c r="GT51" i="1" s="1"/>
  <c r="E50" i="1"/>
  <c r="GT50" i="1" s="1"/>
  <c r="E49" i="1"/>
  <c r="GT49" i="1" s="1"/>
  <c r="E47" i="1"/>
  <c r="GT47" i="1" s="1"/>
  <c r="E43" i="1"/>
  <c r="GT43" i="1" s="1"/>
  <c r="E42" i="1"/>
  <c r="GT42" i="1" s="1"/>
  <c r="E41" i="1"/>
  <c r="GT41" i="1" s="1"/>
  <c r="E38" i="1"/>
  <c r="GT38" i="1" s="1"/>
  <c r="E35" i="1"/>
  <c r="GT35" i="1" s="1"/>
  <c r="E34" i="1"/>
  <c r="GT34" i="1" s="1"/>
  <c r="E27" i="1"/>
  <c r="GT27" i="1" s="1"/>
  <c r="E26" i="1"/>
  <c r="GT26" i="1" s="1"/>
  <c r="E25" i="1"/>
  <c r="GT25" i="1" s="1"/>
  <c r="E23" i="1"/>
  <c r="GT23" i="1" s="1"/>
  <c r="E20" i="1"/>
  <c r="GT20" i="1" s="1"/>
  <c r="E11" i="1"/>
  <c r="GT11" i="1" s="1"/>
  <c r="H76" i="1"/>
  <c r="H75" i="1"/>
  <c r="H68" i="1"/>
  <c r="H66" i="1"/>
  <c r="H61" i="1"/>
  <c r="H55" i="1"/>
  <c r="H46" i="1"/>
  <c r="H43" i="1"/>
  <c r="H42" i="1"/>
  <c r="H23" i="1"/>
  <c r="H20" i="1"/>
  <c r="H19" i="1"/>
  <c r="H11" i="1"/>
  <c r="H18" i="1" s="1"/>
  <c r="DU88" i="1"/>
  <c r="DU11" i="1"/>
  <c r="DU82" i="1" s="1"/>
  <c r="A6" i="11"/>
  <c r="A7" i="11" s="1"/>
  <c r="A8" i="11" s="1"/>
  <c r="A5" i="11"/>
  <c r="C8" i="11"/>
  <c r="F8" i="11" s="1"/>
  <c r="C7" i="11"/>
  <c r="F7" i="11" s="1"/>
  <c r="C6" i="11"/>
  <c r="F6" i="11" s="1"/>
  <c r="D5" i="11"/>
  <c r="C5" i="11"/>
  <c r="D4" i="11"/>
  <c r="F4" i="11" s="1"/>
  <c r="DR89" i="1"/>
  <c r="DN86" i="1"/>
  <c r="DR82" i="1"/>
  <c r="DQ81" i="1"/>
  <c r="DP81" i="1"/>
  <c r="DO81" i="1"/>
  <c r="DP75" i="1"/>
  <c r="DO75" i="1"/>
  <c r="DP71" i="1"/>
  <c r="DO71" i="1"/>
  <c r="DQ70" i="1"/>
  <c r="DP70" i="1"/>
  <c r="DO70" i="1"/>
  <c r="DP68" i="1"/>
  <c r="DO68" i="1"/>
  <c r="DN68" i="1"/>
  <c r="DP64" i="1"/>
  <c r="DP63" i="1"/>
  <c r="DO63" i="1"/>
  <c r="DP61" i="1"/>
  <c r="DP56" i="1"/>
  <c r="DP55" i="1"/>
  <c r="DO55" i="1"/>
  <c r="DP50" i="1"/>
  <c r="DO50" i="1"/>
  <c r="DN50" i="1"/>
  <c r="DP49" i="1"/>
  <c r="DO49" i="1"/>
  <c r="DP47" i="1"/>
  <c r="DP43" i="1"/>
  <c r="DO43" i="1"/>
  <c r="DN43" i="1"/>
  <c r="DP42" i="1"/>
  <c r="DO42" i="1"/>
  <c r="DN42" i="1"/>
  <c r="DP41" i="1"/>
  <c r="DO41" i="1"/>
  <c r="DN41" i="1"/>
  <c r="DP38" i="1"/>
  <c r="DO38" i="1"/>
  <c r="DO35" i="1"/>
  <c r="DN35" i="1"/>
  <c r="DQ34" i="1"/>
  <c r="DP34" i="1"/>
  <c r="DO34" i="1"/>
  <c r="DN34" i="1"/>
  <c r="DN33" i="1"/>
  <c r="DQ30" i="1"/>
  <c r="DQ29" i="1"/>
  <c r="DP29" i="1"/>
  <c r="DO29" i="1"/>
  <c r="DN29" i="1"/>
  <c r="DQ27" i="1"/>
  <c r="DP27" i="1"/>
  <c r="DO27" i="1"/>
  <c r="DN27" i="1"/>
  <c r="DQ26" i="1"/>
  <c r="DP26" i="1"/>
  <c r="DQ25" i="1"/>
  <c r="DP25" i="1"/>
  <c r="DQ24" i="1"/>
  <c r="DP24" i="1"/>
  <c r="DQ22" i="1"/>
  <c r="DP20" i="1"/>
  <c r="DO20" i="1"/>
  <c r="DN20" i="1"/>
  <c r="DQ19" i="1"/>
  <c r="DO19" i="1"/>
  <c r="DN19" i="1"/>
  <c r="DP17" i="1"/>
  <c r="DO17" i="1"/>
  <c r="DQ11" i="1"/>
  <c r="DP11" i="1"/>
  <c r="DO11" i="1"/>
  <c r="DQ10" i="1"/>
  <c r="DP10" i="1"/>
  <c r="DO10" i="1"/>
  <c r="DN10" i="1"/>
  <c r="DQ9" i="1"/>
  <c r="DP9" i="1"/>
  <c r="DO9" i="1"/>
  <c r="DN9" i="1"/>
  <c r="DQ8" i="1"/>
  <c r="DQ89" i="1" s="1"/>
  <c r="DP8" i="1"/>
  <c r="DP90" i="1" s="1"/>
  <c r="DO8" i="1"/>
  <c r="BR89" i="1"/>
  <c r="A19" i="4" l="1"/>
  <c r="A16" i="2" s="1"/>
  <c r="A14" i="2"/>
  <c r="H36" i="1"/>
  <c r="F5" i="11"/>
  <c r="DN82" i="1"/>
  <c r="DO82" i="1"/>
  <c r="DP82" i="1"/>
  <c r="DO87" i="1"/>
  <c r="DQ82" i="1"/>
  <c r="DM81" i="1"/>
  <c r="DM76" i="1"/>
  <c r="DM68" i="1"/>
  <c r="DM56" i="1"/>
  <c r="DM50" i="1"/>
  <c r="DM43" i="1"/>
  <c r="DM42" i="1"/>
  <c r="DM41" i="1"/>
  <c r="DM34" i="1"/>
  <c r="DM33" i="1"/>
  <c r="DM30" i="1"/>
  <c r="DM29" i="1"/>
  <c r="DM27" i="1"/>
  <c r="DM26" i="1"/>
  <c r="DM25" i="1"/>
  <c r="DM24" i="1"/>
  <c r="DM20" i="1"/>
  <c r="DM19" i="1"/>
  <c r="DM11" i="1"/>
  <c r="DM10" i="1"/>
  <c r="DM9" i="1"/>
  <c r="DM8" i="1"/>
  <c r="DM82" i="1" l="1"/>
  <c r="DM88" i="1"/>
  <c r="I80" i="1"/>
  <c r="DK89" i="1"/>
  <c r="DK82" i="1"/>
  <c r="DL81" i="1"/>
  <c r="DJ81" i="1"/>
  <c r="DJ75" i="1"/>
  <c r="DL68" i="1"/>
  <c r="DJ68" i="1"/>
  <c r="DL56" i="1"/>
  <c r="DL53" i="1"/>
  <c r="DL50" i="1"/>
  <c r="DJ49" i="1"/>
  <c r="DL43" i="1"/>
  <c r="DJ43" i="1"/>
  <c r="DL42" i="1"/>
  <c r="DJ42" i="1"/>
  <c r="DL41" i="1"/>
  <c r="DJ41" i="1"/>
  <c r="DL34" i="1"/>
  <c r="DJ34" i="1"/>
  <c r="DL33" i="1"/>
  <c r="DL30" i="1"/>
  <c r="DL29" i="1"/>
  <c r="DL27" i="1"/>
  <c r="DL26" i="1"/>
  <c r="DL25" i="1"/>
  <c r="DL24" i="1"/>
  <c r="DL20" i="1"/>
  <c r="DJ20" i="1"/>
  <c r="DL19" i="1"/>
  <c r="DL11" i="1"/>
  <c r="DL10" i="1"/>
  <c r="DL9" i="1"/>
  <c r="DL8" i="1"/>
  <c r="DL88" i="1" s="1"/>
  <c r="DJ8" i="1"/>
  <c r="DJ89" i="1" s="1"/>
  <c r="DD90" i="1"/>
  <c r="DE87" i="1"/>
  <c r="DG86" i="1"/>
  <c r="DI81" i="1"/>
  <c r="DH81" i="1"/>
  <c r="DF81" i="1"/>
  <c r="DF76" i="1"/>
  <c r="DI75" i="1"/>
  <c r="DH75" i="1"/>
  <c r="DF75" i="1"/>
  <c r="DI71" i="1"/>
  <c r="DH71" i="1"/>
  <c r="DF71" i="1"/>
  <c r="DI70" i="1"/>
  <c r="DH70" i="1"/>
  <c r="DF70" i="1"/>
  <c r="DI68" i="1"/>
  <c r="DH68" i="1"/>
  <c r="DG68" i="1"/>
  <c r="DF68" i="1"/>
  <c r="DF66" i="1"/>
  <c r="DI64" i="1"/>
  <c r="DI63" i="1"/>
  <c r="DH63" i="1"/>
  <c r="DF63" i="1"/>
  <c r="DI61" i="1"/>
  <c r="DI56" i="1"/>
  <c r="DI55" i="1"/>
  <c r="DH55" i="1"/>
  <c r="DI50" i="1"/>
  <c r="DH50" i="1"/>
  <c r="DG50" i="1"/>
  <c r="DF50" i="1"/>
  <c r="DI49" i="1"/>
  <c r="DH49" i="1"/>
  <c r="DI47" i="1"/>
  <c r="DI43" i="1"/>
  <c r="DH43" i="1"/>
  <c r="DG43" i="1"/>
  <c r="DF43" i="1"/>
  <c r="DI42" i="1"/>
  <c r="DH42" i="1"/>
  <c r="DG42" i="1"/>
  <c r="DF42" i="1"/>
  <c r="DE42" i="1"/>
  <c r="DI41" i="1"/>
  <c r="DH41" i="1"/>
  <c r="DG41" i="1"/>
  <c r="DF41" i="1"/>
  <c r="DI38" i="1"/>
  <c r="DH38" i="1"/>
  <c r="DH35" i="1"/>
  <c r="DG35" i="1"/>
  <c r="DF35" i="1"/>
  <c r="DI34" i="1"/>
  <c r="DH34" i="1"/>
  <c r="DG34" i="1"/>
  <c r="DF34" i="1"/>
  <c r="DG33" i="1"/>
  <c r="DI29" i="1"/>
  <c r="DH29" i="1"/>
  <c r="DG29" i="1"/>
  <c r="DF29" i="1"/>
  <c r="DI27" i="1"/>
  <c r="DH27" i="1"/>
  <c r="DG27" i="1"/>
  <c r="DF27" i="1"/>
  <c r="DI26" i="1"/>
  <c r="DF26" i="1"/>
  <c r="DI25" i="1"/>
  <c r="DF25" i="1"/>
  <c r="DI24" i="1"/>
  <c r="DF24" i="1"/>
  <c r="DI20" i="1"/>
  <c r="DH20" i="1"/>
  <c r="DG20" i="1"/>
  <c r="DF20" i="1"/>
  <c r="DH19" i="1"/>
  <c r="DG19" i="1"/>
  <c r="DF19" i="1"/>
  <c r="DI17" i="1"/>
  <c r="DH17" i="1"/>
  <c r="DF17" i="1"/>
  <c r="DD17" i="1"/>
  <c r="DD82" i="1" s="1"/>
  <c r="DI11" i="1"/>
  <c r="DH11" i="1"/>
  <c r="DF11" i="1"/>
  <c r="DI10" i="1"/>
  <c r="DH10" i="1"/>
  <c r="DG10" i="1"/>
  <c r="DF10" i="1"/>
  <c r="DE10" i="1"/>
  <c r="DI9" i="1"/>
  <c r="DH9" i="1"/>
  <c r="DG9" i="1"/>
  <c r="DF9" i="1"/>
  <c r="DI8" i="1"/>
  <c r="DI90" i="1" s="1"/>
  <c r="DH8" i="1"/>
  <c r="DH87" i="1" s="1"/>
  <c r="DF8" i="1"/>
  <c r="DC81" i="1"/>
  <c r="DB81" i="1"/>
  <c r="DA81" i="1"/>
  <c r="CZ81" i="1"/>
  <c r="DB76" i="1"/>
  <c r="CZ76" i="1"/>
  <c r="DC75" i="1"/>
  <c r="DC68" i="1"/>
  <c r="DB68" i="1"/>
  <c r="DA68" i="1"/>
  <c r="CZ68" i="1"/>
  <c r="DC56" i="1"/>
  <c r="DC50" i="1"/>
  <c r="DB50" i="1"/>
  <c r="DA50" i="1"/>
  <c r="CZ50" i="1"/>
  <c r="DC43" i="1"/>
  <c r="DB43" i="1"/>
  <c r="DA43" i="1"/>
  <c r="CZ43" i="1"/>
  <c r="DC42" i="1"/>
  <c r="DB42" i="1"/>
  <c r="DA42" i="1"/>
  <c r="CZ42" i="1"/>
  <c r="DC41" i="1"/>
  <c r="DB41" i="1"/>
  <c r="DA41" i="1"/>
  <c r="CZ41" i="1"/>
  <c r="DB37" i="1"/>
  <c r="CZ37" i="1"/>
  <c r="DB35" i="1"/>
  <c r="DA35" i="1"/>
  <c r="CZ35" i="1"/>
  <c r="DB34" i="1"/>
  <c r="DA34" i="1"/>
  <c r="CZ34" i="1"/>
  <c r="DC33" i="1"/>
  <c r="DB33" i="1"/>
  <c r="DA33" i="1"/>
  <c r="CZ33" i="1"/>
  <c r="DB30" i="1"/>
  <c r="CZ30" i="1"/>
  <c r="DC29" i="1"/>
  <c r="DB29" i="1"/>
  <c r="DA29" i="1"/>
  <c r="CZ29" i="1"/>
  <c r="DC27" i="1"/>
  <c r="DB27" i="1"/>
  <c r="DA27" i="1"/>
  <c r="CZ27" i="1"/>
  <c r="DB26" i="1"/>
  <c r="CZ26" i="1"/>
  <c r="DB25" i="1"/>
  <c r="CZ25" i="1"/>
  <c r="DB24" i="1"/>
  <c r="CZ24" i="1"/>
  <c r="DC20" i="1"/>
  <c r="DA20" i="1"/>
  <c r="DC19" i="1"/>
  <c r="DB19" i="1"/>
  <c r="DA19" i="1"/>
  <c r="CZ19" i="1"/>
  <c r="DC11" i="1"/>
  <c r="DB11" i="1"/>
  <c r="DA11" i="1"/>
  <c r="CZ11" i="1"/>
  <c r="DC10" i="1"/>
  <c r="DB10" i="1"/>
  <c r="DA10" i="1"/>
  <c r="CZ10" i="1"/>
  <c r="DC9" i="1"/>
  <c r="DB9" i="1"/>
  <c r="DA9" i="1"/>
  <c r="CZ9" i="1"/>
  <c r="DC8" i="1"/>
  <c r="DC88" i="1" s="1"/>
  <c r="DB8" i="1"/>
  <c r="DA8" i="1"/>
  <c r="CZ8" i="1"/>
  <c r="CZ89" i="1" s="1"/>
  <c r="BJ53" i="1"/>
  <c r="DL82" i="1" l="1"/>
  <c r="DJ82" i="1"/>
  <c r="DE82" i="1"/>
  <c r="DI82" i="1"/>
  <c r="DF82" i="1"/>
  <c r="DG82" i="1"/>
  <c r="DH82" i="1"/>
  <c r="DF87" i="1"/>
  <c r="DC82" i="1"/>
  <c r="DA82" i="1"/>
  <c r="DB82" i="1"/>
  <c r="CZ82" i="1"/>
  <c r="DB89" i="1"/>
  <c r="DA86" i="1"/>
  <c r="CY89" i="1"/>
  <c r="CY82" i="1"/>
  <c r="CX81" i="1"/>
  <c r="CX68" i="1"/>
  <c r="CX56" i="1"/>
  <c r="CX55" i="1"/>
  <c r="CX49" i="1"/>
  <c r="CX43" i="1"/>
  <c r="CX34" i="1"/>
  <c r="CX30" i="1"/>
  <c r="CX29" i="1"/>
  <c r="CX27" i="1"/>
  <c r="CX26" i="1"/>
  <c r="CX25" i="1"/>
  <c r="CX24" i="1"/>
  <c r="CX20" i="1"/>
  <c r="CX19" i="1"/>
  <c r="CX17" i="1"/>
  <c r="CX10" i="1"/>
  <c r="CX9" i="1"/>
  <c r="CX8" i="1"/>
  <c r="CX88" i="1" s="1"/>
  <c r="CW89" i="1"/>
  <c r="CV87" i="1"/>
  <c r="CU86" i="1"/>
  <c r="CW82" i="1"/>
  <c r="CV82" i="1"/>
  <c r="CU82" i="1"/>
  <c r="CT88" i="1"/>
  <c r="CT82" i="1"/>
  <c r="CX82" i="1" l="1"/>
  <c r="CS89" i="1" l="1"/>
  <c r="CQ88" i="1"/>
  <c r="CR86" i="1"/>
  <c r="CS82" i="1"/>
  <c r="CQ82" i="1"/>
  <c r="CP81" i="1"/>
  <c r="CO81" i="1"/>
  <c r="CP76" i="1"/>
  <c r="CO76" i="1"/>
  <c r="CO75" i="1"/>
  <c r="CO71" i="1"/>
  <c r="CO70" i="1"/>
  <c r="CP68" i="1"/>
  <c r="CO68" i="1"/>
  <c r="CO64" i="1"/>
  <c r="CO63" i="1"/>
  <c r="CO61" i="1"/>
  <c r="CO56" i="1"/>
  <c r="CO55" i="1"/>
  <c r="CP50" i="1"/>
  <c r="CO50" i="1"/>
  <c r="CO49" i="1"/>
  <c r="CO47" i="1"/>
  <c r="CP43" i="1"/>
  <c r="CO43" i="1"/>
  <c r="CR42" i="1"/>
  <c r="CR82" i="1" s="1"/>
  <c r="CP42" i="1"/>
  <c r="CO42" i="1"/>
  <c r="CP41" i="1"/>
  <c r="CO41" i="1"/>
  <c r="CO38" i="1"/>
  <c r="CP35" i="1"/>
  <c r="CP34" i="1"/>
  <c r="CO34" i="1"/>
  <c r="CP33" i="1"/>
  <c r="CP29" i="1"/>
  <c r="CO29" i="1"/>
  <c r="CP27" i="1"/>
  <c r="CO27" i="1"/>
  <c r="CP20" i="1"/>
  <c r="CO20" i="1"/>
  <c r="CP19" i="1"/>
  <c r="CO17" i="1"/>
  <c r="CP13" i="1"/>
  <c r="CP11" i="1"/>
  <c r="CO11" i="1"/>
  <c r="CP10" i="1"/>
  <c r="CO10" i="1"/>
  <c r="CP9" i="1"/>
  <c r="CO9" i="1"/>
  <c r="CP8" i="1"/>
  <c r="CP86" i="1" s="1"/>
  <c r="CO8" i="1"/>
  <c r="CO90" i="1" s="1"/>
  <c r="CM90" i="1"/>
  <c r="CN88" i="1"/>
  <c r="CN82" i="1"/>
  <c r="CM82" i="1"/>
  <c r="CL81" i="1"/>
  <c r="CK81" i="1"/>
  <c r="CL76" i="1"/>
  <c r="CK76" i="1"/>
  <c r="CL75" i="1"/>
  <c r="CL71" i="1"/>
  <c r="CL70" i="1"/>
  <c r="CL68" i="1"/>
  <c r="CK68" i="1"/>
  <c r="CL66" i="1"/>
  <c r="CL63" i="1"/>
  <c r="CL50" i="1"/>
  <c r="CK50" i="1"/>
  <c r="CL47" i="1"/>
  <c r="CL46" i="1"/>
  <c r="CL43" i="1"/>
  <c r="CK43" i="1"/>
  <c r="CL42" i="1"/>
  <c r="CK42" i="1"/>
  <c r="CL41" i="1"/>
  <c r="CK41" i="1"/>
  <c r="CL40" i="1"/>
  <c r="CL38" i="1"/>
  <c r="CL37" i="1"/>
  <c r="CK37" i="1"/>
  <c r="CL35" i="1"/>
  <c r="CK35" i="1"/>
  <c r="CL34" i="1"/>
  <c r="CK34" i="1"/>
  <c r="CK33" i="1"/>
  <c r="CL32" i="1"/>
  <c r="CK30" i="1"/>
  <c r="CL29" i="1"/>
  <c r="CK29" i="1"/>
  <c r="CL27" i="1"/>
  <c r="CK27" i="1"/>
  <c r="CK26" i="1"/>
  <c r="CK25" i="1"/>
  <c r="CK24" i="1"/>
  <c r="CL20" i="1"/>
  <c r="CL19" i="1"/>
  <c r="CK19" i="1"/>
  <c r="CL17" i="1"/>
  <c r="CL11" i="1"/>
  <c r="CK11" i="1"/>
  <c r="CL10" i="1"/>
  <c r="CK10" i="1"/>
  <c r="CL9" i="1"/>
  <c r="CK9" i="1"/>
  <c r="CL8" i="1"/>
  <c r="CL87" i="1" s="1"/>
  <c r="CK8" i="1"/>
  <c r="CK89" i="1" s="1"/>
  <c r="CJ88" i="1"/>
  <c r="CJ82" i="1"/>
  <c r="CP82" i="1" l="1"/>
  <c r="CO82" i="1"/>
  <c r="CL82" i="1"/>
  <c r="CK82" i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48" i="2"/>
  <c r="N48" i="2" s="1"/>
  <c r="L49" i="2"/>
  <c r="N49" i="2" s="1"/>
  <c r="L50" i="2"/>
  <c r="N50" i="2" s="1"/>
  <c r="L51" i="2"/>
  <c r="N51" i="2" s="1"/>
  <c r="L52" i="2"/>
  <c r="N52" i="2" s="1"/>
  <c r="L54" i="2"/>
  <c r="N54" i="2" s="1"/>
  <c r="O51" i="2"/>
  <c r="O52" i="2"/>
  <c r="O50" i="2"/>
  <c r="O49" i="2"/>
  <c r="O66" i="2"/>
  <c r="O62" i="2"/>
  <c r="O57" i="2"/>
  <c r="DS60" i="1"/>
  <c r="CI90" i="1"/>
  <c r="CG86" i="1"/>
  <c r="CG82" i="1"/>
  <c r="CH81" i="1"/>
  <c r="CH68" i="1"/>
  <c r="CH66" i="1"/>
  <c r="CH64" i="1"/>
  <c r="CH63" i="1"/>
  <c r="CI61" i="1"/>
  <c r="CH55" i="1"/>
  <c r="CH51" i="1"/>
  <c r="CH50" i="1"/>
  <c r="CH47" i="1"/>
  <c r="CH46" i="1"/>
  <c r="CH43" i="1"/>
  <c r="CH42" i="1"/>
  <c r="CH41" i="1"/>
  <c r="CH40" i="1"/>
  <c r="CH38" i="1"/>
  <c r="CI35" i="1"/>
  <c r="CI32" i="1"/>
  <c r="CH32" i="1"/>
  <c r="CH29" i="1"/>
  <c r="CH27" i="1"/>
  <c r="CH25" i="1"/>
  <c r="CH22" i="1"/>
  <c r="CH20" i="1"/>
  <c r="CH19" i="1"/>
  <c r="CH17" i="1"/>
  <c r="CH11" i="1"/>
  <c r="CH10" i="1"/>
  <c r="CH9" i="1"/>
  <c r="CH8" i="1"/>
  <c r="CH87" i="1" s="1"/>
  <c r="GP60" i="1"/>
  <c r="GQ60" i="1" s="1"/>
  <c r="GR60" i="1"/>
  <c r="GS60" i="1"/>
  <c r="GU60" i="1"/>
  <c r="CE86" i="1"/>
  <c r="CE82" i="1"/>
  <c r="CF81" i="1"/>
  <c r="CF75" i="1"/>
  <c r="CF71" i="1"/>
  <c r="CF70" i="1"/>
  <c r="CF68" i="1"/>
  <c r="CF64" i="1"/>
  <c r="CF63" i="1"/>
  <c r="CF61" i="1"/>
  <c r="CF56" i="1"/>
  <c r="CF55" i="1"/>
  <c r="CF50" i="1"/>
  <c r="CF49" i="1"/>
  <c r="CF47" i="1"/>
  <c r="CF43" i="1"/>
  <c r="CF42" i="1"/>
  <c r="CF41" i="1"/>
  <c r="CF38" i="1"/>
  <c r="CF34" i="1"/>
  <c r="CF29" i="1"/>
  <c r="CF27" i="1"/>
  <c r="CF26" i="1"/>
  <c r="CF25" i="1"/>
  <c r="CF24" i="1"/>
  <c r="CF20" i="1"/>
  <c r="CF17" i="1"/>
  <c r="CF11" i="1"/>
  <c r="CF10" i="1"/>
  <c r="CF9" i="1"/>
  <c r="CF8" i="1"/>
  <c r="CF90" i="1" s="1"/>
  <c r="CH82" i="1" l="1"/>
  <c r="CI82" i="1"/>
  <c r="CF82" i="1"/>
  <c r="CD81" i="1" l="1"/>
  <c r="CC81" i="1"/>
  <c r="CB81" i="1"/>
  <c r="CB76" i="1"/>
  <c r="CD75" i="1"/>
  <c r="CD71" i="1"/>
  <c r="CD70" i="1"/>
  <c r="CD68" i="1"/>
  <c r="CC68" i="1"/>
  <c r="CB68" i="1"/>
  <c r="CD63" i="1"/>
  <c r="CC56" i="1"/>
  <c r="CB56" i="1"/>
  <c r="CD55" i="1"/>
  <c r="CC53" i="1"/>
  <c r="DS53" i="1" s="1"/>
  <c r="CD50" i="1"/>
  <c r="CC50" i="1"/>
  <c r="CB50" i="1"/>
  <c r="CD49" i="1"/>
  <c r="CD43" i="1"/>
  <c r="CC43" i="1"/>
  <c r="CB43" i="1"/>
  <c r="CD42" i="1"/>
  <c r="CC42" i="1"/>
  <c r="CB42" i="1"/>
  <c r="CD41" i="1"/>
  <c r="CC41" i="1"/>
  <c r="CB41" i="1"/>
  <c r="CD38" i="1"/>
  <c r="CD35" i="1"/>
  <c r="CD34" i="1"/>
  <c r="CC34" i="1"/>
  <c r="CB34" i="1"/>
  <c r="CC33" i="1"/>
  <c r="CB33" i="1"/>
  <c r="CC30" i="1"/>
  <c r="CB30" i="1"/>
  <c r="CD29" i="1"/>
  <c r="CC29" i="1"/>
  <c r="CB29" i="1"/>
  <c r="CD27" i="1"/>
  <c r="CC27" i="1"/>
  <c r="CB27" i="1"/>
  <c r="CC26" i="1"/>
  <c r="CB26" i="1"/>
  <c r="CC25" i="1"/>
  <c r="CB25" i="1"/>
  <c r="CC24" i="1"/>
  <c r="CB24" i="1"/>
  <c r="CD20" i="1"/>
  <c r="CC20" i="1"/>
  <c r="CB20" i="1"/>
  <c r="CD19" i="1"/>
  <c r="CC19" i="1"/>
  <c r="CB19" i="1"/>
  <c r="CD17" i="1"/>
  <c r="CD11" i="1"/>
  <c r="CC11" i="1"/>
  <c r="CB11" i="1"/>
  <c r="CD10" i="1"/>
  <c r="CC10" i="1"/>
  <c r="CB10" i="1"/>
  <c r="CD9" i="1"/>
  <c r="CC9" i="1"/>
  <c r="CB9" i="1"/>
  <c r="CD8" i="1"/>
  <c r="CD87" i="1" s="1"/>
  <c r="CC8" i="1"/>
  <c r="CC88" i="1" s="1"/>
  <c r="CB8" i="1"/>
  <c r="CB88" i="1" s="1"/>
  <c r="GP65" i="1"/>
  <c r="GQ65" i="1" s="1"/>
  <c r="GR65" i="1"/>
  <c r="GS65" i="1"/>
  <c r="GU65" i="1"/>
  <c r="DS65" i="1"/>
  <c r="GP69" i="1"/>
  <c r="GQ69" i="1" s="1"/>
  <c r="DS69" i="1"/>
  <c r="GR69" i="1"/>
  <c r="GS69" i="1"/>
  <c r="GU69" i="1"/>
  <c r="GP53" i="1"/>
  <c r="GQ53" i="1" s="1"/>
  <c r="BW87" i="1"/>
  <c r="BV87" i="1"/>
  <c r="BZ86" i="1"/>
  <c r="BW82" i="1"/>
  <c r="BV82" i="1"/>
  <c r="CA81" i="1"/>
  <c r="BY81" i="1"/>
  <c r="BX81" i="1"/>
  <c r="BU81" i="1"/>
  <c r="BY76" i="1"/>
  <c r="BX76" i="1"/>
  <c r="BU76" i="1"/>
  <c r="CA75" i="1"/>
  <c r="BY75" i="1"/>
  <c r="BX75" i="1"/>
  <c r="CA71" i="1"/>
  <c r="BY71" i="1"/>
  <c r="BX71" i="1"/>
  <c r="CA70" i="1"/>
  <c r="BY70" i="1"/>
  <c r="BX70" i="1"/>
  <c r="CA68" i="1"/>
  <c r="BZ68" i="1"/>
  <c r="BY68" i="1"/>
  <c r="BX68" i="1"/>
  <c r="BU68" i="1"/>
  <c r="BY64" i="1"/>
  <c r="BX64" i="1"/>
  <c r="CA63" i="1"/>
  <c r="BY63" i="1"/>
  <c r="BX63" i="1"/>
  <c r="BY61" i="1"/>
  <c r="BX61" i="1"/>
  <c r="BY56" i="1"/>
  <c r="BX56" i="1"/>
  <c r="BU56" i="1"/>
  <c r="CA55" i="1"/>
  <c r="BY55" i="1"/>
  <c r="BX55" i="1"/>
  <c r="CA50" i="1"/>
  <c r="BZ50" i="1"/>
  <c r="BY50" i="1"/>
  <c r="BX50" i="1"/>
  <c r="BU50" i="1"/>
  <c r="CA49" i="1"/>
  <c r="BY49" i="1"/>
  <c r="BX49" i="1"/>
  <c r="BY47" i="1"/>
  <c r="BX47" i="1"/>
  <c r="CA43" i="1"/>
  <c r="BZ43" i="1"/>
  <c r="BY43" i="1"/>
  <c r="BX43" i="1"/>
  <c r="BU43" i="1"/>
  <c r="CA42" i="1"/>
  <c r="BZ42" i="1"/>
  <c r="BY42" i="1"/>
  <c r="BX42" i="1"/>
  <c r="BU42" i="1"/>
  <c r="CA41" i="1"/>
  <c r="BZ41" i="1"/>
  <c r="BY41" i="1"/>
  <c r="BX41" i="1"/>
  <c r="BU41" i="1"/>
  <c r="CA38" i="1"/>
  <c r="BY38" i="1"/>
  <c r="BX38" i="1"/>
  <c r="CA35" i="1"/>
  <c r="BZ35" i="1"/>
  <c r="CA34" i="1"/>
  <c r="BZ34" i="1"/>
  <c r="BY34" i="1"/>
  <c r="BX34" i="1"/>
  <c r="BU34" i="1"/>
  <c r="BZ33" i="1"/>
  <c r="BU33" i="1"/>
  <c r="BU30" i="1"/>
  <c r="CA29" i="1"/>
  <c r="BZ29" i="1"/>
  <c r="BY29" i="1"/>
  <c r="BX29" i="1"/>
  <c r="BU29" i="1"/>
  <c r="CA27" i="1"/>
  <c r="BZ27" i="1"/>
  <c r="BY27" i="1"/>
  <c r="BX27" i="1"/>
  <c r="BU27" i="1"/>
  <c r="BX26" i="1"/>
  <c r="BU26" i="1"/>
  <c r="BX25" i="1"/>
  <c r="BU25" i="1"/>
  <c r="BX24" i="1"/>
  <c r="BU24" i="1"/>
  <c r="CA20" i="1"/>
  <c r="BZ20" i="1"/>
  <c r="BY20" i="1"/>
  <c r="BX20" i="1"/>
  <c r="BU20" i="1"/>
  <c r="CA19" i="1"/>
  <c r="BZ19" i="1"/>
  <c r="BU19" i="1"/>
  <c r="CA17" i="1"/>
  <c r="BY17" i="1"/>
  <c r="BX17" i="1"/>
  <c r="CA11" i="1"/>
  <c r="BY11" i="1"/>
  <c r="BX11" i="1"/>
  <c r="BU11" i="1"/>
  <c r="CA10" i="1"/>
  <c r="BZ10" i="1"/>
  <c r="BY10" i="1"/>
  <c r="BX10" i="1"/>
  <c r="BU10" i="1"/>
  <c r="CA9" i="1"/>
  <c r="BZ9" i="1"/>
  <c r="BY9" i="1"/>
  <c r="BX9" i="1"/>
  <c r="BU9" i="1"/>
  <c r="CA8" i="1"/>
  <c r="CA87" i="1" s="1"/>
  <c r="BY8" i="1"/>
  <c r="BY90" i="1" s="1"/>
  <c r="BX8" i="1"/>
  <c r="BX90" i="1" s="1"/>
  <c r="BU8" i="1"/>
  <c r="BT88" i="1"/>
  <c r="BT82" i="1"/>
  <c r="BS81" i="1"/>
  <c r="BS76" i="1"/>
  <c r="BS75" i="1"/>
  <c r="BS71" i="1"/>
  <c r="BS70" i="1"/>
  <c r="BS68" i="1"/>
  <c r="BS64" i="1"/>
  <c r="BS63" i="1"/>
  <c r="BS61" i="1"/>
  <c r="BS56" i="1"/>
  <c r="BS55" i="1"/>
  <c r="BS50" i="1"/>
  <c r="BS49" i="1"/>
  <c r="BS47" i="1"/>
  <c r="BS43" i="1"/>
  <c r="BS42" i="1"/>
  <c r="BS41" i="1"/>
  <c r="BS38" i="1"/>
  <c r="BS34" i="1"/>
  <c r="BS29" i="1"/>
  <c r="BS27" i="1"/>
  <c r="BS26" i="1"/>
  <c r="BS25" i="1"/>
  <c r="BS24" i="1"/>
  <c r="BS20" i="1"/>
  <c r="BS17" i="1"/>
  <c r="BS11" i="1"/>
  <c r="BS10" i="1"/>
  <c r="BS9" i="1"/>
  <c r="BS8" i="1"/>
  <c r="BS90" i="1" s="1"/>
  <c r="GR53" i="1"/>
  <c r="GS53" i="1"/>
  <c r="GU53" i="1"/>
  <c r="BR82" i="1"/>
  <c r="DS52" i="1"/>
  <c r="BP86" i="1"/>
  <c r="BQ81" i="1"/>
  <c r="BO81" i="1"/>
  <c r="BN81" i="1"/>
  <c r="BQ76" i="1"/>
  <c r="BO76" i="1"/>
  <c r="BN76" i="1"/>
  <c r="BQ68" i="1"/>
  <c r="BO68" i="1"/>
  <c r="BN68" i="1"/>
  <c r="BQ56" i="1"/>
  <c r="BO56" i="1"/>
  <c r="BQ50" i="1"/>
  <c r="BO50" i="1"/>
  <c r="BN50" i="1"/>
  <c r="BQ43" i="1"/>
  <c r="BO43" i="1"/>
  <c r="BN43" i="1"/>
  <c r="BQ42" i="1"/>
  <c r="BO42" i="1"/>
  <c r="BN42" i="1"/>
  <c r="BQ41" i="1"/>
  <c r="BO41" i="1"/>
  <c r="BN41" i="1"/>
  <c r="BN35" i="1"/>
  <c r="BQ34" i="1"/>
  <c r="BO34" i="1"/>
  <c r="BN34" i="1"/>
  <c r="BQ33" i="1"/>
  <c r="BO33" i="1"/>
  <c r="BN33" i="1"/>
  <c r="BQ30" i="1"/>
  <c r="BQ29" i="1"/>
  <c r="BP29" i="1"/>
  <c r="BO29" i="1"/>
  <c r="BN29" i="1"/>
  <c r="BQ27" i="1"/>
  <c r="BP27" i="1"/>
  <c r="BO27" i="1"/>
  <c r="BN27" i="1"/>
  <c r="BQ26" i="1"/>
  <c r="BQ25" i="1"/>
  <c r="BQ24" i="1"/>
  <c r="BQ20" i="1"/>
  <c r="BO20" i="1"/>
  <c r="BN20" i="1"/>
  <c r="BQ19" i="1"/>
  <c r="BO19" i="1"/>
  <c r="BN19" i="1"/>
  <c r="BQ13" i="1"/>
  <c r="BO13" i="1"/>
  <c r="BN13" i="1"/>
  <c r="BQ11" i="1"/>
  <c r="BO11" i="1"/>
  <c r="BN11" i="1"/>
  <c r="BQ10" i="1"/>
  <c r="BO10" i="1"/>
  <c r="BN10" i="1"/>
  <c r="BQ9" i="1"/>
  <c r="BO9" i="1"/>
  <c r="BN9" i="1"/>
  <c r="BQ8" i="1"/>
  <c r="BQ88" i="1" s="1"/>
  <c r="BO8" i="1"/>
  <c r="BO88" i="1" s="1"/>
  <c r="BN8" i="1"/>
  <c r="BN86" i="1" s="1"/>
  <c r="GT87" i="1"/>
  <c r="GT89" i="1"/>
  <c r="GT90" i="1"/>
  <c r="GT86" i="1"/>
  <c r="BL88" i="1"/>
  <c r="BM81" i="1"/>
  <c r="BM75" i="1"/>
  <c r="BM68" i="1"/>
  <c r="BM49" i="1"/>
  <c r="BM43" i="1"/>
  <c r="BM42" i="1"/>
  <c r="BL42" i="1"/>
  <c r="BL82" i="1" s="1"/>
  <c r="BM41" i="1"/>
  <c r="BM34" i="1"/>
  <c r="BM20" i="1"/>
  <c r="BM8" i="1"/>
  <c r="BM88" i="1" s="1"/>
  <c r="E102" i="1"/>
  <c r="E100" i="1"/>
  <c r="D88" i="1"/>
  <c r="GT88" i="1" s="1"/>
  <c r="D85" i="1"/>
  <c r="D72" i="1"/>
  <c r="D71" i="1"/>
  <c r="D68" i="1"/>
  <c r="D66" i="1"/>
  <c r="D56" i="1"/>
  <c r="D55" i="1"/>
  <c r="D49" i="1"/>
  <c r="D47" i="1"/>
  <c r="D45" i="1"/>
  <c r="D43" i="1"/>
  <c r="D42" i="1"/>
  <c r="D41" i="1"/>
  <c r="D40" i="1"/>
  <c r="D38" i="1"/>
  <c r="D37" i="1"/>
  <c r="D33" i="1"/>
  <c r="D17" i="1"/>
  <c r="D11" i="1"/>
  <c r="D10" i="1"/>
  <c r="D9" i="1"/>
  <c r="D80" i="1" l="1"/>
  <c r="BP82" i="1"/>
  <c r="CD82" i="1"/>
  <c r="CB82" i="1"/>
  <c r="CC82" i="1"/>
  <c r="BX82" i="1"/>
  <c r="BU82" i="1"/>
  <c r="BZ82" i="1"/>
  <c r="BU88" i="1"/>
  <c r="CA82" i="1"/>
  <c r="BY82" i="1"/>
  <c r="BS82" i="1"/>
  <c r="BO82" i="1"/>
  <c r="BN82" i="1"/>
  <c r="BQ82" i="1"/>
  <c r="BM82" i="1"/>
  <c r="BB90" i="1"/>
  <c r="BA90" i="1"/>
  <c r="BF89" i="1"/>
  <c r="BE89" i="1"/>
  <c r="AZ87" i="1"/>
  <c r="AY86" i="1"/>
  <c r="BF82" i="1"/>
  <c r="BB82" i="1"/>
  <c r="BA82" i="1"/>
  <c r="AZ82" i="1"/>
  <c r="AY82" i="1"/>
  <c r="BI81" i="1"/>
  <c r="BH81" i="1"/>
  <c r="BG81" i="1"/>
  <c r="BD81" i="1"/>
  <c r="BC81" i="1"/>
  <c r="BG77" i="1"/>
  <c r="BD77" i="1"/>
  <c r="BC77" i="1"/>
  <c r="BG76" i="1"/>
  <c r="BI75" i="1"/>
  <c r="BC75" i="1"/>
  <c r="BI71" i="1"/>
  <c r="BI70" i="1"/>
  <c r="BI68" i="1"/>
  <c r="BH68" i="1"/>
  <c r="BG68" i="1"/>
  <c r="BD68" i="1"/>
  <c r="BC68" i="1"/>
  <c r="BC64" i="1"/>
  <c r="BI63" i="1"/>
  <c r="BG56" i="1"/>
  <c r="BC56" i="1"/>
  <c r="BG55" i="1"/>
  <c r="BI50" i="1"/>
  <c r="BH50" i="1"/>
  <c r="BD50" i="1"/>
  <c r="BC50" i="1"/>
  <c r="BI49" i="1"/>
  <c r="BG49" i="1"/>
  <c r="BI46" i="1"/>
  <c r="BH46" i="1"/>
  <c r="BD46" i="1"/>
  <c r="BI43" i="1"/>
  <c r="BH43" i="1"/>
  <c r="BG43" i="1"/>
  <c r="BD43" i="1"/>
  <c r="BC43" i="1"/>
  <c r="BI42" i="1"/>
  <c r="BH42" i="1"/>
  <c r="BD42" i="1"/>
  <c r="BI41" i="1"/>
  <c r="BH41" i="1"/>
  <c r="BD41" i="1"/>
  <c r="BC41" i="1"/>
  <c r="BC40" i="1"/>
  <c r="BI38" i="1"/>
  <c r="BC38" i="1"/>
  <c r="BI35" i="1"/>
  <c r="BH35" i="1"/>
  <c r="BD35" i="1"/>
  <c r="BC35" i="1"/>
  <c r="BI34" i="1"/>
  <c r="BH34" i="1"/>
  <c r="BG34" i="1"/>
  <c r="BD34" i="1"/>
  <c r="BC34" i="1"/>
  <c r="BH33" i="1"/>
  <c r="BD33" i="1"/>
  <c r="BG30" i="1"/>
  <c r="BD30" i="1"/>
  <c r="BI29" i="1"/>
  <c r="BH29" i="1"/>
  <c r="BG29" i="1"/>
  <c r="BD29" i="1"/>
  <c r="BI27" i="1"/>
  <c r="BH27" i="1"/>
  <c r="BG27" i="1"/>
  <c r="BD27" i="1"/>
  <c r="BG26" i="1"/>
  <c r="BD26" i="1"/>
  <c r="BG25" i="1"/>
  <c r="BD25" i="1"/>
  <c r="BG24" i="1"/>
  <c r="BD24" i="1"/>
  <c r="BE23" i="1"/>
  <c r="BE82" i="1" s="1"/>
  <c r="BC22" i="1"/>
  <c r="BI20" i="1"/>
  <c r="BH20" i="1"/>
  <c r="BG20" i="1"/>
  <c r="BD20" i="1"/>
  <c r="BC20" i="1"/>
  <c r="BI19" i="1"/>
  <c r="BH19" i="1"/>
  <c r="BG19" i="1"/>
  <c r="BD19" i="1"/>
  <c r="BI17" i="1"/>
  <c r="BG17" i="1"/>
  <c r="BC17" i="1"/>
  <c r="BG13" i="1"/>
  <c r="BI11" i="1"/>
  <c r="BH11" i="1"/>
  <c r="BG11" i="1"/>
  <c r="BD11" i="1"/>
  <c r="BC11" i="1"/>
  <c r="BI10" i="1"/>
  <c r="BH10" i="1"/>
  <c r="BG10" i="1"/>
  <c r="BD10" i="1"/>
  <c r="BC10" i="1"/>
  <c r="BI9" i="1"/>
  <c r="BH9" i="1"/>
  <c r="BG9" i="1"/>
  <c r="BD9" i="1"/>
  <c r="BI8" i="1"/>
  <c r="BI87" i="1" s="1"/>
  <c r="BH8" i="1"/>
  <c r="BH86" i="1" s="1"/>
  <c r="BG8" i="1"/>
  <c r="BG88" i="1" s="1"/>
  <c r="BD8" i="1"/>
  <c r="BC8" i="1"/>
  <c r="BC88" i="1" s="1"/>
  <c r="AS90" i="1"/>
  <c r="AW88" i="1"/>
  <c r="AU87" i="1"/>
  <c r="AR87" i="1"/>
  <c r="AT86" i="1"/>
  <c r="AW82" i="1"/>
  <c r="AU82" i="1"/>
  <c r="AT82" i="1"/>
  <c r="AS82" i="1"/>
  <c r="AR82" i="1"/>
  <c r="AX81" i="1"/>
  <c r="AV81" i="1"/>
  <c r="AX77" i="1"/>
  <c r="AV77" i="1"/>
  <c r="AX76" i="1"/>
  <c r="AV76" i="1"/>
  <c r="AX68" i="1"/>
  <c r="AV68" i="1"/>
  <c r="AX56" i="1"/>
  <c r="AX50" i="1"/>
  <c r="AV50" i="1"/>
  <c r="AX43" i="1"/>
  <c r="AV43" i="1"/>
  <c r="AX42" i="1"/>
  <c r="AV42" i="1"/>
  <c r="AX41" i="1"/>
  <c r="AV41" i="1"/>
  <c r="AV35" i="1"/>
  <c r="AX34" i="1"/>
  <c r="AV34" i="1"/>
  <c r="AX33" i="1"/>
  <c r="AV33" i="1"/>
  <c r="AX30" i="1"/>
  <c r="AX29" i="1"/>
  <c r="AV29" i="1"/>
  <c r="AX27" i="1"/>
  <c r="AV27" i="1"/>
  <c r="AX26" i="1"/>
  <c r="AX25" i="1"/>
  <c r="AX24" i="1"/>
  <c r="AX20" i="1"/>
  <c r="AV20" i="1"/>
  <c r="AX19" i="1"/>
  <c r="AV19" i="1"/>
  <c r="AX11" i="1"/>
  <c r="AV11" i="1"/>
  <c r="AX10" i="1"/>
  <c r="AV10" i="1"/>
  <c r="AX9" i="1"/>
  <c r="AV9" i="1"/>
  <c r="AX8" i="1"/>
  <c r="AX88" i="1" s="1"/>
  <c r="AV8" i="1"/>
  <c r="AV86" i="1" s="1"/>
  <c r="H80" i="1" l="1"/>
  <c r="BD82" i="1"/>
  <c r="BI82" i="1"/>
  <c r="BC82" i="1"/>
  <c r="BG82" i="1"/>
  <c r="BD86" i="1"/>
  <c r="BH82" i="1"/>
  <c r="AV82" i="1"/>
  <c r="AX82" i="1"/>
  <c r="GR77" i="1"/>
  <c r="GR76" i="1"/>
  <c r="AM89" i="1"/>
  <c r="AQ87" i="1"/>
  <c r="AN87" i="1"/>
  <c r="AQ82" i="1"/>
  <c r="AM82" i="1"/>
  <c r="AP81" i="1"/>
  <c r="AO81" i="1"/>
  <c r="AO73" i="1"/>
  <c r="AP68" i="1"/>
  <c r="AO68" i="1"/>
  <c r="AP50" i="1"/>
  <c r="AO50" i="1"/>
  <c r="AP43" i="1"/>
  <c r="AO43" i="1"/>
  <c r="AP42" i="1"/>
  <c r="AO42" i="1"/>
  <c r="AN42" i="1"/>
  <c r="AP41" i="1"/>
  <c r="AO41" i="1"/>
  <c r="AO37" i="1"/>
  <c r="AP35" i="1"/>
  <c r="AO35" i="1"/>
  <c r="AP34" i="1"/>
  <c r="AO34" i="1"/>
  <c r="AP33" i="1"/>
  <c r="AO33" i="1"/>
  <c r="AO30" i="1"/>
  <c r="AP29" i="1"/>
  <c r="AO29" i="1"/>
  <c r="AP27" i="1"/>
  <c r="AO27" i="1"/>
  <c r="AO26" i="1"/>
  <c r="AO25" i="1"/>
  <c r="AO24" i="1"/>
  <c r="AP20" i="1"/>
  <c r="AP19" i="1"/>
  <c r="AO19" i="1"/>
  <c r="AP11" i="1"/>
  <c r="AO11" i="1"/>
  <c r="AP10" i="1"/>
  <c r="AO10" i="1"/>
  <c r="AN10" i="1"/>
  <c r="AP9" i="1"/>
  <c r="AO9" i="1"/>
  <c r="AP8" i="1"/>
  <c r="AP86" i="1" s="1"/>
  <c r="AO8" i="1"/>
  <c r="AO89" i="1" s="1"/>
  <c r="D21" i="10"/>
  <c r="D20" i="10"/>
  <c r="AP82" i="1" l="1"/>
  <c r="AO82" i="1"/>
  <c r="AN82" i="1"/>
  <c r="C20" i="10"/>
  <c r="C21" i="10"/>
  <c r="AL90" i="1" l="1"/>
  <c r="AK89" i="1"/>
  <c r="AJ88" i="1"/>
  <c r="AL82" i="1"/>
  <c r="AK82" i="1"/>
  <c r="AJ82" i="1"/>
  <c r="AI81" i="1"/>
  <c r="AI75" i="1"/>
  <c r="AI68" i="1"/>
  <c r="AI56" i="1"/>
  <c r="AI50" i="1"/>
  <c r="AI43" i="1"/>
  <c r="AI42" i="1"/>
  <c r="AI41" i="1"/>
  <c r="AI33" i="1"/>
  <c r="AI29" i="1"/>
  <c r="AI27" i="1"/>
  <c r="AI20" i="1"/>
  <c r="AI19" i="1"/>
  <c r="AI11" i="1"/>
  <c r="AI10" i="1"/>
  <c r="AI9" i="1"/>
  <c r="AI8" i="1"/>
  <c r="AI88" i="1" s="1"/>
  <c r="AH90" i="1"/>
  <c r="AH17" i="1"/>
  <c r="AH82" i="1" s="1"/>
  <c r="C76" i="1"/>
  <c r="AI82" i="1" l="1"/>
  <c r="AG90" i="1"/>
  <c r="AD89" i="1"/>
  <c r="AF87" i="1"/>
  <c r="AE86" i="1"/>
  <c r="AG82" i="1"/>
  <c r="AF82" i="1"/>
  <c r="AE82" i="1"/>
  <c r="AD82" i="1"/>
  <c r="AC81" i="1"/>
  <c r="AC77" i="1"/>
  <c r="AC76" i="1"/>
  <c r="AC68" i="1"/>
  <c r="AC56" i="1"/>
  <c r="AC55" i="1"/>
  <c r="AC49" i="1"/>
  <c r="AC43" i="1"/>
  <c r="AC34" i="1"/>
  <c r="AC30" i="1"/>
  <c r="AC29" i="1"/>
  <c r="AC27" i="1"/>
  <c r="AC26" i="1"/>
  <c r="AC25" i="1"/>
  <c r="AC24" i="1"/>
  <c r="AC20" i="1"/>
  <c r="AC19" i="1"/>
  <c r="AC17" i="1"/>
  <c r="AC11" i="1"/>
  <c r="AC10" i="1"/>
  <c r="AC9" i="1"/>
  <c r="AC8" i="1"/>
  <c r="AC88" i="1" s="1"/>
  <c r="AC82" i="1" l="1"/>
  <c r="AB81" i="1"/>
  <c r="AB76" i="1"/>
  <c r="AB75" i="1"/>
  <c r="AB71" i="1"/>
  <c r="AB70" i="1"/>
  <c r="AB68" i="1"/>
  <c r="AB64" i="1"/>
  <c r="AB63" i="1"/>
  <c r="AB61" i="1"/>
  <c r="AB56" i="1"/>
  <c r="AB55" i="1"/>
  <c r="AB50" i="1"/>
  <c r="AB49" i="1"/>
  <c r="AB47" i="1"/>
  <c r="AB43" i="1"/>
  <c r="AB42" i="1"/>
  <c r="AB41" i="1"/>
  <c r="AB38" i="1"/>
  <c r="AB34" i="1"/>
  <c r="AB29" i="1"/>
  <c r="AB27" i="1"/>
  <c r="AB26" i="1"/>
  <c r="AB25" i="1"/>
  <c r="AB24" i="1"/>
  <c r="AB20" i="1"/>
  <c r="AB17" i="1"/>
  <c r="AB11" i="1"/>
  <c r="AB10" i="1"/>
  <c r="AB9" i="1"/>
  <c r="AB8" i="1"/>
  <c r="AB90" i="1" s="1"/>
  <c r="AA81" i="1"/>
  <c r="Z81" i="1"/>
  <c r="Z76" i="1"/>
  <c r="AA75" i="1"/>
  <c r="Z75" i="1"/>
  <c r="AA71" i="1"/>
  <c r="Z71" i="1"/>
  <c r="AA70" i="1"/>
  <c r="Z70" i="1"/>
  <c r="AA68" i="1"/>
  <c r="Z68" i="1"/>
  <c r="Z64" i="1"/>
  <c r="AA63" i="1"/>
  <c r="Z63" i="1"/>
  <c r="Z61" i="1"/>
  <c r="Z56" i="1"/>
  <c r="Z55" i="1"/>
  <c r="AA50" i="1"/>
  <c r="Z50" i="1"/>
  <c r="AA49" i="1"/>
  <c r="Z49" i="1"/>
  <c r="Z47" i="1"/>
  <c r="AA46" i="1"/>
  <c r="AA43" i="1"/>
  <c r="Z43" i="1"/>
  <c r="AA42" i="1"/>
  <c r="Z42" i="1"/>
  <c r="AA41" i="1"/>
  <c r="Z41" i="1"/>
  <c r="AA38" i="1"/>
  <c r="Z38" i="1"/>
  <c r="AA35" i="1"/>
  <c r="AA34" i="1"/>
  <c r="Z34" i="1"/>
  <c r="AA29" i="1"/>
  <c r="Z29" i="1"/>
  <c r="AA27" i="1"/>
  <c r="Z27" i="1"/>
  <c r="Z26" i="1"/>
  <c r="Z25" i="1"/>
  <c r="Z24" i="1"/>
  <c r="AA20" i="1"/>
  <c r="Z20" i="1"/>
  <c r="AA19" i="1"/>
  <c r="AA17" i="1"/>
  <c r="Z17" i="1"/>
  <c r="AA11" i="1"/>
  <c r="Z11" i="1"/>
  <c r="AA10" i="1"/>
  <c r="Z10" i="1"/>
  <c r="AA9" i="1"/>
  <c r="Z9" i="1"/>
  <c r="AA8" i="1"/>
  <c r="Z8" i="1"/>
  <c r="Y81" i="1"/>
  <c r="Y77" i="1"/>
  <c r="Y76" i="1"/>
  <c r="Y75" i="1"/>
  <c r="Y74" i="1"/>
  <c r="Y67" i="1"/>
  <c r="Y66" i="1"/>
  <c r="Y55" i="1"/>
  <c r="Y51" i="1"/>
  <c r="Y47" i="1"/>
  <c r="Y38" i="1"/>
  <c r="Y34" i="1"/>
  <c r="Y30" i="1"/>
  <c r="Y19" i="1"/>
  <c r="Y11" i="1"/>
  <c r="Y8" i="1"/>
  <c r="Y88" i="1" s="1"/>
  <c r="E21" i="10"/>
  <c r="Y10" i="10"/>
  <c r="AB82" i="1" l="1"/>
  <c r="AA82" i="1"/>
  <c r="Z82" i="1"/>
  <c r="AA87" i="1"/>
  <c r="Z90" i="1"/>
  <c r="Y82" i="1"/>
  <c r="X81" i="1"/>
  <c r="X76" i="1"/>
  <c r="X75" i="1"/>
  <c r="X71" i="1"/>
  <c r="X70" i="1"/>
  <c r="X68" i="1"/>
  <c r="X64" i="1"/>
  <c r="X63" i="1"/>
  <c r="X61" i="1"/>
  <c r="X56" i="1"/>
  <c r="X55" i="1"/>
  <c r="X50" i="1"/>
  <c r="X49" i="1"/>
  <c r="X47" i="1"/>
  <c r="X43" i="1"/>
  <c r="X42" i="1"/>
  <c r="X41" i="1"/>
  <c r="X38" i="1"/>
  <c r="X34" i="1"/>
  <c r="X29" i="1"/>
  <c r="X27" i="1"/>
  <c r="X26" i="1"/>
  <c r="X25" i="1"/>
  <c r="X24" i="1"/>
  <c r="X20" i="1"/>
  <c r="X17" i="1"/>
  <c r="X11" i="1"/>
  <c r="X10" i="1"/>
  <c r="X9" i="1"/>
  <c r="X8" i="1"/>
  <c r="X90" i="1" s="1"/>
  <c r="X82" i="1" l="1"/>
  <c r="W81" i="1"/>
  <c r="V81" i="1"/>
  <c r="W76" i="1"/>
  <c r="V75" i="1"/>
  <c r="V71" i="1"/>
  <c r="V70" i="1"/>
  <c r="W68" i="1"/>
  <c r="V68" i="1"/>
  <c r="V63" i="1"/>
  <c r="W56" i="1"/>
  <c r="W50" i="1"/>
  <c r="V50" i="1"/>
  <c r="V49" i="1"/>
  <c r="V46" i="1"/>
  <c r="W43" i="1"/>
  <c r="V43" i="1"/>
  <c r="W42" i="1"/>
  <c r="V42" i="1"/>
  <c r="W41" i="1"/>
  <c r="V41" i="1"/>
  <c r="V38" i="1"/>
  <c r="V35" i="1"/>
  <c r="W34" i="1"/>
  <c r="V34" i="1"/>
  <c r="W33" i="1"/>
  <c r="W30" i="1"/>
  <c r="W29" i="1"/>
  <c r="V29" i="1"/>
  <c r="W27" i="1"/>
  <c r="V27" i="1"/>
  <c r="W26" i="1"/>
  <c r="W25" i="1"/>
  <c r="W24" i="1"/>
  <c r="W20" i="1"/>
  <c r="V20" i="1"/>
  <c r="W19" i="1"/>
  <c r="V19" i="1"/>
  <c r="V17" i="1"/>
  <c r="W11" i="1"/>
  <c r="V11" i="1"/>
  <c r="W10" i="1"/>
  <c r="V10" i="1"/>
  <c r="W9" i="1"/>
  <c r="V9" i="1"/>
  <c r="W8" i="1"/>
  <c r="W88" i="1" s="1"/>
  <c r="V8" i="1"/>
  <c r="T86" i="1"/>
  <c r="U81" i="1"/>
  <c r="T81" i="1"/>
  <c r="S81" i="1"/>
  <c r="U76" i="1"/>
  <c r="U75" i="1"/>
  <c r="S75" i="1"/>
  <c r="U71" i="1"/>
  <c r="U70" i="1"/>
  <c r="U68" i="1"/>
  <c r="T68" i="1"/>
  <c r="S68" i="1"/>
  <c r="U64" i="1"/>
  <c r="U63" i="1"/>
  <c r="U61" i="1"/>
  <c r="U56" i="1"/>
  <c r="U55" i="1"/>
  <c r="U50" i="1"/>
  <c r="T50" i="1"/>
  <c r="U49" i="1"/>
  <c r="S49" i="1"/>
  <c r="U47" i="1"/>
  <c r="T46" i="1"/>
  <c r="U43" i="1"/>
  <c r="T43" i="1"/>
  <c r="S43" i="1"/>
  <c r="U42" i="1"/>
  <c r="T42" i="1"/>
  <c r="S42" i="1"/>
  <c r="U41" i="1"/>
  <c r="T41" i="1"/>
  <c r="S41" i="1"/>
  <c r="U38" i="1"/>
  <c r="T35" i="1"/>
  <c r="U34" i="1"/>
  <c r="T34" i="1"/>
  <c r="S34" i="1"/>
  <c r="T33" i="1"/>
  <c r="U29" i="1"/>
  <c r="T29" i="1"/>
  <c r="U27" i="1"/>
  <c r="T27" i="1"/>
  <c r="U20" i="1"/>
  <c r="T20" i="1"/>
  <c r="S20" i="1"/>
  <c r="T19" i="1"/>
  <c r="U17" i="1"/>
  <c r="U11" i="1"/>
  <c r="T11" i="1"/>
  <c r="U10" i="1"/>
  <c r="T10" i="1"/>
  <c r="U9" i="1"/>
  <c r="T9" i="1"/>
  <c r="U8" i="1"/>
  <c r="U90" i="1" s="1"/>
  <c r="S8" i="1"/>
  <c r="S89" i="1" s="1"/>
  <c r="R81" i="1"/>
  <c r="R75" i="1"/>
  <c r="R71" i="1"/>
  <c r="R70" i="1"/>
  <c r="R68" i="1"/>
  <c r="R63" i="1"/>
  <c r="R50" i="1"/>
  <c r="R49" i="1"/>
  <c r="R46" i="1"/>
  <c r="R43" i="1"/>
  <c r="R42" i="1"/>
  <c r="R41" i="1"/>
  <c r="R38" i="1"/>
  <c r="R35" i="1"/>
  <c r="R34" i="1"/>
  <c r="R29" i="1"/>
  <c r="R27" i="1"/>
  <c r="R20" i="1"/>
  <c r="R19" i="1"/>
  <c r="R17" i="1"/>
  <c r="R11" i="1"/>
  <c r="R10" i="1"/>
  <c r="R9" i="1"/>
  <c r="R8" i="1"/>
  <c r="R87" i="1" s="1"/>
  <c r="Q90" i="1"/>
  <c r="N88" i="1"/>
  <c r="O86" i="1"/>
  <c r="Q82" i="1"/>
  <c r="O82" i="1"/>
  <c r="P77" i="1"/>
  <c r="P68" i="1"/>
  <c r="P66" i="1"/>
  <c r="P64" i="1"/>
  <c r="P63" i="1"/>
  <c r="P55" i="1"/>
  <c r="P50" i="1"/>
  <c r="P47" i="1"/>
  <c r="P43" i="1"/>
  <c r="P42" i="1"/>
  <c r="P41" i="1"/>
  <c r="P40" i="1"/>
  <c r="P38" i="1"/>
  <c r="P32" i="1"/>
  <c r="P29" i="1"/>
  <c r="P27" i="1"/>
  <c r="P25" i="1"/>
  <c r="N24" i="1"/>
  <c r="N82" i="1" s="1"/>
  <c r="P22" i="1"/>
  <c r="P20" i="1"/>
  <c r="P19" i="1"/>
  <c r="P17" i="1"/>
  <c r="P11" i="1"/>
  <c r="P10" i="1"/>
  <c r="P9" i="1"/>
  <c r="P8" i="1"/>
  <c r="M81" i="1"/>
  <c r="M77" i="1"/>
  <c r="M76" i="1"/>
  <c r="M68" i="1"/>
  <c r="M56" i="1"/>
  <c r="M55" i="1"/>
  <c r="M49" i="1"/>
  <c r="M43" i="1"/>
  <c r="M34" i="1"/>
  <c r="M30" i="1"/>
  <c r="M29" i="1"/>
  <c r="M27" i="1"/>
  <c r="M26" i="1"/>
  <c r="M25" i="1"/>
  <c r="M24" i="1"/>
  <c r="M20" i="1"/>
  <c r="M19" i="1"/>
  <c r="M17" i="1"/>
  <c r="M11" i="1"/>
  <c r="M10" i="1"/>
  <c r="M9" i="1"/>
  <c r="M8" i="1"/>
  <c r="M88" i="1" s="1"/>
  <c r="BJ52" i="1"/>
  <c r="L88" i="1"/>
  <c r="L82" i="1"/>
  <c r="W82" i="1" l="1"/>
  <c r="V82" i="1"/>
  <c r="V87" i="1"/>
  <c r="U82" i="1"/>
  <c r="T82" i="1"/>
  <c r="S82" i="1"/>
  <c r="R82" i="1"/>
  <c r="P82" i="1"/>
  <c r="P87" i="1"/>
  <c r="M82" i="1"/>
  <c r="O86" i="2"/>
  <c r="O87" i="2"/>
  <c r="GP52" i="1"/>
  <c r="GQ52" i="1" s="1"/>
  <c r="GR52" i="1"/>
  <c r="GS52" i="1"/>
  <c r="GU52" i="1"/>
  <c r="G98" i="1" l="1"/>
  <c r="G99" i="1"/>
  <c r="G101" i="1"/>
  <c r="G103" i="1"/>
  <c r="G104" i="1"/>
  <c r="G97" i="1"/>
  <c r="G102" i="1"/>
  <c r="C88" i="1"/>
  <c r="C77" i="1"/>
  <c r="C72" i="1"/>
  <c r="C70" i="1"/>
  <c r="C68" i="1"/>
  <c r="C66" i="1"/>
  <c r="C64" i="1"/>
  <c r="C63" i="1"/>
  <c r="C61" i="1"/>
  <c r="C56" i="1"/>
  <c r="C55" i="1"/>
  <c r="C50" i="1"/>
  <c r="C49" i="1"/>
  <c r="C47" i="1"/>
  <c r="C43" i="1"/>
  <c r="C41" i="1"/>
  <c r="C39" i="1"/>
  <c r="C38" i="1"/>
  <c r="C35" i="1"/>
  <c r="C34" i="1"/>
  <c r="C33" i="1"/>
  <c r="C32" i="1"/>
  <c r="C29" i="1"/>
  <c r="C27" i="1"/>
  <c r="C26" i="1"/>
  <c r="C25" i="1"/>
  <c r="C24" i="1"/>
  <c r="C22" i="1"/>
  <c r="C20" i="1"/>
  <c r="C19" i="1"/>
  <c r="C17" i="1"/>
  <c r="C11" i="1"/>
  <c r="C10" i="1"/>
  <c r="F115" i="6"/>
  <c r="F112" i="6"/>
  <c r="F94" i="6"/>
  <c r="F93" i="6"/>
  <c r="F86" i="6"/>
  <c r="F82" i="6"/>
  <c r="F80" i="6"/>
  <c r="F77" i="6"/>
  <c r="F74" i="6"/>
  <c r="F72" i="6"/>
  <c r="F70" i="6"/>
  <c r="F66" i="6"/>
  <c r="F65" i="6"/>
  <c r="F62" i="6"/>
  <c r="F60" i="6"/>
  <c r="F57" i="6"/>
  <c r="F51" i="6"/>
  <c r="F49" i="6"/>
  <c r="F46" i="6"/>
  <c r="F45" i="6"/>
  <c r="F42" i="6"/>
  <c r="F41" i="6"/>
  <c r="F38" i="6"/>
  <c r="F37" i="6"/>
  <c r="F34" i="6"/>
  <c r="F32" i="6"/>
  <c r="F31" i="6"/>
  <c r="F30" i="6"/>
  <c r="F29" i="6"/>
  <c r="F27" i="6"/>
  <c r="F25" i="6"/>
  <c r="F24" i="6"/>
  <c r="F22" i="6"/>
  <c r="F13" i="6"/>
  <c r="F11" i="6"/>
  <c r="C80" i="1" l="1"/>
  <c r="G100" i="1"/>
  <c r="K81" i="1" l="1"/>
  <c r="K77" i="1"/>
  <c r="K76" i="1"/>
  <c r="K68" i="1"/>
  <c r="K56" i="1"/>
  <c r="K50" i="1"/>
  <c r="K43" i="1"/>
  <c r="K42" i="1"/>
  <c r="K41" i="1"/>
  <c r="K34" i="1"/>
  <c r="K33" i="1"/>
  <c r="K30" i="1"/>
  <c r="K29" i="1"/>
  <c r="K27" i="1"/>
  <c r="K26" i="1"/>
  <c r="K25" i="1"/>
  <c r="K24" i="1"/>
  <c r="K20" i="1"/>
  <c r="K19" i="1"/>
  <c r="K11" i="1"/>
  <c r="K10" i="1"/>
  <c r="K9" i="1"/>
  <c r="K8" i="1"/>
  <c r="CZ25" i="6"/>
  <c r="I93" i="6"/>
  <c r="I88" i="6"/>
  <c r="I77" i="6"/>
  <c r="I74" i="6"/>
  <c r="I66" i="6"/>
  <c r="I65" i="6"/>
  <c r="I55" i="6"/>
  <c r="I47" i="6"/>
  <c r="I43" i="6"/>
  <c r="I42" i="6"/>
  <c r="I38" i="6"/>
  <c r="I28" i="6"/>
  <c r="I27" i="6"/>
  <c r="I25" i="6"/>
  <c r="I24" i="6"/>
  <c r="I23" i="6"/>
  <c r="I22" i="6"/>
  <c r="I11" i="6"/>
  <c r="I10" i="6"/>
  <c r="K88" i="1" l="1"/>
  <c r="BJ8" i="1"/>
  <c r="K82" i="1"/>
  <c r="FF105" i="6" l="1"/>
  <c r="FF93" i="6"/>
  <c r="FF92" i="6"/>
  <c r="FF77" i="6"/>
  <c r="FF70" i="6"/>
  <c r="FF69" i="6"/>
  <c r="FF65" i="6"/>
  <c r="FF57" i="6"/>
  <c r="FF45" i="6"/>
  <c r="FF43" i="6"/>
  <c r="FF41" i="6"/>
  <c r="FF35" i="6"/>
  <c r="FF34" i="6"/>
  <c r="FF32" i="6"/>
  <c r="FF31" i="6"/>
  <c r="FF30" i="6"/>
  <c r="FF29" i="6"/>
  <c r="FF28" i="6"/>
  <c r="FF24" i="6"/>
  <c r="FF22" i="6"/>
  <c r="FF13" i="6"/>
  <c r="FF11" i="6"/>
  <c r="FF10" i="6"/>
  <c r="FF8" i="6"/>
  <c r="FF114" i="6" s="1"/>
  <c r="FG105" i="6"/>
  <c r="FG93" i="6"/>
  <c r="FG92" i="6"/>
  <c r="FG77" i="6"/>
  <c r="FG72" i="6"/>
  <c r="FG69" i="6"/>
  <c r="FG65" i="6"/>
  <c r="FG57" i="6"/>
  <c r="FG54" i="6"/>
  <c r="FG45" i="6"/>
  <c r="FG35" i="6"/>
  <c r="FG34" i="6"/>
  <c r="FG32" i="6"/>
  <c r="FG31" i="6"/>
  <c r="FG30" i="6"/>
  <c r="FG29" i="6"/>
  <c r="FG28" i="6"/>
  <c r="FG24" i="6"/>
  <c r="FG22" i="6"/>
  <c r="FG13" i="6"/>
  <c r="FG11" i="6"/>
  <c r="FG10" i="6"/>
  <c r="FG8" i="6"/>
  <c r="GI63" i="6"/>
  <c r="GJ63" i="6"/>
  <c r="GK63" i="6"/>
  <c r="GH63" i="6"/>
  <c r="FE113" i="6"/>
  <c r="FE106" i="6"/>
  <c r="FH105" i="6"/>
  <c r="FH86" i="6"/>
  <c r="FH79" i="6"/>
  <c r="FH77" i="6"/>
  <c r="FH65" i="6"/>
  <c r="FH62" i="6"/>
  <c r="FH51" i="6"/>
  <c r="FH50" i="6"/>
  <c r="FH49" i="6"/>
  <c r="FH45" i="6"/>
  <c r="FH41" i="6"/>
  <c r="FH34" i="6"/>
  <c r="FH32" i="6"/>
  <c r="FH27" i="6"/>
  <c r="FH24" i="6"/>
  <c r="FH13" i="6"/>
  <c r="FH11" i="6"/>
  <c r="FH10" i="6"/>
  <c r="FH8" i="6"/>
  <c r="FB106" i="6"/>
  <c r="FD105" i="6"/>
  <c r="FC105" i="6"/>
  <c r="FC94" i="6"/>
  <c r="FD88" i="6"/>
  <c r="FC88" i="6"/>
  <c r="FD85" i="6"/>
  <c r="FC85" i="6"/>
  <c r="FD82" i="6"/>
  <c r="FC82" i="6"/>
  <c r="FD80" i="6"/>
  <c r="FC80" i="6"/>
  <c r="FC77" i="6"/>
  <c r="FD74" i="6"/>
  <c r="FD72" i="6"/>
  <c r="FC72" i="6"/>
  <c r="FD70" i="6"/>
  <c r="FD66" i="6"/>
  <c r="FD62" i="6"/>
  <c r="FC62" i="6"/>
  <c r="FD60" i="6"/>
  <c r="FD57" i="6"/>
  <c r="FC57" i="6"/>
  <c r="FD51" i="6"/>
  <c r="FC51" i="6"/>
  <c r="FD50" i="6"/>
  <c r="FC50" i="6"/>
  <c r="FD49" i="6"/>
  <c r="FC49" i="6"/>
  <c r="FD47" i="6"/>
  <c r="FC47" i="6"/>
  <c r="FC45" i="6"/>
  <c r="FC43" i="6"/>
  <c r="FC42" i="6"/>
  <c r="FC41" i="6"/>
  <c r="FD38" i="6"/>
  <c r="FD37" i="6"/>
  <c r="FC37" i="6"/>
  <c r="FD36" i="6"/>
  <c r="FC36" i="6"/>
  <c r="FD34" i="6"/>
  <c r="FC34" i="6"/>
  <c r="FD32" i="6"/>
  <c r="FC32" i="6"/>
  <c r="FD25" i="6"/>
  <c r="FC25" i="6"/>
  <c r="FD24" i="6"/>
  <c r="FC24" i="6"/>
  <c r="FD22" i="6"/>
  <c r="FC22" i="6"/>
  <c r="FD13" i="6"/>
  <c r="FC13" i="6"/>
  <c r="FD11" i="6"/>
  <c r="FC11" i="6"/>
  <c r="FD10" i="6"/>
  <c r="FC10" i="6"/>
  <c r="FD8" i="6"/>
  <c r="FD114" i="6" s="1"/>
  <c r="FC8" i="6"/>
  <c r="FC111" i="6" s="1"/>
  <c r="FB8" i="6"/>
  <c r="FB114" i="6" s="1"/>
  <c r="FA112" i="6"/>
  <c r="EY111" i="6"/>
  <c r="EZ105" i="6"/>
  <c r="EX105" i="6"/>
  <c r="EZ94" i="6"/>
  <c r="EX94" i="6"/>
  <c r="EZ93" i="6"/>
  <c r="EX93" i="6"/>
  <c r="EY88" i="6"/>
  <c r="EY106" i="6" s="1"/>
  <c r="EZ80" i="6"/>
  <c r="EX80" i="6"/>
  <c r="EX66" i="6"/>
  <c r="EZ62" i="6"/>
  <c r="EX62" i="6"/>
  <c r="EZ51" i="6"/>
  <c r="EX51" i="6"/>
  <c r="EZ50" i="6"/>
  <c r="EX50" i="6"/>
  <c r="EZ49" i="6"/>
  <c r="EX49" i="6"/>
  <c r="EZ42" i="6"/>
  <c r="EZ41" i="6"/>
  <c r="EX41" i="6"/>
  <c r="EZ38" i="6"/>
  <c r="EX38" i="6"/>
  <c r="EX35" i="6"/>
  <c r="FA34" i="6"/>
  <c r="EZ34" i="6"/>
  <c r="EX34" i="6"/>
  <c r="EZ32" i="6"/>
  <c r="EX32" i="6"/>
  <c r="EX31" i="6"/>
  <c r="EX30" i="6"/>
  <c r="EX29" i="6"/>
  <c r="EZ25" i="6"/>
  <c r="EX25" i="6"/>
  <c r="EZ24" i="6"/>
  <c r="EX24" i="6"/>
  <c r="FA13" i="6"/>
  <c r="EZ13" i="6"/>
  <c r="EX13" i="6"/>
  <c r="EZ11" i="6"/>
  <c r="EX11" i="6"/>
  <c r="FA10" i="6"/>
  <c r="EZ10" i="6"/>
  <c r="EX10" i="6"/>
  <c r="EZ8" i="6"/>
  <c r="EX8" i="6"/>
  <c r="EX112" i="6" s="1"/>
  <c r="FG106" i="6" l="1"/>
  <c r="FC106" i="6"/>
  <c r="FH106" i="6"/>
  <c r="FA106" i="6"/>
  <c r="FH110" i="6"/>
  <c r="FF106" i="6"/>
  <c r="FG111" i="6"/>
  <c r="EX106" i="6"/>
  <c r="EZ106" i="6"/>
  <c r="FD106" i="6"/>
  <c r="ER114" i="6" l="1"/>
  <c r="ES112" i="6"/>
  <c r="ES106" i="6"/>
  <c r="ER106" i="6"/>
  <c r="EW105" i="6"/>
  <c r="EV105" i="6"/>
  <c r="EU105" i="6"/>
  <c r="EW94" i="6"/>
  <c r="EV94" i="6"/>
  <c r="EU94" i="6"/>
  <c r="ET94" i="6"/>
  <c r="EQ94" i="6"/>
  <c r="EW93" i="6"/>
  <c r="EV93" i="6"/>
  <c r="EU93" i="6"/>
  <c r="EW88" i="6"/>
  <c r="EW85" i="6"/>
  <c r="EV85" i="6"/>
  <c r="EW82" i="6"/>
  <c r="EV82" i="6"/>
  <c r="EW80" i="6"/>
  <c r="EV80" i="6"/>
  <c r="EU80" i="6"/>
  <c r="ET80" i="6"/>
  <c r="EQ80" i="6"/>
  <c r="EW77" i="6"/>
  <c r="EW74" i="6"/>
  <c r="EW72" i="6"/>
  <c r="EV72" i="6"/>
  <c r="EW70" i="6"/>
  <c r="EW66" i="6"/>
  <c r="EU66" i="6"/>
  <c r="EW65" i="6"/>
  <c r="EW62" i="6"/>
  <c r="EV62" i="6"/>
  <c r="EU62" i="6"/>
  <c r="ET62" i="6"/>
  <c r="EQ62" i="6"/>
  <c r="EW57" i="6"/>
  <c r="EV54" i="6"/>
  <c r="EW51" i="6"/>
  <c r="EV51" i="6"/>
  <c r="EU51" i="6"/>
  <c r="ET51" i="6"/>
  <c r="EQ51" i="6"/>
  <c r="EW50" i="6"/>
  <c r="EU50" i="6"/>
  <c r="ET50" i="6"/>
  <c r="EQ50" i="6"/>
  <c r="EW49" i="6"/>
  <c r="EU49" i="6"/>
  <c r="ET49" i="6"/>
  <c r="EQ49" i="6"/>
  <c r="ET42" i="6"/>
  <c r="EQ42" i="6"/>
  <c r="EW41" i="6"/>
  <c r="EV41" i="6"/>
  <c r="EU41" i="6"/>
  <c r="ET41" i="6"/>
  <c r="EQ41" i="6"/>
  <c r="EU38" i="6"/>
  <c r="ET38" i="6"/>
  <c r="EQ38" i="6"/>
  <c r="EV35" i="6"/>
  <c r="EU35" i="6"/>
  <c r="EQ35" i="6"/>
  <c r="EW34" i="6"/>
  <c r="EV34" i="6"/>
  <c r="EU34" i="6"/>
  <c r="ET34" i="6"/>
  <c r="EQ34" i="6"/>
  <c r="EW32" i="6"/>
  <c r="EU32" i="6"/>
  <c r="ET32" i="6"/>
  <c r="EQ32" i="6"/>
  <c r="EW31" i="6"/>
  <c r="EV31" i="6"/>
  <c r="EU31" i="6"/>
  <c r="EQ31" i="6"/>
  <c r="EW30" i="6"/>
  <c r="EV30" i="6"/>
  <c r="EU30" i="6"/>
  <c r="EQ30" i="6"/>
  <c r="EW29" i="6"/>
  <c r="EU29" i="6"/>
  <c r="EQ29" i="6"/>
  <c r="EW25" i="6"/>
  <c r="EV25" i="6"/>
  <c r="EU25" i="6"/>
  <c r="ET25" i="6"/>
  <c r="EQ25" i="6"/>
  <c r="EW24" i="6"/>
  <c r="EU24" i="6"/>
  <c r="ET24" i="6"/>
  <c r="EQ24" i="6"/>
  <c r="EW22" i="6"/>
  <c r="EW13" i="6"/>
  <c r="EV13" i="6"/>
  <c r="EU13" i="6"/>
  <c r="EW11" i="6"/>
  <c r="EV11" i="6"/>
  <c r="EU11" i="6"/>
  <c r="EW10" i="6"/>
  <c r="EV10" i="6"/>
  <c r="EU10" i="6"/>
  <c r="ET10" i="6"/>
  <c r="EQ10" i="6"/>
  <c r="EW8" i="6"/>
  <c r="EW114" i="6" s="1"/>
  <c r="EV8" i="6"/>
  <c r="EU8" i="6"/>
  <c r="ET8" i="6"/>
  <c r="ET110" i="6" s="1"/>
  <c r="EQ8" i="6"/>
  <c r="GL63" i="6"/>
  <c r="L39" i="2"/>
  <c r="N39" i="2" s="1"/>
  <c r="L74" i="2"/>
  <c r="N74" i="2" s="1"/>
  <c r="L18" i="2"/>
  <c r="N18" i="2" s="1"/>
  <c r="O18" i="2"/>
  <c r="O39" i="2"/>
  <c r="O48" i="2"/>
  <c r="O58" i="2"/>
  <c r="O59" i="2"/>
  <c r="O60" i="2"/>
  <c r="O61" i="2"/>
  <c r="O63" i="2"/>
  <c r="O64" i="2"/>
  <c r="O65" i="2"/>
  <c r="O67" i="2"/>
  <c r="O68" i="2"/>
  <c r="O69" i="2"/>
  <c r="O74" i="2"/>
  <c r="GP72" i="1"/>
  <c r="GQ72" i="1" s="1"/>
  <c r="GP37" i="1"/>
  <c r="GP77" i="1"/>
  <c r="FU51" i="1"/>
  <c r="FU40" i="1"/>
  <c r="DS51" i="1"/>
  <c r="BJ51" i="1"/>
  <c r="G51" i="1"/>
  <c r="BJ55" i="1"/>
  <c r="DS55" i="1"/>
  <c r="FU55" i="1"/>
  <c r="GR55" i="1"/>
  <c r="GU55" i="1"/>
  <c r="GP51" i="1"/>
  <c r="GR51" i="1"/>
  <c r="GU51" i="1"/>
  <c r="C95" i="1"/>
  <c r="GP89" i="1"/>
  <c r="GR89" i="1"/>
  <c r="BJ89" i="1"/>
  <c r="FU89" i="1"/>
  <c r="DS89" i="1"/>
  <c r="G8" i="10" s="1"/>
  <c r="G89" i="1"/>
  <c r="G37" i="1"/>
  <c r="BJ37" i="1"/>
  <c r="DS37" i="1"/>
  <c r="FU37" i="1"/>
  <c r="GR37" i="1"/>
  <c r="GU37" i="1"/>
  <c r="BJ71" i="1"/>
  <c r="DS71" i="1"/>
  <c r="FU71" i="1"/>
  <c r="GP71" i="1"/>
  <c r="GQ71" i="1" s="1"/>
  <c r="GR71" i="1"/>
  <c r="GU71" i="1"/>
  <c r="BJ72" i="1"/>
  <c r="DS72" i="1"/>
  <c r="FU72" i="1"/>
  <c r="GR72" i="1"/>
  <c r="GU72" i="1"/>
  <c r="G75" i="1"/>
  <c r="BJ75" i="1"/>
  <c r="DS75" i="1"/>
  <c r="FU75" i="1"/>
  <c r="GP75" i="1"/>
  <c r="GQ75" i="1" s="1"/>
  <c r="GR75" i="1"/>
  <c r="GU75" i="1"/>
  <c r="G73" i="1"/>
  <c r="BJ73" i="1"/>
  <c r="DS73" i="1"/>
  <c r="FU73" i="1"/>
  <c r="GP73" i="1"/>
  <c r="GQ73" i="1" s="1"/>
  <c r="GR73" i="1"/>
  <c r="GU73" i="1"/>
  <c r="G74" i="1"/>
  <c r="BJ74" i="1"/>
  <c r="DS74" i="1"/>
  <c r="FU74" i="1"/>
  <c r="GR74" i="1"/>
  <c r="GU74" i="1"/>
  <c r="G76" i="1"/>
  <c r="BJ76" i="1"/>
  <c r="DS76" i="1"/>
  <c r="FU76" i="1"/>
  <c r="GU76" i="1"/>
  <c r="G77" i="1"/>
  <c r="BJ77" i="1"/>
  <c r="DS77" i="1"/>
  <c r="FU77" i="1"/>
  <c r="GU77" i="1"/>
  <c r="G78" i="1"/>
  <c r="C81" i="4" s="1"/>
  <c r="GR81" i="4" s="1"/>
  <c r="GR78" i="1"/>
  <c r="BJ78" i="1"/>
  <c r="DS78" i="1"/>
  <c r="FU78" i="1"/>
  <c r="GP78" i="1"/>
  <c r="GQ78" i="1" s="1"/>
  <c r="GU78" i="1"/>
  <c r="G79" i="1"/>
  <c r="C82" i="4" s="1"/>
  <c r="GR82" i="4" s="1"/>
  <c r="BJ79" i="1"/>
  <c r="DS79" i="1"/>
  <c r="FU79" i="1"/>
  <c r="GP79" i="1"/>
  <c r="GQ79" i="1" s="1"/>
  <c r="GR79" i="1"/>
  <c r="GU79" i="1"/>
  <c r="FT106" i="6"/>
  <c r="GG113" i="6"/>
  <c r="EP114" i="6"/>
  <c r="EP106" i="6"/>
  <c r="EO105" i="6"/>
  <c r="EN105" i="6"/>
  <c r="EO94" i="6"/>
  <c r="EN94" i="6"/>
  <c r="EO93" i="6"/>
  <c r="EO92" i="6"/>
  <c r="EO88" i="6"/>
  <c r="EN88" i="6"/>
  <c r="EN85" i="6"/>
  <c r="EN82" i="6"/>
  <c r="EO80" i="6"/>
  <c r="EN80" i="6"/>
  <c r="EO77" i="6"/>
  <c r="EN74" i="6"/>
  <c r="EN72" i="6"/>
  <c r="EN70" i="6"/>
  <c r="EO69" i="6"/>
  <c r="EN66" i="6"/>
  <c r="EO65" i="6"/>
  <c r="EN65" i="6"/>
  <c r="EN62" i="6"/>
  <c r="EN60" i="6"/>
  <c r="EO57" i="6"/>
  <c r="EN57" i="6"/>
  <c r="EN51" i="6"/>
  <c r="EO50" i="6"/>
  <c r="EN50" i="6"/>
  <c r="EO49" i="6"/>
  <c r="EN49" i="6"/>
  <c r="EO45" i="6"/>
  <c r="EN45" i="6"/>
  <c r="EN41" i="6"/>
  <c r="EN36" i="6"/>
  <c r="EO35" i="6"/>
  <c r="EO34" i="6"/>
  <c r="EN34" i="6"/>
  <c r="EN32" i="6"/>
  <c r="EO31" i="6"/>
  <c r="EN31" i="6"/>
  <c r="EO30" i="6"/>
  <c r="EN30" i="6"/>
  <c r="EO29" i="6"/>
  <c r="EN29" i="6"/>
  <c r="EO28" i="6"/>
  <c r="EN25" i="6"/>
  <c r="EO24" i="6"/>
  <c r="EO22" i="6"/>
  <c r="EN22" i="6"/>
  <c r="EO13" i="6"/>
  <c r="EN13" i="6"/>
  <c r="EO11" i="6"/>
  <c r="EN11" i="6"/>
  <c r="EO10" i="6"/>
  <c r="EN10" i="6"/>
  <c r="EO8" i="6"/>
  <c r="EN8" i="6"/>
  <c r="EJ113" i="6"/>
  <c r="EJ106" i="6"/>
  <c r="EM105" i="6"/>
  <c r="EL105" i="6"/>
  <c r="EK105" i="6"/>
  <c r="EM94" i="6"/>
  <c r="EM88" i="6"/>
  <c r="EL88" i="6"/>
  <c r="EM85" i="6"/>
  <c r="EL85" i="6"/>
  <c r="EM82" i="6"/>
  <c r="EL82" i="6"/>
  <c r="EM80" i="6"/>
  <c r="EL80" i="6"/>
  <c r="EK80" i="6"/>
  <c r="EM74" i="6"/>
  <c r="EL74" i="6"/>
  <c r="EM72" i="6"/>
  <c r="EL72" i="6"/>
  <c r="EM70" i="6"/>
  <c r="EL70" i="6"/>
  <c r="EM66" i="6"/>
  <c r="EL66" i="6"/>
  <c r="EM65" i="6"/>
  <c r="EL65" i="6"/>
  <c r="EL64" i="6"/>
  <c r="EM62" i="6"/>
  <c r="EL62" i="6"/>
  <c r="EK62" i="6"/>
  <c r="EM60" i="6"/>
  <c r="EL60" i="6"/>
  <c r="EM57" i="6"/>
  <c r="EL57" i="6"/>
  <c r="EM51" i="6"/>
  <c r="EL51" i="6"/>
  <c r="EK51" i="6"/>
  <c r="EM50" i="6"/>
  <c r="EL50" i="6"/>
  <c r="EK50" i="6"/>
  <c r="EM49" i="6"/>
  <c r="EL49" i="6"/>
  <c r="EK49" i="6"/>
  <c r="EL47" i="6"/>
  <c r="EM45" i="6"/>
  <c r="EL45" i="6"/>
  <c r="EK42" i="6"/>
  <c r="EM41" i="6"/>
  <c r="EK41" i="6"/>
  <c r="EL38" i="6"/>
  <c r="EK38" i="6"/>
  <c r="EM36" i="6"/>
  <c r="EM34" i="6"/>
  <c r="EL34" i="6"/>
  <c r="EK34" i="6"/>
  <c r="EM32" i="6"/>
  <c r="EL32" i="6"/>
  <c r="EK32" i="6"/>
  <c r="EM31" i="6"/>
  <c r="EM30" i="6"/>
  <c r="EM29" i="6"/>
  <c r="EM25" i="6"/>
  <c r="EL25" i="6"/>
  <c r="EK25" i="6"/>
  <c r="EL24" i="6"/>
  <c r="EK24" i="6"/>
  <c r="EM22" i="6"/>
  <c r="EL22" i="6"/>
  <c r="EM13" i="6"/>
  <c r="EL13" i="6"/>
  <c r="EK13" i="6"/>
  <c r="EM11" i="6"/>
  <c r="EL11" i="6"/>
  <c r="EK11" i="6"/>
  <c r="EM10" i="6"/>
  <c r="EL10" i="6"/>
  <c r="EK10" i="6"/>
  <c r="EM8" i="6"/>
  <c r="EM114" i="6" s="1"/>
  <c r="EL8" i="6"/>
  <c r="EK8" i="6"/>
  <c r="GS77" i="1" l="1"/>
  <c r="C80" i="4"/>
  <c r="GR80" i="4" s="1"/>
  <c r="D76" i="2" s="1"/>
  <c r="GS89" i="1"/>
  <c r="C92" i="4"/>
  <c r="GR92" i="4" s="1"/>
  <c r="GS76" i="1"/>
  <c r="C79" i="4"/>
  <c r="GR79" i="4" s="1"/>
  <c r="D75" i="2" s="1"/>
  <c r="GS75" i="1"/>
  <c r="C78" i="4"/>
  <c r="GR78" i="4" s="1"/>
  <c r="D74" i="2" s="1"/>
  <c r="GS74" i="1"/>
  <c r="C76" i="4"/>
  <c r="GR76" i="4" s="1"/>
  <c r="D72" i="2" s="1"/>
  <c r="GS73" i="1"/>
  <c r="C75" i="4"/>
  <c r="GR75" i="4" s="1"/>
  <c r="D71" i="2" s="1"/>
  <c r="GS71" i="1"/>
  <c r="C72" i="4"/>
  <c r="GR72" i="4" s="1"/>
  <c r="D68" i="2" s="1"/>
  <c r="GS72" i="1"/>
  <c r="C73" i="4"/>
  <c r="GR73" i="4" s="1"/>
  <c r="D69" i="2" s="1"/>
  <c r="GS55" i="1"/>
  <c r="C56" i="4"/>
  <c r="GR56" i="4" s="1"/>
  <c r="D52" i="2" s="1"/>
  <c r="GS51" i="1"/>
  <c r="C52" i="4"/>
  <c r="GR52" i="4" s="1"/>
  <c r="D48" i="2" s="1"/>
  <c r="GS37" i="1"/>
  <c r="C38" i="4"/>
  <c r="GR38" i="4" s="1"/>
  <c r="D34" i="2" s="1"/>
  <c r="H8" i="10"/>
  <c r="I89" i="1"/>
  <c r="GQ77" i="1"/>
  <c r="GQ51" i="1"/>
  <c r="GQ37" i="1"/>
  <c r="F8" i="10"/>
  <c r="GP74" i="1"/>
  <c r="GQ74" i="1" s="1"/>
  <c r="GP55" i="1"/>
  <c r="GQ55" i="1" s="1"/>
  <c r="EU106" i="6"/>
  <c r="EW106" i="6"/>
  <c r="EV106" i="6"/>
  <c r="EQ106" i="6"/>
  <c r="EU112" i="6"/>
  <c r="ET106" i="6"/>
  <c r="EQ110" i="6"/>
  <c r="EV113" i="6"/>
  <c r="GP76" i="1"/>
  <c r="GQ76" i="1" s="1"/>
  <c r="FU106" i="6"/>
  <c r="GG112" i="6"/>
  <c r="FS106" i="6"/>
  <c r="FR106" i="6"/>
  <c r="EO106" i="6"/>
  <c r="EO111" i="6"/>
  <c r="EN106" i="6"/>
  <c r="EN114" i="6"/>
  <c r="EK106" i="6"/>
  <c r="EL106" i="6"/>
  <c r="EK110" i="6"/>
  <c r="EL114" i="6"/>
  <c r="EM106" i="6"/>
  <c r="EI105" i="6"/>
  <c r="EH105" i="6"/>
  <c r="EG105" i="6"/>
  <c r="EF105" i="6"/>
  <c r="EI94" i="6"/>
  <c r="EH94" i="6"/>
  <c r="EG94" i="6"/>
  <c r="EF94" i="6"/>
  <c r="EI93" i="6"/>
  <c r="EF93" i="6"/>
  <c r="EI88" i="6"/>
  <c r="EH88" i="6"/>
  <c r="EI85" i="6"/>
  <c r="EH85" i="6"/>
  <c r="EI82" i="6"/>
  <c r="EH82" i="6"/>
  <c r="EI80" i="6"/>
  <c r="EH80" i="6"/>
  <c r="EG80" i="6"/>
  <c r="EF80" i="6"/>
  <c r="EI77" i="6"/>
  <c r="EH74" i="6"/>
  <c r="EI72" i="6"/>
  <c r="EH72" i="6"/>
  <c r="EH70" i="6"/>
  <c r="EH66" i="6"/>
  <c r="EG66" i="6"/>
  <c r="EI62" i="6"/>
  <c r="EH62" i="6"/>
  <c r="EG62" i="6"/>
  <c r="EF62" i="6"/>
  <c r="EH60" i="6"/>
  <c r="EH57" i="6"/>
  <c r="EI55" i="6"/>
  <c r="EI51" i="6"/>
  <c r="EH51" i="6"/>
  <c r="EG51" i="6"/>
  <c r="EF51" i="6"/>
  <c r="EI50" i="6"/>
  <c r="EH50" i="6"/>
  <c r="EG50" i="6"/>
  <c r="EF50" i="6"/>
  <c r="EI49" i="6"/>
  <c r="EH49" i="6"/>
  <c r="EG49" i="6"/>
  <c r="EF49" i="6"/>
  <c r="EG46" i="6"/>
  <c r="EI42" i="6"/>
  <c r="EF42" i="6"/>
  <c r="EI41" i="6"/>
  <c r="EH41" i="6"/>
  <c r="EG41" i="6"/>
  <c r="EF41" i="6"/>
  <c r="EG38" i="6"/>
  <c r="EF38" i="6"/>
  <c r="EH36" i="6"/>
  <c r="EG35" i="6"/>
  <c r="EI34" i="6"/>
  <c r="EH34" i="6"/>
  <c r="EG34" i="6"/>
  <c r="EF34" i="6"/>
  <c r="EI32" i="6"/>
  <c r="EH32" i="6"/>
  <c r="EG32" i="6"/>
  <c r="EF32" i="6"/>
  <c r="EI31" i="6"/>
  <c r="EH31" i="6"/>
  <c r="EG31" i="6"/>
  <c r="EI30" i="6"/>
  <c r="EH30" i="6"/>
  <c r="EG30" i="6"/>
  <c r="EI29" i="6"/>
  <c r="EH29" i="6"/>
  <c r="EG29" i="6"/>
  <c r="EI25" i="6"/>
  <c r="EH25" i="6"/>
  <c r="EG25" i="6"/>
  <c r="EF25" i="6"/>
  <c r="EI24" i="6"/>
  <c r="EH24" i="6"/>
  <c r="EG24" i="6"/>
  <c r="EF24" i="6"/>
  <c r="EI22" i="6"/>
  <c r="EH22" i="6"/>
  <c r="EI13" i="6"/>
  <c r="EH13" i="6"/>
  <c r="EG13" i="6"/>
  <c r="EF13" i="6"/>
  <c r="EI11" i="6"/>
  <c r="EH11" i="6"/>
  <c r="EG11" i="6"/>
  <c r="EF11" i="6"/>
  <c r="EI10" i="6"/>
  <c r="EH10" i="6"/>
  <c r="EG10" i="6"/>
  <c r="EF10" i="6"/>
  <c r="EI8" i="6"/>
  <c r="EH8" i="6"/>
  <c r="EH114" i="6" s="1"/>
  <c r="EG8" i="6"/>
  <c r="EF8" i="6"/>
  <c r="EF110" i="6" s="1"/>
  <c r="EC112" i="6"/>
  <c r="EB111" i="6"/>
  <c r="ED106" i="6"/>
  <c r="EC106" i="6"/>
  <c r="EE105" i="6"/>
  <c r="EA105" i="6"/>
  <c r="EE94" i="6"/>
  <c r="EA88" i="6"/>
  <c r="EE80" i="6"/>
  <c r="EA80" i="6"/>
  <c r="EE66" i="6"/>
  <c r="EA66" i="6"/>
  <c r="EE62" i="6"/>
  <c r="EA62" i="6"/>
  <c r="EE51" i="6"/>
  <c r="EA51" i="6"/>
  <c r="EE50" i="6"/>
  <c r="EB50" i="6"/>
  <c r="EB106" i="6" s="1"/>
  <c r="EA50" i="6"/>
  <c r="EE49" i="6"/>
  <c r="EA49" i="6"/>
  <c r="EE41" i="6"/>
  <c r="EE38" i="6"/>
  <c r="EA38" i="6"/>
  <c r="EE36" i="6"/>
  <c r="EE34" i="6"/>
  <c r="EA34" i="6"/>
  <c r="EE32" i="6"/>
  <c r="EA32" i="6"/>
  <c r="EE25" i="6"/>
  <c r="EA25" i="6"/>
  <c r="EE24" i="6"/>
  <c r="EA24" i="6"/>
  <c r="EE13" i="6"/>
  <c r="EA13" i="6"/>
  <c r="EE11" i="6"/>
  <c r="EA11" i="6"/>
  <c r="EE10" i="6"/>
  <c r="EA10" i="6"/>
  <c r="EE8" i="6"/>
  <c r="EE112" i="6" s="1"/>
  <c r="EA8" i="6"/>
  <c r="EA112" i="6" s="1"/>
  <c r="DZ105" i="6"/>
  <c r="DY105" i="6"/>
  <c r="DY94" i="6"/>
  <c r="DZ90" i="6"/>
  <c r="DY88" i="6"/>
  <c r="DY85" i="6"/>
  <c r="DY82" i="6"/>
  <c r="DZ80" i="6"/>
  <c r="DY80" i="6"/>
  <c r="DY72" i="6"/>
  <c r="DZ62" i="6"/>
  <c r="DY62" i="6"/>
  <c r="DY60" i="6"/>
  <c r="DZ51" i="6"/>
  <c r="DY51" i="6"/>
  <c r="DZ50" i="6"/>
  <c r="DY50" i="6"/>
  <c r="DZ49" i="6"/>
  <c r="DY49" i="6"/>
  <c r="DZ43" i="6"/>
  <c r="DZ42" i="6"/>
  <c r="DY42" i="6"/>
  <c r="DZ41" i="6"/>
  <c r="DY41" i="6"/>
  <c r="DZ38" i="6"/>
  <c r="DY36" i="6"/>
  <c r="DZ35" i="6"/>
  <c r="DZ34" i="6"/>
  <c r="DY34" i="6"/>
  <c r="DZ32" i="6"/>
  <c r="DY32" i="6"/>
  <c r="DZ31" i="6"/>
  <c r="DZ30" i="6"/>
  <c r="DZ29" i="6"/>
  <c r="DY25" i="6"/>
  <c r="DZ24" i="6"/>
  <c r="DY24" i="6"/>
  <c r="DY22" i="6"/>
  <c r="DZ13" i="6"/>
  <c r="DY13" i="6"/>
  <c r="DZ11" i="6"/>
  <c r="DY11" i="6"/>
  <c r="DZ10" i="6"/>
  <c r="DY10" i="6"/>
  <c r="DZ8" i="6"/>
  <c r="DZ113" i="6" s="1"/>
  <c r="DY8" i="6"/>
  <c r="DY111" i="6" s="1"/>
  <c r="DX105" i="6"/>
  <c r="DW105" i="6"/>
  <c r="DV105" i="6"/>
  <c r="DX94" i="6"/>
  <c r="DW94" i="6"/>
  <c r="DV94" i="6"/>
  <c r="DX92" i="6"/>
  <c r="DW92" i="6"/>
  <c r="DV92" i="6"/>
  <c r="DW90" i="6"/>
  <c r="DV86" i="6"/>
  <c r="DW82" i="6"/>
  <c r="DV79" i="6"/>
  <c r="DX77" i="6"/>
  <c r="DW77" i="6"/>
  <c r="DV77" i="6"/>
  <c r="DV65" i="6"/>
  <c r="DW62" i="6"/>
  <c r="DV62" i="6"/>
  <c r="DV51" i="6"/>
  <c r="DV50" i="6"/>
  <c r="DV49" i="6"/>
  <c r="DW45" i="6"/>
  <c r="DX41" i="6"/>
  <c r="DW41" i="6"/>
  <c r="DV41" i="6"/>
  <c r="DX35" i="6"/>
  <c r="DW35" i="6"/>
  <c r="DX34" i="6"/>
  <c r="DW34" i="6"/>
  <c r="DV34" i="6"/>
  <c r="DX32" i="6"/>
  <c r="DW32" i="6"/>
  <c r="DV32" i="6"/>
  <c r="DX31" i="6"/>
  <c r="DW31" i="6"/>
  <c r="DX30" i="6"/>
  <c r="DW30" i="6"/>
  <c r="DX29" i="6"/>
  <c r="DW29" i="6"/>
  <c r="DX28" i="6"/>
  <c r="DW28" i="6"/>
  <c r="DX27" i="6"/>
  <c r="DW27" i="6"/>
  <c r="DV27" i="6"/>
  <c r="DX24" i="6"/>
  <c r="DW24" i="6"/>
  <c r="DV24" i="6"/>
  <c r="DX13" i="6"/>
  <c r="DW13" i="6"/>
  <c r="DV13" i="6"/>
  <c r="DX11" i="6"/>
  <c r="DW11" i="6"/>
  <c r="DV11" i="6"/>
  <c r="DX10" i="6"/>
  <c r="DW10" i="6"/>
  <c r="DV10" i="6"/>
  <c r="DX8" i="6"/>
  <c r="DX113" i="6" s="1"/>
  <c r="DW8" i="6"/>
  <c r="DV8" i="6"/>
  <c r="DV110" i="6" s="1"/>
  <c r="DU105" i="6"/>
  <c r="DU94" i="6"/>
  <c r="DU92" i="6"/>
  <c r="DU86" i="6"/>
  <c r="DU79" i="6"/>
  <c r="DU77" i="6"/>
  <c r="DU65" i="6"/>
  <c r="DU57" i="6"/>
  <c r="DU54" i="6"/>
  <c r="DU51" i="6"/>
  <c r="DU50" i="6"/>
  <c r="DU49" i="6"/>
  <c r="DU41" i="6"/>
  <c r="DU35" i="6"/>
  <c r="DU34" i="6"/>
  <c r="DU32" i="6"/>
  <c r="DU28" i="6"/>
  <c r="DU24" i="6"/>
  <c r="DU22" i="6"/>
  <c r="DU13" i="6"/>
  <c r="DU11" i="6"/>
  <c r="DU10" i="6"/>
  <c r="DU8" i="6"/>
  <c r="DU112" i="6" s="1"/>
  <c r="DS113" i="6"/>
  <c r="DT105" i="6"/>
  <c r="DS105" i="6"/>
  <c r="DR105" i="6"/>
  <c r="DQ105" i="6"/>
  <c r="DR94" i="6"/>
  <c r="DQ94" i="6"/>
  <c r="DT88" i="6"/>
  <c r="DT85" i="6"/>
  <c r="DT82" i="6"/>
  <c r="DT80" i="6"/>
  <c r="DR80" i="6"/>
  <c r="DQ80" i="6"/>
  <c r="DT74" i="6"/>
  <c r="DT72" i="6"/>
  <c r="DT70" i="6"/>
  <c r="DT66" i="6"/>
  <c r="DQ66" i="6"/>
  <c r="DQ65" i="6"/>
  <c r="DT62" i="6"/>
  <c r="DR62" i="6"/>
  <c r="DT60" i="6"/>
  <c r="DQ60" i="6"/>
  <c r="DT57" i="6"/>
  <c r="DT51" i="6"/>
  <c r="DR51" i="6"/>
  <c r="DQ51" i="6"/>
  <c r="DT50" i="6"/>
  <c r="DS50" i="6"/>
  <c r="DR50" i="6"/>
  <c r="DT49" i="6"/>
  <c r="DR49" i="6"/>
  <c r="DT47" i="6"/>
  <c r="DR42" i="6"/>
  <c r="DR41" i="6"/>
  <c r="DQ41" i="6"/>
  <c r="DT38" i="6"/>
  <c r="DR38" i="6"/>
  <c r="DT37" i="6"/>
  <c r="DT36" i="6"/>
  <c r="DR36" i="6"/>
  <c r="DQ36" i="6"/>
  <c r="DQ35" i="6"/>
  <c r="DT34" i="6"/>
  <c r="DR34" i="6"/>
  <c r="DQ34" i="6"/>
  <c r="DT32" i="6"/>
  <c r="DR32" i="6"/>
  <c r="DQ32" i="6"/>
  <c r="DQ31" i="6"/>
  <c r="DQ30" i="6"/>
  <c r="DQ29" i="6"/>
  <c r="DT25" i="6"/>
  <c r="DR25" i="6"/>
  <c r="DQ25" i="6"/>
  <c r="DT24" i="6"/>
  <c r="DR24" i="6"/>
  <c r="DQ24" i="6"/>
  <c r="DT22" i="6"/>
  <c r="DQ22" i="6"/>
  <c r="DT13" i="6"/>
  <c r="DR13" i="6"/>
  <c r="DQ13" i="6"/>
  <c r="DT11" i="6"/>
  <c r="DR11" i="6"/>
  <c r="DQ11" i="6"/>
  <c r="DT10" i="6"/>
  <c r="DR10" i="6"/>
  <c r="DQ10" i="6"/>
  <c r="DT8" i="6"/>
  <c r="DR8" i="6"/>
  <c r="DQ8" i="6"/>
  <c r="DQ112" i="6" s="1"/>
  <c r="A85" i="2"/>
  <c r="A86" i="2" s="1"/>
  <c r="A87" i="2" s="1"/>
  <c r="A88" i="2" s="1"/>
  <c r="A89" i="2" s="1"/>
  <c r="A90" i="2" s="1"/>
  <c r="A91" i="2" s="1"/>
  <c r="L85" i="2"/>
  <c r="L86" i="2"/>
  <c r="L87" i="2"/>
  <c r="L88" i="2"/>
  <c r="L89" i="2"/>
  <c r="L90" i="2"/>
  <c r="L91" i="2"/>
  <c r="L84" i="2"/>
  <c r="GQ89" i="1" l="1"/>
  <c r="GG114" i="6"/>
  <c r="GG111" i="6"/>
  <c r="EG106" i="6"/>
  <c r="EI106" i="6"/>
  <c r="EI111" i="6"/>
  <c r="EH106" i="6"/>
  <c r="EF106" i="6"/>
  <c r="EG112" i="6"/>
  <c r="EA106" i="6"/>
  <c r="EE106" i="6"/>
  <c r="DY106" i="6"/>
  <c r="DZ106" i="6"/>
  <c r="GG110" i="6"/>
  <c r="DW106" i="6"/>
  <c r="FX106" i="6"/>
  <c r="DW113" i="6"/>
  <c r="DV106" i="6"/>
  <c r="DX106" i="6"/>
  <c r="FV106" i="6"/>
  <c r="FW106" i="6"/>
  <c r="DS106" i="6"/>
  <c r="DU106" i="6"/>
  <c r="DQ106" i="6"/>
  <c r="DT106" i="6"/>
  <c r="DR106" i="6"/>
  <c r="DT114" i="6"/>
  <c r="DR110" i="6"/>
  <c r="DK114" i="6"/>
  <c r="DN113" i="6"/>
  <c r="DM113" i="6"/>
  <c r="DO111" i="6"/>
  <c r="DO106" i="6"/>
  <c r="DN106" i="6"/>
  <c r="DK106" i="6"/>
  <c r="DP105" i="6"/>
  <c r="DL105" i="6"/>
  <c r="DJ105" i="6"/>
  <c r="DP94" i="6"/>
  <c r="DL94" i="6"/>
  <c r="DJ94" i="6"/>
  <c r="DP80" i="6"/>
  <c r="DL80" i="6"/>
  <c r="DJ80" i="6"/>
  <c r="DJ77" i="6"/>
  <c r="DJ74" i="6"/>
  <c r="DJ72" i="6"/>
  <c r="DP66" i="6"/>
  <c r="DJ65" i="6"/>
  <c r="DP62" i="6"/>
  <c r="DL62" i="6"/>
  <c r="DJ62" i="6"/>
  <c r="DJ57" i="6"/>
  <c r="DJ55" i="6"/>
  <c r="DP51" i="6"/>
  <c r="DL51" i="6"/>
  <c r="DJ51" i="6"/>
  <c r="DP50" i="6"/>
  <c r="DL50" i="6"/>
  <c r="DJ50" i="6"/>
  <c r="DP49" i="6"/>
  <c r="DL49" i="6"/>
  <c r="DJ49" i="6"/>
  <c r="DJ47" i="6"/>
  <c r="DJ45" i="6"/>
  <c r="DL43" i="6"/>
  <c r="DL42" i="6"/>
  <c r="DP41" i="6"/>
  <c r="DL41" i="6"/>
  <c r="DP38" i="6"/>
  <c r="DL38" i="6"/>
  <c r="DJ37" i="6"/>
  <c r="DP36" i="6"/>
  <c r="DL36" i="6"/>
  <c r="DJ36" i="6"/>
  <c r="DP35" i="6"/>
  <c r="DP34" i="6"/>
  <c r="DL34" i="6"/>
  <c r="DJ34" i="6"/>
  <c r="DP32" i="6"/>
  <c r="DL32" i="6"/>
  <c r="DJ32" i="6"/>
  <c r="DP31" i="6"/>
  <c r="DP30" i="6"/>
  <c r="DJ30" i="6"/>
  <c r="DP29" i="6"/>
  <c r="DM28" i="6"/>
  <c r="DM106" i="6" s="1"/>
  <c r="DJ27" i="6"/>
  <c r="DP25" i="6"/>
  <c r="DL25" i="6"/>
  <c r="DJ25" i="6"/>
  <c r="DP24" i="6"/>
  <c r="DL24" i="6"/>
  <c r="DJ24" i="6"/>
  <c r="DJ22" i="6"/>
  <c r="DP13" i="6"/>
  <c r="DL13" i="6"/>
  <c r="DJ13" i="6"/>
  <c r="DP11" i="6"/>
  <c r="DL11" i="6"/>
  <c r="DJ11" i="6"/>
  <c r="DP10" i="6"/>
  <c r="DL10" i="6"/>
  <c r="DJ10" i="6"/>
  <c r="DP8" i="6"/>
  <c r="DP112" i="6" s="1"/>
  <c r="DL8" i="6"/>
  <c r="DJ8" i="6"/>
  <c r="DJ106" i="6" l="1"/>
  <c r="DL106" i="6"/>
  <c r="DL111" i="6"/>
  <c r="DP106" i="6"/>
  <c r="DJ111" i="6"/>
  <c r="DF112" i="6" l="1"/>
  <c r="DF106" i="6"/>
  <c r="DI105" i="6"/>
  <c r="DG105" i="6"/>
  <c r="DE105" i="6"/>
  <c r="DI94" i="6"/>
  <c r="DH94" i="6"/>
  <c r="DG94" i="6"/>
  <c r="DE94" i="6"/>
  <c r="DI88" i="6"/>
  <c r="DG88" i="6"/>
  <c r="DE88" i="6"/>
  <c r="DI85" i="6"/>
  <c r="DG85" i="6"/>
  <c r="DI82" i="6"/>
  <c r="DG82" i="6"/>
  <c r="DI80" i="6"/>
  <c r="DH80" i="6"/>
  <c r="DG80" i="6"/>
  <c r="DE80" i="6"/>
  <c r="DI74" i="6"/>
  <c r="DI72" i="6"/>
  <c r="DG72" i="6"/>
  <c r="DI70" i="6"/>
  <c r="DI66" i="6"/>
  <c r="DI65" i="6"/>
  <c r="DE65" i="6"/>
  <c r="DI62" i="6"/>
  <c r="DH62" i="6"/>
  <c r="DG62" i="6"/>
  <c r="DE62" i="6"/>
  <c r="DI60" i="6"/>
  <c r="DG60" i="6"/>
  <c r="DI57" i="6"/>
  <c r="DE55" i="6"/>
  <c r="DI51" i="6"/>
  <c r="DH51" i="6"/>
  <c r="DG51" i="6"/>
  <c r="DE51" i="6"/>
  <c r="DI50" i="6"/>
  <c r="DH50" i="6"/>
  <c r="DG50" i="6"/>
  <c r="DI49" i="6"/>
  <c r="DH49" i="6"/>
  <c r="DG49" i="6"/>
  <c r="DE49" i="6"/>
  <c r="DI45" i="6"/>
  <c r="DH42" i="6"/>
  <c r="DG42" i="6"/>
  <c r="DI41" i="6"/>
  <c r="DH41" i="6"/>
  <c r="DG41" i="6"/>
  <c r="DE41" i="6"/>
  <c r="DH38" i="6"/>
  <c r="DI36" i="6"/>
  <c r="DH36" i="6"/>
  <c r="DG36" i="6"/>
  <c r="DE36" i="6"/>
  <c r="DI34" i="6"/>
  <c r="DH34" i="6"/>
  <c r="DG34" i="6"/>
  <c r="DI32" i="6"/>
  <c r="DH32" i="6"/>
  <c r="DG32" i="6"/>
  <c r="DI31" i="6"/>
  <c r="DI30" i="6"/>
  <c r="DI29" i="6"/>
  <c r="DE27" i="6"/>
  <c r="DI25" i="6"/>
  <c r="DH25" i="6"/>
  <c r="DG25" i="6"/>
  <c r="DH24" i="6"/>
  <c r="DG24" i="6"/>
  <c r="DE24" i="6"/>
  <c r="DI22" i="6"/>
  <c r="DG22" i="6"/>
  <c r="DI13" i="6"/>
  <c r="DH13" i="6"/>
  <c r="DG13" i="6"/>
  <c r="DE13" i="6"/>
  <c r="DI11" i="6"/>
  <c r="DH11" i="6"/>
  <c r="DG11" i="6"/>
  <c r="DI10" i="6"/>
  <c r="DH10" i="6"/>
  <c r="DG10" i="6"/>
  <c r="DI8" i="6"/>
  <c r="DH8" i="6"/>
  <c r="DH110" i="6" s="1"/>
  <c r="DG8" i="6"/>
  <c r="DG111" i="6" s="1"/>
  <c r="DE8" i="6"/>
  <c r="DI106" i="6" l="1"/>
  <c r="DE106" i="6"/>
  <c r="DG106" i="6"/>
  <c r="DE113" i="6"/>
  <c r="DH106" i="6"/>
  <c r="DI114" i="6"/>
  <c r="DC112" i="6" l="1"/>
  <c r="DD111" i="6"/>
  <c r="DD106" i="6"/>
  <c r="DC106" i="6"/>
  <c r="DB105" i="6"/>
  <c r="DB94" i="6"/>
  <c r="DB80" i="6"/>
  <c r="DB66" i="6"/>
  <c r="DB65" i="6"/>
  <c r="DB60" i="6"/>
  <c r="DB51" i="6"/>
  <c r="DB41" i="6"/>
  <c r="DB36" i="6"/>
  <c r="DB35" i="6"/>
  <c r="DB34" i="6"/>
  <c r="DB32" i="6"/>
  <c r="DB31" i="6"/>
  <c r="DB30" i="6"/>
  <c r="DB29" i="6"/>
  <c r="DB25" i="6"/>
  <c r="DB24" i="6"/>
  <c r="DB22" i="6"/>
  <c r="DB13" i="6"/>
  <c r="DB11" i="6"/>
  <c r="DB10" i="6"/>
  <c r="DB8" i="6"/>
  <c r="DB112" i="6" s="1"/>
  <c r="DB106" i="6" l="1"/>
  <c r="DA105" i="6"/>
  <c r="CZ105" i="6"/>
  <c r="CY105" i="6"/>
  <c r="CX105" i="6"/>
  <c r="DA94" i="6"/>
  <c r="CZ94" i="6"/>
  <c r="CY94" i="6"/>
  <c r="CX94" i="6"/>
  <c r="CZ88" i="6"/>
  <c r="CX88" i="6"/>
  <c r="CZ85" i="6"/>
  <c r="CX85" i="6"/>
  <c r="CZ82" i="6"/>
  <c r="CX82" i="6"/>
  <c r="DA80" i="6"/>
  <c r="CZ80" i="6"/>
  <c r="CY80" i="6"/>
  <c r="CX80" i="6"/>
  <c r="CZ74" i="6"/>
  <c r="CZ72" i="6"/>
  <c r="CX72" i="6"/>
  <c r="CZ70" i="6"/>
  <c r="DA66" i="6"/>
  <c r="CZ66" i="6"/>
  <c r="DA65" i="6"/>
  <c r="CZ65" i="6"/>
  <c r="CZ62" i="6"/>
  <c r="CY62" i="6"/>
  <c r="CX62" i="6"/>
  <c r="DA60" i="6"/>
  <c r="CZ60" i="6"/>
  <c r="CX60" i="6"/>
  <c r="CZ57" i="6"/>
  <c r="DA51" i="6"/>
  <c r="CZ51" i="6"/>
  <c r="CY51" i="6"/>
  <c r="CX51" i="6"/>
  <c r="CZ50" i="6"/>
  <c r="CY50" i="6"/>
  <c r="CX50" i="6"/>
  <c r="CZ49" i="6"/>
  <c r="CY49" i="6"/>
  <c r="CX49" i="6"/>
  <c r="CZ45" i="6"/>
  <c r="CY42" i="6"/>
  <c r="CX42" i="6"/>
  <c r="DA41" i="6"/>
  <c r="CZ41" i="6"/>
  <c r="CY41" i="6"/>
  <c r="CX41" i="6"/>
  <c r="CY38" i="6"/>
  <c r="DA36" i="6"/>
  <c r="CZ36" i="6"/>
  <c r="CY36" i="6"/>
  <c r="CX36" i="6"/>
  <c r="DA35" i="6"/>
  <c r="DA34" i="6"/>
  <c r="CZ34" i="6"/>
  <c r="CY34" i="6"/>
  <c r="CX34" i="6"/>
  <c r="DA32" i="6"/>
  <c r="CZ32" i="6"/>
  <c r="CY32" i="6"/>
  <c r="CX32" i="6"/>
  <c r="DA31" i="6"/>
  <c r="CZ31" i="6"/>
  <c r="DA30" i="6"/>
  <c r="CZ30" i="6"/>
  <c r="DA29" i="6"/>
  <c r="CZ29" i="6"/>
  <c r="DA25" i="6"/>
  <c r="CY25" i="6"/>
  <c r="CX25" i="6"/>
  <c r="DA24" i="6"/>
  <c r="CY24" i="6"/>
  <c r="CX24" i="6"/>
  <c r="DA22" i="6"/>
  <c r="CZ22" i="6"/>
  <c r="CX22" i="6"/>
  <c r="DA13" i="6"/>
  <c r="CZ13" i="6"/>
  <c r="CY13" i="6"/>
  <c r="CX13" i="6"/>
  <c r="DA11" i="6"/>
  <c r="CZ11" i="6"/>
  <c r="CY11" i="6"/>
  <c r="CX11" i="6"/>
  <c r="DA10" i="6"/>
  <c r="CZ10" i="6"/>
  <c r="CY10" i="6"/>
  <c r="CX10" i="6"/>
  <c r="DA8" i="6"/>
  <c r="CZ8" i="6"/>
  <c r="CZ114" i="6" s="1"/>
  <c r="CY8" i="6"/>
  <c r="CX8" i="6"/>
  <c r="CX111" i="6" s="1"/>
  <c r="CY106" i="6" l="1"/>
  <c r="DA106" i="6"/>
  <c r="CY110" i="6"/>
  <c r="CX106" i="6"/>
  <c r="CZ106" i="6"/>
  <c r="DA112" i="6"/>
  <c r="G86" i="6"/>
  <c r="O32" i="2"/>
  <c r="GI86" i="6"/>
  <c r="GJ86" i="6"/>
  <c r="GK86" i="6"/>
  <c r="GL86" i="6"/>
  <c r="FI86" i="6"/>
  <c r="CW112" i="6"/>
  <c r="CW106" i="6"/>
  <c r="CV113" i="6"/>
  <c r="CV106" i="6"/>
  <c r="CU105" i="6"/>
  <c r="CU94" i="6"/>
  <c r="CU80" i="6"/>
  <c r="CU66" i="6"/>
  <c r="CU65" i="6"/>
  <c r="CU60" i="6"/>
  <c r="CU51" i="6"/>
  <c r="CU49" i="6"/>
  <c r="CU41" i="6"/>
  <c r="CU36" i="6"/>
  <c r="CU35" i="6"/>
  <c r="CU31" i="6"/>
  <c r="CU30" i="6"/>
  <c r="CU25" i="6"/>
  <c r="CU15" i="6"/>
  <c r="CU13" i="6"/>
  <c r="CU11" i="6"/>
  <c r="CU10" i="6"/>
  <c r="CU8" i="6"/>
  <c r="CT105" i="6"/>
  <c r="CT94" i="6"/>
  <c r="CT80" i="6"/>
  <c r="CT66" i="6"/>
  <c r="CT65" i="6"/>
  <c r="CT60" i="6"/>
  <c r="CT51" i="6"/>
  <c r="CT49" i="6"/>
  <c r="CT41" i="6"/>
  <c r="CT36" i="6"/>
  <c r="CT35" i="6"/>
  <c r="CT31" i="6"/>
  <c r="CT30" i="6"/>
  <c r="CT25" i="6"/>
  <c r="CT15" i="6"/>
  <c r="CT13" i="6"/>
  <c r="CT11" i="6"/>
  <c r="CT10" i="6"/>
  <c r="CT8" i="6"/>
  <c r="CT112" i="6" s="1"/>
  <c r="FI100" i="6"/>
  <c r="FI101" i="6"/>
  <c r="GK111" i="6"/>
  <c r="GK112" i="6"/>
  <c r="GK113" i="6"/>
  <c r="GK114" i="6"/>
  <c r="GK110" i="6"/>
  <c r="GK12" i="6"/>
  <c r="GK14" i="6"/>
  <c r="GK15" i="6"/>
  <c r="GK16" i="6"/>
  <c r="GK17" i="6"/>
  <c r="GK18" i="6"/>
  <c r="GK19" i="6"/>
  <c r="GK20" i="6"/>
  <c r="GK21" i="6"/>
  <c r="GK24" i="6"/>
  <c r="GK26" i="6"/>
  <c r="GK27" i="6"/>
  <c r="GK28" i="6"/>
  <c r="GK29" i="6"/>
  <c r="GK31" i="6"/>
  <c r="GK32" i="6"/>
  <c r="GK33" i="6"/>
  <c r="GK34" i="6"/>
  <c r="GK35" i="6"/>
  <c r="GK37" i="6"/>
  <c r="GK38" i="6"/>
  <c r="GK39" i="6"/>
  <c r="GK40" i="6"/>
  <c r="GK41" i="6"/>
  <c r="GK42" i="6"/>
  <c r="GK46" i="6"/>
  <c r="GK47" i="6"/>
  <c r="GK48" i="6"/>
  <c r="GK52" i="6"/>
  <c r="GK53" i="6"/>
  <c r="GK54" i="6"/>
  <c r="GK55" i="6"/>
  <c r="GK56" i="6"/>
  <c r="GK58" i="6"/>
  <c r="GK59" i="6"/>
  <c r="GK60" i="6"/>
  <c r="GK61" i="6"/>
  <c r="GK62" i="6"/>
  <c r="GK64" i="6"/>
  <c r="GK66" i="6"/>
  <c r="GK67" i="6"/>
  <c r="GK68" i="6"/>
  <c r="GK69" i="6"/>
  <c r="GK70" i="6"/>
  <c r="GK71" i="6"/>
  <c r="GK72" i="6"/>
  <c r="GK74" i="6"/>
  <c r="GK75" i="6"/>
  <c r="GK76" i="6"/>
  <c r="GK77" i="6"/>
  <c r="GK78" i="6"/>
  <c r="GK79" i="6"/>
  <c r="GK80" i="6"/>
  <c r="GK81" i="6"/>
  <c r="GK82" i="6"/>
  <c r="GK83" i="6"/>
  <c r="GK84" i="6"/>
  <c r="GK85" i="6"/>
  <c r="GK87" i="6"/>
  <c r="GK88" i="6"/>
  <c r="GK89" i="6"/>
  <c r="GK90" i="6"/>
  <c r="GK91" i="6"/>
  <c r="GK92" i="6"/>
  <c r="GK93" i="6"/>
  <c r="GK94" i="6"/>
  <c r="GK95" i="6"/>
  <c r="GK96" i="6"/>
  <c r="GK97" i="6"/>
  <c r="GK98" i="6"/>
  <c r="GK99" i="6"/>
  <c r="GK100" i="6"/>
  <c r="GK101" i="6"/>
  <c r="GK102" i="6"/>
  <c r="GK9" i="6"/>
  <c r="H94" i="6"/>
  <c r="H93" i="6"/>
  <c r="H88" i="6"/>
  <c r="H82" i="6"/>
  <c r="H77" i="6"/>
  <c r="H72" i="6"/>
  <c r="H65" i="6"/>
  <c r="H60" i="6"/>
  <c r="H55" i="6"/>
  <c r="H51" i="6"/>
  <c r="H50" i="6"/>
  <c r="H46" i="6"/>
  <c r="H45" i="6"/>
  <c r="H43" i="6"/>
  <c r="H41" i="6"/>
  <c r="H38" i="6"/>
  <c r="H36" i="6"/>
  <c r="H34" i="6"/>
  <c r="H30" i="6"/>
  <c r="H29" i="6"/>
  <c r="H25" i="6"/>
  <c r="H24" i="6"/>
  <c r="H22" i="6"/>
  <c r="H13" i="6"/>
  <c r="H11" i="6"/>
  <c r="E65" i="6"/>
  <c r="GK65" i="6" s="1"/>
  <c r="E43" i="6"/>
  <c r="GK43" i="6" s="1"/>
  <c r="E57" i="6"/>
  <c r="GK57" i="6" s="1"/>
  <c r="E51" i="6"/>
  <c r="GK51" i="6" s="1"/>
  <c r="E50" i="6"/>
  <c r="GK50" i="6" s="1"/>
  <c r="E49" i="6"/>
  <c r="GK49" i="6" s="1"/>
  <c r="E45" i="6"/>
  <c r="GK45" i="6" s="1"/>
  <c r="E36" i="6"/>
  <c r="GK36" i="6" s="1"/>
  <c r="E30" i="6"/>
  <c r="GK30" i="6" s="1"/>
  <c r="E25" i="6"/>
  <c r="GK25" i="6" s="1"/>
  <c r="E22" i="6"/>
  <c r="GK22" i="6" s="1"/>
  <c r="E13" i="6"/>
  <c r="GK13" i="6" s="1"/>
  <c r="E11" i="6"/>
  <c r="GK11" i="6" s="1"/>
  <c r="E10" i="6"/>
  <c r="GK10" i="6" s="1"/>
  <c r="GG86" i="6" l="1"/>
  <c r="GH86" i="6" s="1"/>
  <c r="CU106" i="6"/>
  <c r="CU112" i="6"/>
  <c r="CT106" i="6"/>
  <c r="H23" i="6"/>
  <c r="CM113" i="6" l="1"/>
  <c r="CP111" i="6"/>
  <c r="CM106" i="6"/>
  <c r="CQ105" i="6"/>
  <c r="CO105" i="6"/>
  <c r="CN105" i="6"/>
  <c r="CL105" i="6"/>
  <c r="CO88" i="6"/>
  <c r="CL88" i="6"/>
  <c r="CL85" i="6"/>
  <c r="CL82" i="6"/>
  <c r="CQ80" i="6"/>
  <c r="CO80" i="6"/>
  <c r="CN80" i="6"/>
  <c r="CL80" i="6"/>
  <c r="CL74" i="6"/>
  <c r="CL72" i="6"/>
  <c r="CL70" i="6"/>
  <c r="CL66" i="6"/>
  <c r="CL65" i="6"/>
  <c r="CQ62" i="6"/>
  <c r="CN62" i="6"/>
  <c r="CL62" i="6"/>
  <c r="CO60" i="6"/>
  <c r="CL60" i="6"/>
  <c r="CL57" i="6"/>
  <c r="CQ51" i="6"/>
  <c r="CO51" i="6"/>
  <c r="CN51" i="6"/>
  <c r="CL51" i="6"/>
  <c r="CQ50" i="6"/>
  <c r="CP50" i="6"/>
  <c r="CP106" i="6" s="1"/>
  <c r="CO50" i="6"/>
  <c r="CN50" i="6"/>
  <c r="CL50" i="6"/>
  <c r="CQ49" i="6"/>
  <c r="CO49" i="6"/>
  <c r="CN49" i="6"/>
  <c r="CL49" i="6"/>
  <c r="CL47" i="6"/>
  <c r="CL45" i="6"/>
  <c r="CN43" i="6"/>
  <c r="CQ42" i="6"/>
  <c r="CN42" i="6"/>
  <c r="CQ41" i="6"/>
  <c r="CO41" i="6"/>
  <c r="CN41" i="6"/>
  <c r="CQ38" i="6"/>
  <c r="CN38" i="6"/>
  <c r="CL38" i="6"/>
  <c r="CL37" i="6"/>
  <c r="CN35" i="6"/>
  <c r="CQ34" i="6"/>
  <c r="CN34" i="6"/>
  <c r="CL34" i="6"/>
  <c r="CQ32" i="6"/>
  <c r="CN32" i="6"/>
  <c r="CL32" i="6"/>
  <c r="CN31" i="6"/>
  <c r="CN30" i="6"/>
  <c r="CN29" i="6"/>
  <c r="CQ25" i="6"/>
  <c r="CO25" i="6"/>
  <c r="CL25" i="6"/>
  <c r="CQ24" i="6"/>
  <c r="CN24" i="6"/>
  <c r="CL24" i="6"/>
  <c r="CL22" i="6"/>
  <c r="CQ13" i="6"/>
  <c r="CN13" i="6"/>
  <c r="CL13" i="6"/>
  <c r="CQ11" i="6"/>
  <c r="CN11" i="6"/>
  <c r="CL11" i="6"/>
  <c r="CQ10" i="6"/>
  <c r="CN10" i="6"/>
  <c r="CL10" i="6"/>
  <c r="CQ8" i="6"/>
  <c r="CO8" i="6"/>
  <c r="CO113" i="6" s="1"/>
  <c r="CN8" i="6"/>
  <c r="CN113" i="6" s="1"/>
  <c r="CL8" i="6"/>
  <c r="CK105" i="6"/>
  <c r="CK88" i="6"/>
  <c r="CK80" i="6"/>
  <c r="CK66" i="6"/>
  <c r="CK62" i="6"/>
  <c r="CK51" i="6"/>
  <c r="CK50" i="6"/>
  <c r="CK49" i="6"/>
  <c r="CK38" i="6"/>
  <c r="CK34" i="6"/>
  <c r="CK32" i="6"/>
  <c r="CK25" i="6"/>
  <c r="CK24" i="6"/>
  <c r="CK13" i="6"/>
  <c r="CK11" i="6"/>
  <c r="CK10" i="6"/>
  <c r="CK8" i="6"/>
  <c r="S12" i="10"/>
  <c r="S13" i="10"/>
  <c r="R13" i="10"/>
  <c r="CQ106" i="6" l="1"/>
  <c r="CQ110" i="6"/>
  <c r="CL106" i="6"/>
  <c r="CN106" i="6"/>
  <c r="CO106" i="6"/>
  <c r="CK106" i="6"/>
  <c r="CL114" i="6"/>
  <c r="CK112" i="6"/>
  <c r="CJ113" i="6"/>
  <c r="CI112" i="6"/>
  <c r="CI106" i="6"/>
  <c r="CJ22" i="6"/>
  <c r="CJ106" i="6" s="1"/>
  <c r="CH88" i="6" l="1"/>
  <c r="CH85" i="6"/>
  <c r="CH80" i="6"/>
  <c r="CH72" i="6"/>
  <c r="CH62" i="6"/>
  <c r="CH60" i="6"/>
  <c r="CH51" i="6"/>
  <c r="CH50" i="6"/>
  <c r="CH49" i="6"/>
  <c r="CH42" i="6"/>
  <c r="CH41" i="6"/>
  <c r="CH34" i="6"/>
  <c r="CH32" i="6"/>
  <c r="CH31" i="6"/>
  <c r="CH30" i="6"/>
  <c r="CH29" i="6"/>
  <c r="CH25" i="6"/>
  <c r="CH24" i="6"/>
  <c r="CH22" i="6"/>
  <c r="CH15" i="6"/>
  <c r="CH13" i="6"/>
  <c r="CH11" i="6"/>
  <c r="CH10" i="6"/>
  <c r="CH8" i="6"/>
  <c r="CH111" i="6" s="1"/>
  <c r="CG105" i="6"/>
  <c r="CG94" i="6"/>
  <c r="CG80" i="6"/>
  <c r="CG66" i="6"/>
  <c r="CG62" i="6"/>
  <c r="CG51" i="6"/>
  <c r="CG50" i="6"/>
  <c r="CG49" i="6"/>
  <c r="CG41" i="6"/>
  <c r="CG38" i="6"/>
  <c r="CG36" i="6"/>
  <c r="CG35" i="6"/>
  <c r="CG34" i="6"/>
  <c r="CG32" i="6"/>
  <c r="CG31" i="6"/>
  <c r="CG30" i="6"/>
  <c r="CG29" i="6"/>
  <c r="CG25" i="6"/>
  <c r="CG24" i="6"/>
  <c r="CG15" i="6"/>
  <c r="CG13" i="6"/>
  <c r="CG11" i="6"/>
  <c r="CG10" i="6"/>
  <c r="CG8" i="6"/>
  <c r="CG112" i="6" s="1"/>
  <c r="CR102" i="6"/>
  <c r="CF105" i="6"/>
  <c r="CE105" i="6"/>
  <c r="CF94" i="6"/>
  <c r="CE94" i="6"/>
  <c r="CF82" i="6"/>
  <c r="CF80" i="6"/>
  <c r="CE80" i="6"/>
  <c r="CE66" i="6"/>
  <c r="CE65" i="6"/>
  <c r="CF62" i="6"/>
  <c r="CE60" i="6"/>
  <c r="CF51" i="6"/>
  <c r="CE51" i="6"/>
  <c r="CF50" i="6"/>
  <c r="CF49" i="6"/>
  <c r="CE49" i="6"/>
  <c r="CF43" i="6"/>
  <c r="CF42" i="6"/>
  <c r="CF41" i="6"/>
  <c r="CE41" i="6"/>
  <c r="CF38" i="6"/>
  <c r="CF36" i="6"/>
  <c r="CE36" i="6"/>
  <c r="CF35" i="6"/>
  <c r="CE35" i="6"/>
  <c r="CF34" i="6"/>
  <c r="CF32" i="6"/>
  <c r="CF31" i="6"/>
  <c r="CE31" i="6"/>
  <c r="CF30" i="6"/>
  <c r="CE30" i="6"/>
  <c r="CF29" i="6"/>
  <c r="CE25" i="6"/>
  <c r="CF24" i="6"/>
  <c r="CE15" i="6"/>
  <c r="CF13" i="6"/>
  <c r="CE13" i="6"/>
  <c r="CF11" i="6"/>
  <c r="CE11" i="6"/>
  <c r="CF10" i="6"/>
  <c r="CE10" i="6"/>
  <c r="CF8" i="6"/>
  <c r="CF113" i="6" s="1"/>
  <c r="CE8" i="6"/>
  <c r="CE112" i="6" s="1"/>
  <c r="GL100" i="6"/>
  <c r="GL101" i="6"/>
  <c r="GL102" i="6"/>
  <c r="GG100" i="6"/>
  <c r="GH100" i="6" s="1"/>
  <c r="GI100" i="6"/>
  <c r="GJ100" i="6"/>
  <c r="GG101" i="6"/>
  <c r="GH101" i="6" s="1"/>
  <c r="GI101" i="6"/>
  <c r="GJ101" i="6"/>
  <c r="CR100" i="6"/>
  <c r="CR101" i="6"/>
  <c r="AH99" i="6"/>
  <c r="AO99" i="6"/>
  <c r="GL99" i="6"/>
  <c r="GI99" i="6"/>
  <c r="GG99" i="6"/>
  <c r="GH99" i="6" s="1"/>
  <c r="FI99" i="6"/>
  <c r="CR99" i="6"/>
  <c r="G99" i="6"/>
  <c r="C99" i="6"/>
  <c r="GJ99" i="6" s="1"/>
  <c r="BG100" i="6"/>
  <c r="BG101" i="6"/>
  <c r="G100" i="6"/>
  <c r="G101" i="6"/>
  <c r="CD111" i="6"/>
  <c r="CD106" i="6"/>
  <c r="CC105" i="6"/>
  <c r="CB105" i="6"/>
  <c r="CC94" i="6"/>
  <c r="CB94" i="6"/>
  <c r="CC80" i="6"/>
  <c r="CB80" i="6"/>
  <c r="CC66" i="6"/>
  <c r="CB66" i="6"/>
  <c r="CB65" i="6"/>
  <c r="CC62" i="6"/>
  <c r="CB60" i="6"/>
  <c r="CC51" i="6"/>
  <c r="CB51" i="6"/>
  <c r="CC50" i="6"/>
  <c r="CC49" i="6"/>
  <c r="CB49" i="6"/>
  <c r="CC41" i="6"/>
  <c r="CB41" i="6"/>
  <c r="CC38" i="6"/>
  <c r="CC36" i="6"/>
  <c r="CB36" i="6"/>
  <c r="CB35" i="6"/>
  <c r="CC34" i="6"/>
  <c r="CC32" i="6"/>
  <c r="CB31" i="6"/>
  <c r="CB30" i="6"/>
  <c r="CC25" i="6"/>
  <c r="CB25" i="6"/>
  <c r="CC24" i="6"/>
  <c r="CC15" i="6"/>
  <c r="CB15" i="6"/>
  <c r="CC13" i="6"/>
  <c r="CB13" i="6"/>
  <c r="CC11" i="6"/>
  <c r="CB11" i="6"/>
  <c r="CC10" i="6"/>
  <c r="CB10" i="6"/>
  <c r="CC8" i="6"/>
  <c r="CC112" i="6" s="1"/>
  <c r="CB8" i="6"/>
  <c r="CB112" i="6" s="1"/>
  <c r="CA112" i="6"/>
  <c r="CA106" i="6"/>
  <c r="BZ113" i="6"/>
  <c r="BZ106" i="6"/>
  <c r="BY110" i="6"/>
  <c r="BY106" i="6"/>
  <c r="BX105" i="6"/>
  <c r="BX94" i="6"/>
  <c r="BX80" i="6"/>
  <c r="BX62" i="6"/>
  <c r="BX51" i="6"/>
  <c r="BX50" i="6"/>
  <c r="BX49" i="6"/>
  <c r="BX42" i="6"/>
  <c r="BX41" i="6"/>
  <c r="BX38" i="6"/>
  <c r="BX36" i="6"/>
  <c r="BX34" i="6"/>
  <c r="BX32" i="6"/>
  <c r="BX25" i="6"/>
  <c r="BX24" i="6"/>
  <c r="BX15" i="6"/>
  <c r="BX13" i="6"/>
  <c r="BX11" i="6"/>
  <c r="BX10" i="6"/>
  <c r="BX8" i="6"/>
  <c r="BX110" i="6" s="1"/>
  <c r="BW105" i="6"/>
  <c r="BV105" i="6"/>
  <c r="BW94" i="6"/>
  <c r="BV94" i="6"/>
  <c r="BW80" i="6"/>
  <c r="BV80" i="6"/>
  <c r="BW77" i="6"/>
  <c r="BV66" i="6"/>
  <c r="BW65" i="6"/>
  <c r="BW62" i="6"/>
  <c r="BV62" i="6"/>
  <c r="BW51" i="6"/>
  <c r="BV51" i="6"/>
  <c r="BW50" i="6"/>
  <c r="BV50" i="6"/>
  <c r="BW49" i="6"/>
  <c r="BV49" i="6"/>
  <c r="BW42" i="6"/>
  <c r="BW41" i="6"/>
  <c r="BV41" i="6"/>
  <c r="BW38" i="6"/>
  <c r="BV38" i="6"/>
  <c r="BW36" i="6"/>
  <c r="BV36" i="6"/>
  <c r="BW35" i="6"/>
  <c r="BV35" i="6"/>
  <c r="BW34" i="6"/>
  <c r="BV34" i="6"/>
  <c r="BW32" i="6"/>
  <c r="BV32" i="6"/>
  <c r="BW31" i="6"/>
  <c r="BV31" i="6"/>
  <c r="BW30" i="6"/>
  <c r="BV30" i="6"/>
  <c r="BW29" i="6"/>
  <c r="BV29" i="6"/>
  <c r="BW25" i="6"/>
  <c r="BV25" i="6"/>
  <c r="BW24" i="6"/>
  <c r="BV24" i="6"/>
  <c r="BW13" i="6"/>
  <c r="BV13" i="6"/>
  <c r="BW11" i="6"/>
  <c r="BV11" i="6"/>
  <c r="BW10" i="6"/>
  <c r="BV10" i="6"/>
  <c r="BW8" i="6"/>
  <c r="BW110" i="6" s="1"/>
  <c r="BV8" i="6"/>
  <c r="BV112" i="6" s="1"/>
  <c r="CH106" i="6" l="1"/>
  <c r="CG106" i="6"/>
  <c r="CF106" i="6"/>
  <c r="CE106" i="6"/>
  <c r="BG99" i="6"/>
  <c r="CC106" i="6"/>
  <c r="CB106" i="6"/>
  <c r="BX106" i="6"/>
  <c r="BW106" i="6"/>
  <c r="BV106" i="6"/>
  <c r="BU105" i="6"/>
  <c r="BT105" i="6"/>
  <c r="BU94" i="6"/>
  <c r="BT94" i="6"/>
  <c r="BU88" i="6"/>
  <c r="BU85" i="6"/>
  <c r="BU82" i="6"/>
  <c r="BU80" i="6"/>
  <c r="BT80" i="6"/>
  <c r="BU72" i="6"/>
  <c r="BU62" i="6"/>
  <c r="BT62" i="6"/>
  <c r="BU60" i="6"/>
  <c r="BU51" i="6"/>
  <c r="BT51" i="6"/>
  <c r="BU50" i="6"/>
  <c r="BT50" i="6"/>
  <c r="BU49" i="6"/>
  <c r="BT49" i="6"/>
  <c r="BU42" i="6"/>
  <c r="BT42" i="6"/>
  <c r="BU41" i="6"/>
  <c r="BT41" i="6"/>
  <c r="BT38" i="6"/>
  <c r="BU36" i="6"/>
  <c r="BT36" i="6"/>
  <c r="BU34" i="6"/>
  <c r="BT34" i="6"/>
  <c r="BU32" i="6"/>
  <c r="BT32" i="6"/>
  <c r="BU31" i="6"/>
  <c r="BU30" i="6"/>
  <c r="BU29" i="6"/>
  <c r="BU25" i="6"/>
  <c r="BT25" i="6"/>
  <c r="BU24" i="6"/>
  <c r="BT24" i="6"/>
  <c r="BU22" i="6"/>
  <c r="BU15" i="6"/>
  <c r="BT15" i="6"/>
  <c r="BU13" i="6"/>
  <c r="BT13" i="6"/>
  <c r="BU11" i="6"/>
  <c r="BT11" i="6"/>
  <c r="BU10" i="6"/>
  <c r="BT10" i="6"/>
  <c r="BU8" i="6"/>
  <c r="BU111" i="6" s="1"/>
  <c r="BT8" i="6"/>
  <c r="BU106" i="6" l="1"/>
  <c r="BT106" i="6"/>
  <c r="BT110" i="6"/>
  <c r="BS112" i="6" l="1"/>
  <c r="BS106" i="6"/>
  <c r="CR98" i="6"/>
  <c r="CR95" i="6"/>
  <c r="CR96" i="6"/>
  <c r="CR97" i="6"/>
  <c r="CR37" i="6"/>
  <c r="BR114" i="6" l="1"/>
  <c r="BP111" i="6"/>
  <c r="BR106" i="6"/>
  <c r="BP106" i="6"/>
  <c r="BQ105" i="6"/>
  <c r="BQ94" i="6"/>
  <c r="BQ93" i="6"/>
  <c r="BQ92" i="6"/>
  <c r="BQ88" i="6"/>
  <c r="BQ80" i="6"/>
  <c r="BQ77" i="6"/>
  <c r="BQ69" i="6"/>
  <c r="BQ65" i="6"/>
  <c r="BQ57" i="6"/>
  <c r="BQ50" i="6"/>
  <c r="BQ49" i="6"/>
  <c r="BQ46" i="6"/>
  <c r="BQ45" i="6"/>
  <c r="BQ36" i="6"/>
  <c r="BQ35" i="6"/>
  <c r="BQ34" i="6"/>
  <c r="BQ33" i="6"/>
  <c r="BQ31" i="6"/>
  <c r="BQ30" i="6"/>
  <c r="BQ29" i="6"/>
  <c r="BQ28" i="6"/>
  <c r="BQ24" i="6"/>
  <c r="BQ22" i="6"/>
  <c r="BQ15" i="6"/>
  <c r="BQ13" i="6"/>
  <c r="BQ11" i="6"/>
  <c r="BQ10" i="6"/>
  <c r="BQ8" i="6"/>
  <c r="BQ111" i="6" s="1"/>
  <c r="BO105" i="6"/>
  <c r="BN105" i="6"/>
  <c r="BO94" i="6"/>
  <c r="BN94" i="6"/>
  <c r="BO88" i="6"/>
  <c r="BO85" i="6"/>
  <c r="BN85" i="6"/>
  <c r="BO82" i="6"/>
  <c r="BO80" i="6"/>
  <c r="BO72" i="6"/>
  <c r="BN72" i="6"/>
  <c r="BO62" i="6"/>
  <c r="BN62" i="6"/>
  <c r="BO60" i="6"/>
  <c r="BO51" i="6"/>
  <c r="BO50" i="6"/>
  <c r="BO49" i="6"/>
  <c r="BN45" i="6"/>
  <c r="BO42" i="6"/>
  <c r="BO41" i="6"/>
  <c r="BN41" i="6"/>
  <c r="BO36" i="6"/>
  <c r="BN36" i="6"/>
  <c r="BO34" i="6"/>
  <c r="BO32" i="6"/>
  <c r="BO31" i="6"/>
  <c r="BO30" i="6"/>
  <c r="BO29" i="6"/>
  <c r="BO25" i="6"/>
  <c r="BN25" i="6"/>
  <c r="BO24" i="6"/>
  <c r="BO22" i="6"/>
  <c r="BO15" i="6"/>
  <c r="BO13" i="6"/>
  <c r="BN13" i="6"/>
  <c r="BO11" i="6"/>
  <c r="BO10" i="6"/>
  <c r="BO8" i="6"/>
  <c r="BO111" i="6" s="1"/>
  <c r="BN8" i="6"/>
  <c r="BN113" i="6" s="1"/>
  <c r="BM105" i="6"/>
  <c r="BM94" i="6"/>
  <c r="BM80" i="6"/>
  <c r="BM66" i="6"/>
  <c r="BM65" i="6"/>
  <c r="BM60" i="6"/>
  <c r="BM51" i="6"/>
  <c r="BM49" i="6"/>
  <c r="BM41" i="6"/>
  <c r="BM36" i="6"/>
  <c r="BM35" i="6"/>
  <c r="BM31" i="6"/>
  <c r="BM30" i="6"/>
  <c r="BM25" i="6"/>
  <c r="BM15" i="6"/>
  <c r="BM13" i="6"/>
  <c r="BM11" i="6"/>
  <c r="BM10" i="6"/>
  <c r="BM8" i="6"/>
  <c r="BM112" i="6" s="1"/>
  <c r="GI110" i="6"/>
  <c r="BQ106" i="6" l="1"/>
  <c r="BM106" i="6"/>
  <c r="BO106" i="6"/>
  <c r="BN106" i="6"/>
  <c r="D92" i="6"/>
  <c r="D85" i="6"/>
  <c r="D79" i="6"/>
  <c r="D77" i="6"/>
  <c r="D74" i="6"/>
  <c r="D72" i="6"/>
  <c r="D70" i="6"/>
  <c r="D66" i="6"/>
  <c r="D65" i="6"/>
  <c r="D57" i="6"/>
  <c r="D51" i="6"/>
  <c r="D49" i="6"/>
  <c r="D47" i="6"/>
  <c r="D45" i="6"/>
  <c r="D28" i="6"/>
  <c r="D27" i="6"/>
  <c r="D25" i="6"/>
  <c r="D22" i="6"/>
  <c r="D13" i="6" l="1"/>
  <c r="AF11" i="6" l="1"/>
  <c r="D11" i="6"/>
  <c r="D10" i="6"/>
  <c r="BJ114" i="6"/>
  <c r="BK113" i="6"/>
  <c r="BI113" i="6"/>
  <c r="BK106" i="6"/>
  <c r="BJ106" i="6"/>
  <c r="BL105" i="6"/>
  <c r="BL94" i="6"/>
  <c r="BL88" i="6"/>
  <c r="BL85" i="6"/>
  <c r="BL82" i="6"/>
  <c r="BL80" i="6"/>
  <c r="BL72" i="6"/>
  <c r="BL62" i="6"/>
  <c r="BL60" i="6"/>
  <c r="BL51" i="6"/>
  <c r="BL50" i="6"/>
  <c r="BL49" i="6"/>
  <c r="BL42" i="6"/>
  <c r="BL41" i="6"/>
  <c r="BL36" i="6"/>
  <c r="BL34" i="6"/>
  <c r="BL32" i="6"/>
  <c r="BL25" i="6"/>
  <c r="BL24" i="6"/>
  <c r="BL22" i="6"/>
  <c r="BL13" i="6"/>
  <c r="BL11" i="6"/>
  <c r="BL10" i="6"/>
  <c r="BI10" i="6"/>
  <c r="BI106" i="6" s="1"/>
  <c r="BL8" i="6"/>
  <c r="BL111" i="6" s="1"/>
  <c r="BL106" i="6" l="1"/>
  <c r="AI113" i="6" l="1"/>
  <c r="AI106" i="6"/>
  <c r="AJ105" i="6"/>
  <c r="AJ88" i="6"/>
  <c r="AJ85" i="6"/>
  <c r="AJ82" i="6"/>
  <c r="AJ80" i="6"/>
  <c r="AJ74" i="6"/>
  <c r="AJ72" i="6"/>
  <c r="AJ70" i="6"/>
  <c r="AJ66" i="6"/>
  <c r="AJ65" i="6"/>
  <c r="AJ62" i="6"/>
  <c r="AJ60" i="6"/>
  <c r="AJ57" i="6"/>
  <c r="AJ51" i="6"/>
  <c r="AJ50" i="6"/>
  <c r="AJ49" i="6"/>
  <c r="AJ47" i="6"/>
  <c r="AJ45" i="6"/>
  <c r="AJ38" i="6"/>
  <c r="AJ37" i="6"/>
  <c r="AJ34" i="6"/>
  <c r="AJ33" i="6"/>
  <c r="AJ25" i="6"/>
  <c r="AJ24" i="6"/>
  <c r="AJ22" i="6"/>
  <c r="AJ13" i="6"/>
  <c r="AJ11" i="6"/>
  <c r="AJ10" i="6"/>
  <c r="AJ8" i="6"/>
  <c r="AJ114" i="6" s="1"/>
  <c r="AJ106" i="6" l="1"/>
  <c r="BF105" i="6" l="1"/>
  <c r="BE105" i="6"/>
  <c r="BF94" i="6"/>
  <c r="BE94" i="6"/>
  <c r="BF88" i="6"/>
  <c r="BF85" i="6"/>
  <c r="BF82" i="6"/>
  <c r="BF80" i="6"/>
  <c r="BE80" i="6"/>
  <c r="BF74" i="6"/>
  <c r="BF72" i="6"/>
  <c r="BF70" i="6"/>
  <c r="BF66" i="6"/>
  <c r="BF65" i="6"/>
  <c r="BF62" i="6"/>
  <c r="BE62" i="6"/>
  <c r="BF60" i="6"/>
  <c r="BF57" i="6"/>
  <c r="BF51" i="6"/>
  <c r="BE51" i="6"/>
  <c r="BF50" i="6"/>
  <c r="BE50" i="6"/>
  <c r="BF49" i="6"/>
  <c r="BE49" i="6"/>
  <c r="BF45" i="6"/>
  <c r="BE42" i="6"/>
  <c r="BF41" i="6"/>
  <c r="BE41" i="6"/>
  <c r="BE38" i="6"/>
  <c r="BF36" i="6"/>
  <c r="BE36" i="6"/>
  <c r="BF34" i="6"/>
  <c r="BE34" i="6"/>
  <c r="BF32" i="6"/>
  <c r="BE32" i="6"/>
  <c r="BF31" i="6"/>
  <c r="BF30" i="6"/>
  <c r="BF29" i="6"/>
  <c r="BF25" i="6"/>
  <c r="BE25" i="6"/>
  <c r="BE24" i="6"/>
  <c r="BF22" i="6"/>
  <c r="BE15" i="6"/>
  <c r="BF13" i="6"/>
  <c r="BE13" i="6"/>
  <c r="BF11" i="6"/>
  <c r="BE11" i="6"/>
  <c r="BF10" i="6"/>
  <c r="BE10" i="6"/>
  <c r="BF8" i="6"/>
  <c r="BF114" i="6" s="1"/>
  <c r="BE8" i="6"/>
  <c r="BD105" i="6"/>
  <c r="BC105" i="6"/>
  <c r="BD94" i="6"/>
  <c r="BC94" i="6"/>
  <c r="BD88" i="6"/>
  <c r="BC88" i="6"/>
  <c r="BD85" i="6"/>
  <c r="BC85" i="6"/>
  <c r="BD82" i="6"/>
  <c r="BC82" i="6"/>
  <c r="BD80" i="6"/>
  <c r="BC80" i="6"/>
  <c r="BC74" i="6"/>
  <c r="BD72" i="6"/>
  <c r="BC72" i="6"/>
  <c r="BC70" i="6"/>
  <c r="BC66" i="6"/>
  <c r="BC65" i="6"/>
  <c r="BD62" i="6"/>
  <c r="BC62" i="6"/>
  <c r="BD60" i="6"/>
  <c r="BC60" i="6"/>
  <c r="BC57" i="6"/>
  <c r="BD51" i="6"/>
  <c r="BC51" i="6"/>
  <c r="BD50" i="6"/>
  <c r="BC50" i="6"/>
  <c r="BD49" i="6"/>
  <c r="BC49" i="6"/>
  <c r="BC45" i="6"/>
  <c r="BD42" i="6"/>
  <c r="BD41" i="6"/>
  <c r="BC41" i="6"/>
  <c r="BD36" i="6"/>
  <c r="BC36" i="6"/>
  <c r="BD34" i="6"/>
  <c r="BC34" i="6"/>
  <c r="BD32" i="6"/>
  <c r="BC32" i="6"/>
  <c r="BC31" i="6"/>
  <c r="BC30" i="6"/>
  <c r="BC29" i="6"/>
  <c r="BD25" i="6"/>
  <c r="BC25" i="6"/>
  <c r="BD24" i="6"/>
  <c r="BD22" i="6"/>
  <c r="BC22" i="6"/>
  <c r="BD13" i="6"/>
  <c r="BC13" i="6"/>
  <c r="BD11" i="6"/>
  <c r="BC11" i="6"/>
  <c r="BD10" i="6"/>
  <c r="BC10" i="6"/>
  <c r="BD8" i="6"/>
  <c r="BD111" i="6" s="1"/>
  <c r="BC8" i="6"/>
  <c r="BC114" i="6" s="1"/>
  <c r="BB114" i="6"/>
  <c r="BA111" i="6"/>
  <c r="AZ110" i="6"/>
  <c r="BA106" i="6"/>
  <c r="AZ106" i="6"/>
  <c r="AY105" i="6"/>
  <c r="AY94" i="6"/>
  <c r="AY80" i="6"/>
  <c r="AY66" i="6"/>
  <c r="AY62" i="6"/>
  <c r="AY60" i="6"/>
  <c r="AY51" i="6"/>
  <c r="AY50" i="6"/>
  <c r="AY49" i="6"/>
  <c r="AY41" i="6"/>
  <c r="AY38" i="6"/>
  <c r="AY36" i="6"/>
  <c r="AY34" i="6"/>
  <c r="AY32" i="6"/>
  <c r="BB25" i="6"/>
  <c r="BB106" i="6" s="1"/>
  <c r="AY25" i="6"/>
  <c r="AY24" i="6"/>
  <c r="AY15" i="6"/>
  <c r="AY13" i="6"/>
  <c r="AY11" i="6"/>
  <c r="AY10" i="6"/>
  <c r="AY8" i="6"/>
  <c r="AY112" i="6" s="1"/>
  <c r="AX105" i="6"/>
  <c r="AX94" i="6"/>
  <c r="AX80" i="6"/>
  <c r="AX66" i="6"/>
  <c r="AX62" i="6"/>
  <c r="AX60" i="6"/>
  <c r="AX51" i="6"/>
  <c r="AX50" i="6"/>
  <c r="AX49" i="6"/>
  <c r="AX41" i="6"/>
  <c r="AX38" i="6"/>
  <c r="AX36" i="6"/>
  <c r="AX34" i="6"/>
  <c r="AX32" i="6"/>
  <c r="AX25" i="6"/>
  <c r="AX24" i="6"/>
  <c r="AX15" i="6"/>
  <c r="AX13" i="6"/>
  <c r="AX11" i="6"/>
  <c r="AX10" i="6"/>
  <c r="AX8" i="6"/>
  <c r="AX112" i="6" s="1"/>
  <c r="AW113" i="6"/>
  <c r="AV105" i="6"/>
  <c r="AV80" i="6"/>
  <c r="AV66" i="6"/>
  <c r="AV62" i="6"/>
  <c r="AV51" i="6"/>
  <c r="AV50" i="6"/>
  <c r="AV49" i="6"/>
  <c r="AV41" i="6"/>
  <c r="AV38" i="6"/>
  <c r="AV36" i="6"/>
  <c r="AV34" i="6"/>
  <c r="AV33" i="6"/>
  <c r="AW28" i="6"/>
  <c r="AW106" i="6" s="1"/>
  <c r="AV25" i="6"/>
  <c r="AV24" i="6"/>
  <c r="AV15" i="6"/>
  <c r="AV13" i="6"/>
  <c r="AV11" i="6"/>
  <c r="AV10" i="6"/>
  <c r="AV8" i="6"/>
  <c r="AV112" i="6" s="1"/>
  <c r="AU105" i="6"/>
  <c r="AT105" i="6"/>
  <c r="AS105" i="6"/>
  <c r="AT88" i="6"/>
  <c r="AU80" i="6"/>
  <c r="AS80" i="6"/>
  <c r="AT79" i="6"/>
  <c r="AS66" i="6"/>
  <c r="AT65" i="6"/>
  <c r="AU62" i="6"/>
  <c r="AS62" i="6"/>
  <c r="AT60" i="6"/>
  <c r="AU51" i="6"/>
  <c r="AT51" i="6"/>
  <c r="AS51" i="6"/>
  <c r="AU50" i="6"/>
  <c r="AT50" i="6"/>
  <c r="AS50" i="6"/>
  <c r="AU49" i="6"/>
  <c r="AT49" i="6"/>
  <c r="AS49" i="6"/>
  <c r="AU42" i="6"/>
  <c r="AU41" i="6"/>
  <c r="AT41" i="6"/>
  <c r="AS41" i="6"/>
  <c r="AU38" i="6"/>
  <c r="AS38" i="6"/>
  <c r="AU36" i="6"/>
  <c r="AS36" i="6"/>
  <c r="AT35" i="6"/>
  <c r="AS35" i="6"/>
  <c r="AU34" i="6"/>
  <c r="AT34" i="6"/>
  <c r="AS34" i="6"/>
  <c r="AU33" i="6"/>
  <c r="AT33" i="6"/>
  <c r="AS33" i="6"/>
  <c r="AT31" i="6"/>
  <c r="AS31" i="6"/>
  <c r="AT30" i="6"/>
  <c r="AS30" i="6"/>
  <c r="AT29" i="6"/>
  <c r="AS29" i="6"/>
  <c r="AT28" i="6"/>
  <c r="AT27" i="6"/>
  <c r="AU25" i="6"/>
  <c r="AS25" i="6"/>
  <c r="AU24" i="6"/>
  <c r="AT24" i="6"/>
  <c r="AS24" i="6"/>
  <c r="AT22" i="6"/>
  <c r="AU15" i="6"/>
  <c r="AS15" i="6"/>
  <c r="AU13" i="6"/>
  <c r="AT13" i="6"/>
  <c r="AS13" i="6"/>
  <c r="AS12" i="6"/>
  <c r="AU11" i="6"/>
  <c r="AT11" i="6"/>
  <c r="AU10" i="6"/>
  <c r="AT10" i="6"/>
  <c r="AS10" i="6"/>
  <c r="AU8" i="6"/>
  <c r="AU110" i="6" s="1"/>
  <c r="AT8" i="6"/>
  <c r="AT113" i="6" s="1"/>
  <c r="AS8" i="6"/>
  <c r="AS112" i="6" s="1"/>
  <c r="BE106" i="6" l="1"/>
  <c r="BE110" i="6"/>
  <c r="BF106" i="6"/>
  <c r="BD106" i="6"/>
  <c r="BC106" i="6"/>
  <c r="AY106" i="6"/>
  <c r="AX106" i="6"/>
  <c r="AV106" i="6"/>
  <c r="AU106" i="6"/>
  <c r="AS106" i="6"/>
  <c r="AT106" i="6"/>
  <c r="AR105" i="6"/>
  <c r="AQ105" i="6"/>
  <c r="AR80" i="6"/>
  <c r="AQ80" i="6"/>
  <c r="AR66" i="6"/>
  <c r="AQ66" i="6"/>
  <c r="AR62" i="6"/>
  <c r="AQ62" i="6"/>
  <c r="AR51" i="6"/>
  <c r="AQ51" i="6"/>
  <c r="AR50" i="6"/>
  <c r="AQ50" i="6"/>
  <c r="AR49" i="6"/>
  <c r="AQ49" i="6"/>
  <c r="AR41" i="6"/>
  <c r="AQ41" i="6"/>
  <c r="AR38" i="6"/>
  <c r="AQ38" i="6"/>
  <c r="AR36" i="6"/>
  <c r="AQ36" i="6"/>
  <c r="AR35" i="6"/>
  <c r="AQ35" i="6"/>
  <c r="AR34" i="6"/>
  <c r="AQ34" i="6"/>
  <c r="AR33" i="6"/>
  <c r="AQ33" i="6"/>
  <c r="AR31" i="6"/>
  <c r="AQ31" i="6"/>
  <c r="AR30" i="6"/>
  <c r="AQ30" i="6"/>
  <c r="AR29" i="6"/>
  <c r="AQ29" i="6"/>
  <c r="AR25" i="6"/>
  <c r="AQ25" i="6"/>
  <c r="AR24" i="6"/>
  <c r="AQ24" i="6"/>
  <c r="AR15" i="6"/>
  <c r="AQ15" i="6"/>
  <c r="AR13" i="6"/>
  <c r="AQ13" i="6"/>
  <c r="AR11" i="6"/>
  <c r="AQ11" i="6"/>
  <c r="AR10" i="6"/>
  <c r="AQ10" i="6"/>
  <c r="AR8" i="6"/>
  <c r="AR112" i="6" s="1"/>
  <c r="AQ8" i="6"/>
  <c r="AQ112" i="6" s="1"/>
  <c r="AP112" i="6"/>
  <c r="AO112" i="6"/>
  <c r="AP106" i="6"/>
  <c r="AO106" i="6"/>
  <c r="AM114" i="6"/>
  <c r="AN113" i="6"/>
  <c r="AL112" i="6"/>
  <c r="AK111" i="6"/>
  <c r="AN106" i="6"/>
  <c r="AM106" i="6"/>
  <c r="AL106" i="6"/>
  <c r="AK106" i="6"/>
  <c r="GP42" i="6"/>
  <c r="GQ42" i="6" s="1"/>
  <c r="GR43" i="6" s="1"/>
  <c r="AH105" i="6"/>
  <c r="AG105" i="6"/>
  <c r="AG90" i="6"/>
  <c r="AH88" i="6"/>
  <c r="AG85" i="6"/>
  <c r="AG84" i="6"/>
  <c r="AG82" i="6"/>
  <c r="AH80" i="6"/>
  <c r="AG80" i="6"/>
  <c r="AH66" i="6"/>
  <c r="AG65" i="6"/>
  <c r="AH62" i="6"/>
  <c r="AG62" i="6"/>
  <c r="AG57" i="6"/>
  <c r="AH51" i="6"/>
  <c r="AG51" i="6"/>
  <c r="AH50" i="6"/>
  <c r="AG50" i="6"/>
  <c r="AH49" i="6"/>
  <c r="AG49" i="6"/>
  <c r="AG46" i="6"/>
  <c r="AG45" i="6"/>
  <c r="AG42" i="6"/>
  <c r="AG41" i="6"/>
  <c r="AH38" i="6"/>
  <c r="AG38" i="6"/>
  <c r="AH36" i="6"/>
  <c r="AG36" i="6"/>
  <c r="AG35" i="6"/>
  <c r="AH34" i="6"/>
  <c r="AG34" i="6"/>
  <c r="AH33" i="6"/>
  <c r="AG33" i="6"/>
  <c r="AG31" i="6"/>
  <c r="AG30" i="6"/>
  <c r="AG29" i="6"/>
  <c r="AG28" i="6"/>
  <c r="AG27" i="6"/>
  <c r="AH25" i="6"/>
  <c r="AH24" i="6"/>
  <c r="AG24" i="6"/>
  <c r="AG17" i="6"/>
  <c r="AG16" i="6"/>
  <c r="AH15" i="6"/>
  <c r="AG15" i="6"/>
  <c r="AH13" i="6"/>
  <c r="AG13" i="6"/>
  <c r="AG12" i="6"/>
  <c r="AH11" i="6"/>
  <c r="AH10" i="6"/>
  <c r="AG10" i="6"/>
  <c r="AH8" i="6"/>
  <c r="AH112" i="6" s="1"/>
  <c r="AG8" i="6"/>
  <c r="AG113" i="6" s="1"/>
  <c r="AF105" i="6"/>
  <c r="AE105" i="6"/>
  <c r="AE82" i="6"/>
  <c r="AF80" i="6"/>
  <c r="AF66" i="6"/>
  <c r="AF62" i="6"/>
  <c r="AF51" i="6"/>
  <c r="AF50" i="6"/>
  <c r="AF49" i="6"/>
  <c r="AF41" i="6"/>
  <c r="AE41" i="6"/>
  <c r="AF38" i="6"/>
  <c r="AF36" i="6"/>
  <c r="AE36" i="6"/>
  <c r="AF35" i="6"/>
  <c r="AE35" i="6"/>
  <c r="AF34" i="6"/>
  <c r="AE34" i="6"/>
  <c r="AF33" i="6"/>
  <c r="AE33" i="6"/>
  <c r="AF31" i="6"/>
  <c r="AE31" i="6"/>
  <c r="AF30" i="6"/>
  <c r="AE30" i="6"/>
  <c r="AF29" i="6"/>
  <c r="AE29" i="6"/>
  <c r="AE28" i="6"/>
  <c r="AE27" i="6"/>
  <c r="AF25" i="6"/>
  <c r="AF24" i="6"/>
  <c r="AE24" i="6"/>
  <c r="AF13" i="6"/>
  <c r="AE13" i="6"/>
  <c r="AE11" i="6"/>
  <c r="AF10" i="6"/>
  <c r="AE10" i="6"/>
  <c r="AF8" i="6"/>
  <c r="AF112" i="6" s="1"/>
  <c r="AE8" i="6"/>
  <c r="AE113" i="6" s="1"/>
  <c r="AD105" i="6"/>
  <c r="AD80" i="6"/>
  <c r="AD65" i="6"/>
  <c r="AD60" i="6"/>
  <c r="AD41" i="6"/>
  <c r="AD36" i="6"/>
  <c r="AD35" i="6"/>
  <c r="AD34" i="6"/>
  <c r="AD33" i="6"/>
  <c r="AD31" i="6"/>
  <c r="AD30" i="6"/>
  <c r="AD29" i="6"/>
  <c r="AD28" i="6"/>
  <c r="AD27" i="6"/>
  <c r="AD24" i="6"/>
  <c r="AD15" i="6"/>
  <c r="AD13" i="6"/>
  <c r="AD11" i="6"/>
  <c r="AD10" i="6"/>
  <c r="AD8" i="6"/>
  <c r="AQ106" i="6" l="1"/>
  <c r="AR106" i="6"/>
  <c r="GR42" i="6"/>
  <c r="AH106" i="6"/>
  <c r="AG106" i="6"/>
  <c r="AE106" i="6"/>
  <c r="AF106" i="6"/>
  <c r="AD106" i="6"/>
  <c r="AD112" i="6"/>
  <c r="AC105" i="6"/>
  <c r="AB105" i="6"/>
  <c r="AB92" i="6"/>
  <c r="AB84" i="6"/>
  <c r="AC80" i="6"/>
  <c r="AB77" i="6"/>
  <c r="AB72" i="6"/>
  <c r="AB69" i="6"/>
  <c r="AC65" i="6"/>
  <c r="AB65" i="6"/>
  <c r="AC60" i="6"/>
  <c r="AB57" i="6"/>
  <c r="AB46" i="6"/>
  <c r="AB45" i="6"/>
  <c r="AC41" i="6"/>
  <c r="AC36" i="6"/>
  <c r="AB36" i="6"/>
  <c r="AC35" i="6"/>
  <c r="AB35" i="6"/>
  <c r="AC34" i="6"/>
  <c r="AB34" i="6"/>
  <c r="AC33" i="6"/>
  <c r="AB33" i="6"/>
  <c r="AC31" i="6"/>
  <c r="AB31" i="6"/>
  <c r="AC30" i="6"/>
  <c r="AB30" i="6"/>
  <c r="AC29" i="6"/>
  <c r="AB29" i="6"/>
  <c r="AC28" i="6"/>
  <c r="AB28" i="6"/>
  <c r="AC27" i="6"/>
  <c r="AC24" i="6"/>
  <c r="AB24" i="6"/>
  <c r="AB22" i="6"/>
  <c r="AC15" i="6"/>
  <c r="AB15" i="6"/>
  <c r="AC13" i="6"/>
  <c r="AB13" i="6"/>
  <c r="AC11" i="6"/>
  <c r="AB11" i="6"/>
  <c r="AC10" i="6"/>
  <c r="AB10" i="6"/>
  <c r="AC8" i="6"/>
  <c r="AC112" i="6" s="1"/>
  <c r="AB8" i="6"/>
  <c r="AB111" i="6" s="1"/>
  <c r="AA105" i="6"/>
  <c r="AA80" i="6"/>
  <c r="AA65" i="6"/>
  <c r="AA60" i="6"/>
  <c r="AA41" i="6"/>
  <c r="AA36" i="6"/>
  <c r="AA35" i="6"/>
  <c r="AA34" i="6"/>
  <c r="AA33" i="6"/>
  <c r="AA31" i="6"/>
  <c r="AA30" i="6"/>
  <c r="AA29" i="6"/>
  <c r="AA28" i="6"/>
  <c r="AA27" i="6"/>
  <c r="AA24" i="6"/>
  <c r="AA15" i="6"/>
  <c r="AA13" i="6"/>
  <c r="AA11" i="6"/>
  <c r="AA10" i="6"/>
  <c r="AA8" i="6"/>
  <c r="AA112" i="6" s="1"/>
  <c r="AB106" i="6" l="1"/>
  <c r="AC106" i="6"/>
  <c r="AA106" i="6"/>
  <c r="E5" i="2"/>
  <c r="F5" i="2" s="1"/>
  <c r="Y114" i="6"/>
  <c r="X111" i="6"/>
  <c r="X106" i="6"/>
  <c r="Z105" i="6"/>
  <c r="Z88" i="6"/>
  <c r="Z85" i="6"/>
  <c r="Z82" i="6"/>
  <c r="Z80" i="6"/>
  <c r="Y74" i="6"/>
  <c r="Y106" i="6" s="1"/>
  <c r="Z72" i="6"/>
  <c r="Z62" i="6"/>
  <c r="Z60" i="6"/>
  <c r="Z51" i="6"/>
  <c r="Z50" i="6"/>
  <c r="Z49" i="6"/>
  <c r="Z42" i="6"/>
  <c r="Z41" i="6"/>
  <c r="Z36" i="6"/>
  <c r="Z34" i="6"/>
  <c r="Z33" i="6"/>
  <c r="Z31" i="6"/>
  <c r="Z30" i="6"/>
  <c r="Z29" i="6"/>
  <c r="Z25" i="6"/>
  <c r="Z24" i="6"/>
  <c r="Z22" i="6"/>
  <c r="Z15" i="6"/>
  <c r="Z13" i="6"/>
  <c r="Z11" i="6"/>
  <c r="Z10" i="6"/>
  <c r="Z8" i="6"/>
  <c r="Z111" i="6" s="1"/>
  <c r="W105" i="6"/>
  <c r="V105" i="6"/>
  <c r="W80" i="6"/>
  <c r="V80" i="6"/>
  <c r="W62" i="6"/>
  <c r="V62" i="6"/>
  <c r="W51" i="6"/>
  <c r="V51" i="6"/>
  <c r="W50" i="6"/>
  <c r="V50" i="6"/>
  <c r="W49" i="6"/>
  <c r="V49" i="6"/>
  <c r="W43" i="6"/>
  <c r="W42" i="6"/>
  <c r="V42" i="6"/>
  <c r="W41" i="6"/>
  <c r="V41" i="6"/>
  <c r="W38" i="6"/>
  <c r="V38" i="6"/>
  <c r="V36" i="6"/>
  <c r="W35" i="6"/>
  <c r="W34" i="6"/>
  <c r="V34" i="6"/>
  <c r="W33" i="6"/>
  <c r="V33" i="6"/>
  <c r="W31" i="6"/>
  <c r="W30" i="6"/>
  <c r="W29" i="6"/>
  <c r="V25" i="6"/>
  <c r="W24" i="6"/>
  <c r="V24" i="6"/>
  <c r="W15" i="6"/>
  <c r="V15" i="6"/>
  <c r="W13" i="6"/>
  <c r="V13" i="6"/>
  <c r="W12" i="6"/>
  <c r="V11" i="6"/>
  <c r="W10" i="6"/>
  <c r="V10" i="6"/>
  <c r="W8" i="6"/>
  <c r="W113" i="6" s="1"/>
  <c r="V8" i="6"/>
  <c r="V110" i="6" s="1"/>
  <c r="Z106" i="6" l="1"/>
  <c r="V106" i="6"/>
  <c r="W106" i="6"/>
  <c r="U105" i="6"/>
  <c r="T105" i="6"/>
  <c r="S105" i="6"/>
  <c r="R105" i="6"/>
  <c r="R88" i="6"/>
  <c r="U80" i="6"/>
  <c r="T80" i="6"/>
  <c r="S80" i="6"/>
  <c r="R80" i="6"/>
  <c r="T66" i="6"/>
  <c r="R66" i="6"/>
  <c r="U62" i="6"/>
  <c r="T62" i="6"/>
  <c r="S62" i="6"/>
  <c r="R62" i="6"/>
  <c r="R60" i="6"/>
  <c r="U51" i="6"/>
  <c r="T51" i="6"/>
  <c r="S51" i="6"/>
  <c r="R51" i="6"/>
  <c r="U50" i="6"/>
  <c r="T50" i="6"/>
  <c r="S50" i="6"/>
  <c r="R50" i="6"/>
  <c r="U49" i="6"/>
  <c r="T49" i="6"/>
  <c r="S49" i="6"/>
  <c r="R49" i="6"/>
  <c r="S43" i="6"/>
  <c r="U42" i="6"/>
  <c r="S42" i="6"/>
  <c r="U41" i="6"/>
  <c r="T41" i="6"/>
  <c r="S41" i="6"/>
  <c r="R41" i="6"/>
  <c r="U38" i="6"/>
  <c r="T38" i="6"/>
  <c r="S38" i="6"/>
  <c r="R38" i="6"/>
  <c r="T36" i="6"/>
  <c r="S36" i="6"/>
  <c r="R36" i="6"/>
  <c r="U35" i="6"/>
  <c r="T35" i="6"/>
  <c r="R35" i="6"/>
  <c r="U34" i="6"/>
  <c r="T34" i="6"/>
  <c r="S34" i="6"/>
  <c r="R34" i="6"/>
  <c r="U33" i="6"/>
  <c r="T33" i="6"/>
  <c r="S33" i="6"/>
  <c r="R33" i="6"/>
  <c r="U31" i="6"/>
  <c r="T31" i="6"/>
  <c r="R31" i="6"/>
  <c r="U30" i="6"/>
  <c r="T30" i="6"/>
  <c r="R30" i="6"/>
  <c r="U29" i="6"/>
  <c r="T29" i="6"/>
  <c r="R29" i="6"/>
  <c r="U25" i="6"/>
  <c r="T25" i="6"/>
  <c r="S25" i="6"/>
  <c r="R25" i="6"/>
  <c r="U24" i="6"/>
  <c r="T24" i="6"/>
  <c r="S24" i="6"/>
  <c r="R24" i="6"/>
  <c r="T15" i="6"/>
  <c r="U13" i="6"/>
  <c r="T13" i="6"/>
  <c r="S13" i="6"/>
  <c r="R13" i="6"/>
  <c r="S12" i="6"/>
  <c r="U11" i="6"/>
  <c r="T11" i="6"/>
  <c r="R11" i="6"/>
  <c r="U10" i="6"/>
  <c r="T10" i="6"/>
  <c r="S10" i="6"/>
  <c r="R10" i="6"/>
  <c r="U8" i="6"/>
  <c r="T8" i="6"/>
  <c r="T112" i="6" s="1"/>
  <c r="S8" i="6"/>
  <c r="S111" i="6" s="1"/>
  <c r="R8" i="6"/>
  <c r="R112" i="6" s="1"/>
  <c r="Q105" i="6"/>
  <c r="P105" i="6"/>
  <c r="P88" i="6"/>
  <c r="P85" i="6"/>
  <c r="P82" i="6"/>
  <c r="Q80" i="6"/>
  <c r="P80" i="6"/>
  <c r="P74" i="6"/>
  <c r="P72" i="6"/>
  <c r="P70" i="6"/>
  <c r="Q66" i="6"/>
  <c r="P66" i="6"/>
  <c r="P65" i="6"/>
  <c r="Q62" i="6"/>
  <c r="P62" i="6"/>
  <c r="P60" i="6"/>
  <c r="P57" i="6"/>
  <c r="Q51" i="6"/>
  <c r="P51" i="6"/>
  <c r="Q50" i="6"/>
  <c r="P50" i="6"/>
  <c r="Q49" i="6"/>
  <c r="P49" i="6"/>
  <c r="P45" i="6"/>
  <c r="Q41" i="6"/>
  <c r="P41" i="6"/>
  <c r="Q38" i="6"/>
  <c r="Q36" i="6"/>
  <c r="Q34" i="6"/>
  <c r="P34" i="6"/>
  <c r="Q33" i="6"/>
  <c r="P33" i="6"/>
  <c r="P31" i="6"/>
  <c r="P30" i="6"/>
  <c r="P29" i="6"/>
  <c r="Q25" i="6"/>
  <c r="P25" i="6"/>
  <c r="Q24" i="6"/>
  <c r="P22" i="6"/>
  <c r="Q13" i="6"/>
  <c r="P13" i="6"/>
  <c r="Q11" i="6"/>
  <c r="P11" i="6"/>
  <c r="Q10" i="6"/>
  <c r="P10" i="6"/>
  <c r="Q8" i="6"/>
  <c r="Q112" i="6" s="1"/>
  <c r="P8" i="6"/>
  <c r="P114" i="6" s="1"/>
  <c r="O105" i="6"/>
  <c r="N105" i="6"/>
  <c r="M105" i="6"/>
  <c r="M92" i="6"/>
  <c r="N85" i="6"/>
  <c r="O80" i="6"/>
  <c r="M77" i="6"/>
  <c r="N72" i="6"/>
  <c r="O66" i="6"/>
  <c r="O62" i="6"/>
  <c r="N62" i="6"/>
  <c r="O51" i="6"/>
  <c r="O50" i="6"/>
  <c r="O49" i="6"/>
  <c r="N45" i="6"/>
  <c r="O41" i="6"/>
  <c r="N41" i="6"/>
  <c r="M41" i="6"/>
  <c r="O38" i="6"/>
  <c r="O36" i="6"/>
  <c r="N36" i="6"/>
  <c r="M36" i="6"/>
  <c r="O35" i="6"/>
  <c r="M35" i="6"/>
  <c r="O34" i="6"/>
  <c r="M34" i="6"/>
  <c r="O33" i="6"/>
  <c r="M33" i="6"/>
  <c r="O31" i="6"/>
  <c r="M31" i="6"/>
  <c r="O30" i="6"/>
  <c r="M30" i="6"/>
  <c r="O29" i="6"/>
  <c r="M29" i="6"/>
  <c r="M28" i="6"/>
  <c r="M27" i="6"/>
  <c r="O25" i="6"/>
  <c r="N25" i="6"/>
  <c r="O24" i="6"/>
  <c r="M24" i="6"/>
  <c r="M15" i="6"/>
  <c r="O13" i="6"/>
  <c r="N13" i="6"/>
  <c r="M13" i="6"/>
  <c r="O12" i="6"/>
  <c r="M11" i="6"/>
  <c r="O10" i="6"/>
  <c r="M10" i="6"/>
  <c r="O8" i="6"/>
  <c r="O112" i="6" s="1"/>
  <c r="N8" i="6"/>
  <c r="N113" i="6" s="1"/>
  <c r="M8" i="6"/>
  <c r="M113" i="6" s="1"/>
  <c r="U106" i="6" l="1"/>
  <c r="R106" i="6"/>
  <c r="S106" i="6"/>
  <c r="T106" i="6"/>
  <c r="U111" i="6"/>
  <c r="P106" i="6"/>
  <c r="Q106" i="6"/>
  <c r="O106" i="6"/>
  <c r="N106" i="6"/>
  <c r="M106" i="6"/>
  <c r="F86" i="5"/>
  <c r="F90" i="5"/>
  <c r="F84" i="5"/>
  <c r="F81" i="5"/>
  <c r="F79" i="5"/>
  <c r="F78" i="5"/>
  <c r="F71" i="5"/>
  <c r="F64" i="5"/>
  <c r="F60" i="5"/>
  <c r="F57" i="5"/>
  <c r="F54" i="5"/>
  <c r="F51" i="5"/>
  <c r="F50" i="5"/>
  <c r="F49" i="5"/>
  <c r="F45" i="5"/>
  <c r="F38" i="5"/>
  <c r="F36" i="5"/>
  <c r="F30" i="5"/>
  <c r="F24" i="5"/>
  <c r="F11" i="5"/>
  <c r="F10" i="5"/>
  <c r="L105" i="6"/>
  <c r="K105" i="6"/>
  <c r="L88" i="6"/>
  <c r="K88" i="6"/>
  <c r="L85" i="6"/>
  <c r="K85" i="6"/>
  <c r="L82" i="6"/>
  <c r="K82" i="6"/>
  <c r="L80" i="6"/>
  <c r="K80" i="6"/>
  <c r="L74" i="6"/>
  <c r="L72" i="6"/>
  <c r="K72" i="6"/>
  <c r="L70" i="6"/>
  <c r="L66" i="6"/>
  <c r="L65" i="6"/>
  <c r="L62" i="6"/>
  <c r="K62" i="6"/>
  <c r="L60" i="6"/>
  <c r="K60" i="6"/>
  <c r="L57" i="6"/>
  <c r="L51" i="6"/>
  <c r="K51" i="6"/>
  <c r="L50" i="6"/>
  <c r="K50" i="6"/>
  <c r="L49" i="6"/>
  <c r="K49" i="6"/>
  <c r="L45" i="6"/>
  <c r="K42" i="6"/>
  <c r="L41" i="6"/>
  <c r="K41" i="6"/>
  <c r="K36" i="6"/>
  <c r="L34" i="6"/>
  <c r="K34" i="6"/>
  <c r="L33" i="6"/>
  <c r="K33" i="6"/>
  <c r="L31" i="6"/>
  <c r="L30" i="6"/>
  <c r="L29" i="6"/>
  <c r="L25" i="6"/>
  <c r="K25" i="6"/>
  <c r="K24" i="6"/>
  <c r="L22" i="6"/>
  <c r="K22" i="6"/>
  <c r="L13" i="6"/>
  <c r="K13" i="6"/>
  <c r="L11" i="6"/>
  <c r="K11" i="6"/>
  <c r="L10" i="6"/>
  <c r="K10" i="6"/>
  <c r="L8" i="6"/>
  <c r="L114" i="6" s="1"/>
  <c r="K8" i="6"/>
  <c r="K111" i="6" l="1"/>
  <c r="BG8" i="6"/>
  <c r="L106" i="6"/>
  <c r="K106" i="6"/>
  <c r="F110" i="5" l="1"/>
  <c r="GL98" i="6" l="1"/>
  <c r="GI97" i="6"/>
  <c r="GI98" i="6"/>
  <c r="GI102" i="6"/>
  <c r="G9" i="6"/>
  <c r="G83" i="5"/>
  <c r="G68" i="5"/>
  <c r="G37" i="5"/>
  <c r="GG102" i="6"/>
  <c r="GH102" i="6" s="1"/>
  <c r="GG93" i="6"/>
  <c r="GH93" i="6" s="1"/>
  <c r="GG94" i="6"/>
  <c r="GH94" i="6" s="1"/>
  <c r="GG95" i="6"/>
  <c r="GG96" i="6"/>
  <c r="GH96" i="6" s="1"/>
  <c r="GG97" i="6"/>
  <c r="GH97" i="6" s="1"/>
  <c r="GG98" i="6"/>
  <c r="GH98" i="6" s="1"/>
  <c r="G84" i="6"/>
  <c r="G85" i="6"/>
  <c r="G69" i="6"/>
  <c r="G70" i="6"/>
  <c r="G71" i="6"/>
  <c r="G37" i="6"/>
  <c r="FI102" i="6"/>
  <c r="BG102" i="6"/>
  <c r="G102" i="6"/>
  <c r="FI98" i="6"/>
  <c r="BG98" i="6"/>
  <c r="G98" i="6"/>
  <c r="HB96" i="5"/>
  <c r="HA96" i="5"/>
  <c r="GY96" i="5"/>
  <c r="GW96" i="5"/>
  <c r="GX96" i="5" s="1"/>
  <c r="GA96" i="5"/>
  <c r="DT96" i="5"/>
  <c r="BS96" i="5"/>
  <c r="G96" i="5"/>
  <c r="C98" i="6" s="1"/>
  <c r="GJ98" i="6" s="1"/>
  <c r="I86" i="5"/>
  <c r="I79" i="5"/>
  <c r="I76" i="5"/>
  <c r="I73" i="5"/>
  <c r="I64" i="5"/>
  <c r="I62" i="5"/>
  <c r="I57" i="5"/>
  <c r="I51" i="5"/>
  <c r="I49" i="5"/>
  <c r="I45" i="5"/>
  <c r="I36" i="5"/>
  <c r="I25" i="5"/>
  <c r="I24" i="5"/>
  <c r="I11" i="5"/>
  <c r="FR107" i="5"/>
  <c r="FR101" i="5"/>
  <c r="FV100" i="5"/>
  <c r="FU100" i="5"/>
  <c r="FT100" i="5"/>
  <c r="FS100" i="5"/>
  <c r="FV86" i="5"/>
  <c r="FV79" i="5"/>
  <c r="FU79" i="5"/>
  <c r="FT79" i="5"/>
  <c r="FS79" i="5"/>
  <c r="FV76" i="5"/>
  <c r="FV73" i="5"/>
  <c r="FV69" i="5"/>
  <c r="FV65" i="5"/>
  <c r="FT65" i="5"/>
  <c r="FS65" i="5"/>
  <c r="FV64" i="5"/>
  <c r="FV62" i="5"/>
  <c r="FU62" i="5"/>
  <c r="FT62" i="5"/>
  <c r="FS62" i="5"/>
  <c r="FS60" i="5"/>
  <c r="FV51" i="5"/>
  <c r="FU51" i="5"/>
  <c r="FT51" i="5"/>
  <c r="FS51" i="5"/>
  <c r="FV50" i="5"/>
  <c r="FU50" i="5"/>
  <c r="FT50" i="5"/>
  <c r="FS50" i="5"/>
  <c r="FV49" i="5"/>
  <c r="FU49" i="5"/>
  <c r="FT49" i="5"/>
  <c r="FS49" i="5"/>
  <c r="FV47" i="5"/>
  <c r="FV45" i="5"/>
  <c r="FV42" i="5"/>
  <c r="FU42" i="5"/>
  <c r="FV41" i="5"/>
  <c r="FU41" i="5"/>
  <c r="FT41" i="5"/>
  <c r="FS41" i="5"/>
  <c r="FU38" i="5"/>
  <c r="FT38" i="5"/>
  <c r="FS38" i="5"/>
  <c r="FV37" i="5"/>
  <c r="FV36" i="5"/>
  <c r="FU36" i="5"/>
  <c r="FT36" i="5"/>
  <c r="FS36" i="5"/>
  <c r="FT35" i="5"/>
  <c r="FV34" i="5"/>
  <c r="FU34" i="5"/>
  <c r="FT34" i="5"/>
  <c r="FS34" i="5"/>
  <c r="FV33" i="5"/>
  <c r="FU33" i="5"/>
  <c r="FT33" i="5"/>
  <c r="FS33" i="5"/>
  <c r="FT31" i="5"/>
  <c r="FT30" i="5"/>
  <c r="FT29" i="5"/>
  <c r="FV27" i="5"/>
  <c r="FV25" i="5"/>
  <c r="FU25" i="5"/>
  <c r="FT25" i="5"/>
  <c r="FS25" i="5"/>
  <c r="FV24" i="5"/>
  <c r="FU24" i="5"/>
  <c r="FT24" i="5"/>
  <c r="FS24" i="5"/>
  <c r="FV22" i="5"/>
  <c r="FV13" i="5"/>
  <c r="FU13" i="5"/>
  <c r="FT13" i="5"/>
  <c r="FS13" i="5"/>
  <c r="FV12" i="5"/>
  <c r="FT12" i="5"/>
  <c r="FS12" i="5"/>
  <c r="FU11" i="5"/>
  <c r="FU10" i="5"/>
  <c r="FT10" i="5"/>
  <c r="FS10" i="5"/>
  <c r="FV8" i="5"/>
  <c r="FV109" i="5" s="1"/>
  <c r="FU8" i="5"/>
  <c r="FU105" i="5" s="1"/>
  <c r="FT8" i="5"/>
  <c r="FT107" i="5" s="1"/>
  <c r="FS8" i="5"/>
  <c r="FQ109" i="5"/>
  <c r="FN108" i="5"/>
  <c r="FM107" i="5"/>
  <c r="FP106" i="5"/>
  <c r="FO105" i="5"/>
  <c r="FQ101" i="5"/>
  <c r="FP101" i="5"/>
  <c r="FN101" i="5"/>
  <c r="FM60" i="5"/>
  <c r="FO50" i="5"/>
  <c r="FO101" i="5" s="1"/>
  <c r="FM50" i="5"/>
  <c r="FM45" i="5"/>
  <c r="FM10" i="5"/>
  <c r="FS101" i="5" l="1"/>
  <c r="FT101" i="5"/>
  <c r="FU101" i="5"/>
  <c r="FV101" i="5"/>
  <c r="FS107" i="5"/>
  <c r="FM101" i="5"/>
  <c r="FK109" i="5"/>
  <c r="FK101" i="5"/>
  <c r="FL100" i="5"/>
  <c r="FJ100" i="5"/>
  <c r="FL79" i="5"/>
  <c r="FJ79" i="5"/>
  <c r="FL65" i="5"/>
  <c r="FJ65" i="5"/>
  <c r="FJ64" i="5"/>
  <c r="FL62" i="5"/>
  <c r="FJ60" i="5"/>
  <c r="FL51" i="5"/>
  <c r="FJ51" i="5"/>
  <c r="FL50" i="5"/>
  <c r="FL49" i="5"/>
  <c r="FJ49" i="5"/>
  <c r="FL41" i="5"/>
  <c r="FJ41" i="5"/>
  <c r="FL38" i="5"/>
  <c r="FL36" i="5"/>
  <c r="FJ36" i="5"/>
  <c r="FJ35" i="5"/>
  <c r="FL34" i="5"/>
  <c r="FL33" i="5"/>
  <c r="FJ31" i="5"/>
  <c r="FJ30" i="5"/>
  <c r="FL25" i="5"/>
  <c r="FJ25" i="5"/>
  <c r="FL24" i="5"/>
  <c r="FL13" i="5"/>
  <c r="FJ13" i="5"/>
  <c r="FL11" i="5"/>
  <c r="FJ11" i="5"/>
  <c r="FL10" i="5"/>
  <c r="FJ10" i="5"/>
  <c r="FL8" i="5"/>
  <c r="FL107" i="5" s="1"/>
  <c r="FJ8" i="5"/>
  <c r="FJ107" i="5" s="1"/>
  <c r="L75" i="2"/>
  <c r="L73" i="2"/>
  <c r="L72" i="2"/>
  <c r="L71" i="2"/>
  <c r="L56" i="2"/>
  <c r="L47" i="2"/>
  <c r="L46" i="2"/>
  <c r="L45" i="2"/>
  <c r="L44" i="2"/>
  <c r="L43" i="2"/>
  <c r="L42" i="2"/>
  <c r="L41" i="2"/>
  <c r="L40" i="2"/>
  <c r="L38" i="2"/>
  <c r="L37" i="2"/>
  <c r="L36" i="2"/>
  <c r="L35" i="2"/>
  <c r="L34" i="2"/>
  <c r="L32" i="2"/>
  <c r="N32" i="2" s="1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7" i="2"/>
  <c r="L16" i="2"/>
  <c r="L14" i="2"/>
  <c r="L13" i="2"/>
  <c r="L12" i="2"/>
  <c r="L11" i="2"/>
  <c r="L10" i="2"/>
  <c r="L9" i="2"/>
  <c r="L8" i="2"/>
  <c r="L7" i="2"/>
  <c r="L6" i="2"/>
  <c r="FJ101" i="5" l="1"/>
  <c r="FL101" i="5"/>
  <c r="FI108" i="5"/>
  <c r="FH108" i="5"/>
  <c r="FG108" i="5"/>
  <c r="FH101" i="5"/>
  <c r="FG101" i="5"/>
  <c r="FI30" i="5"/>
  <c r="FI101" i="5" s="1"/>
  <c r="BG37" i="6"/>
  <c r="BG69" i="6"/>
  <c r="BG84" i="6"/>
  <c r="C37" i="6"/>
  <c r="GJ37" i="6" s="1"/>
  <c r="C69" i="6"/>
  <c r="GJ69" i="6" s="1"/>
  <c r="C84" i="6"/>
  <c r="GJ84" i="6" s="1"/>
  <c r="GG117" i="6"/>
  <c r="GG116" i="6"/>
  <c r="E115" i="6"/>
  <c r="D115" i="6"/>
  <c r="GI114" i="6"/>
  <c r="G114" i="6"/>
  <c r="GI113" i="6"/>
  <c r="G113" i="6"/>
  <c r="GI112" i="6"/>
  <c r="G112" i="6"/>
  <c r="GI111" i="6"/>
  <c r="G111" i="6"/>
  <c r="G110" i="6"/>
  <c r="GJ109" i="6"/>
  <c r="G109" i="6"/>
  <c r="F109" i="6"/>
  <c r="E109" i="6"/>
  <c r="D109" i="6"/>
  <c r="C109" i="6"/>
  <c r="GD106" i="6"/>
  <c r="F103" i="6"/>
  <c r="GL97" i="6"/>
  <c r="FI97" i="6"/>
  <c r="BG97" i="6"/>
  <c r="G97" i="6"/>
  <c r="GL96" i="6"/>
  <c r="GI96" i="6"/>
  <c r="FI96" i="6"/>
  <c r="BG96" i="6"/>
  <c r="G96" i="6"/>
  <c r="GL95" i="6"/>
  <c r="GI95" i="6"/>
  <c r="GH95" i="6"/>
  <c r="FI95" i="6"/>
  <c r="G95" i="6"/>
  <c r="GL94" i="6"/>
  <c r="GI94" i="6"/>
  <c r="FI94" i="6"/>
  <c r="CR94" i="6"/>
  <c r="BG94" i="6"/>
  <c r="G94" i="6"/>
  <c r="GL93" i="6"/>
  <c r="GI93" i="6"/>
  <c r="FI93" i="6"/>
  <c r="CR93" i="6"/>
  <c r="BG93" i="6"/>
  <c r="G93" i="6"/>
  <c r="GL92" i="6"/>
  <c r="GI92" i="6"/>
  <c r="GG92" i="6"/>
  <c r="GH92" i="6" s="1"/>
  <c r="FI92" i="6"/>
  <c r="CR92" i="6"/>
  <c r="BG92" i="6"/>
  <c r="G92" i="6"/>
  <c r="GL91" i="6"/>
  <c r="GI91" i="6"/>
  <c r="GG91" i="6"/>
  <c r="GH91" i="6" s="1"/>
  <c r="FI91" i="6"/>
  <c r="CR91" i="6"/>
  <c r="BG91" i="6"/>
  <c r="G91" i="6"/>
  <c r="GL90" i="6"/>
  <c r="GI90" i="6"/>
  <c r="GG90" i="6"/>
  <c r="GH90" i="6" s="1"/>
  <c r="FI90" i="6"/>
  <c r="CR90" i="6"/>
  <c r="BG90" i="6"/>
  <c r="G90" i="6"/>
  <c r="GL89" i="6"/>
  <c r="GI89" i="6"/>
  <c r="GG89" i="6"/>
  <c r="GH89" i="6" s="1"/>
  <c r="FI89" i="6"/>
  <c r="CR89" i="6"/>
  <c r="BG89" i="6"/>
  <c r="G89" i="6"/>
  <c r="GL88" i="6"/>
  <c r="FI88" i="6"/>
  <c r="BG88" i="6"/>
  <c r="GI88" i="6"/>
  <c r="G88" i="6"/>
  <c r="GL87" i="6"/>
  <c r="GI87" i="6"/>
  <c r="GG87" i="6"/>
  <c r="GH87" i="6" s="1"/>
  <c r="FI87" i="6"/>
  <c r="CR87" i="6"/>
  <c r="BG87" i="6"/>
  <c r="G87" i="6"/>
  <c r="GL85" i="6"/>
  <c r="CR85" i="6"/>
  <c r="BG85" i="6"/>
  <c r="GL84" i="6"/>
  <c r="GI84" i="6"/>
  <c r="GG84" i="6"/>
  <c r="GH84" i="6" s="1"/>
  <c r="FI84" i="6"/>
  <c r="CR84" i="6"/>
  <c r="GL83" i="6"/>
  <c r="GI83" i="6"/>
  <c r="GG83" i="6"/>
  <c r="GH83" i="6" s="1"/>
  <c r="FI83" i="6"/>
  <c r="CR83" i="6"/>
  <c r="G83" i="6"/>
  <c r="GL82" i="6"/>
  <c r="GI82" i="6"/>
  <c r="CR82" i="6"/>
  <c r="G82" i="6"/>
  <c r="GL81" i="6"/>
  <c r="GI81" i="6"/>
  <c r="GG81" i="6"/>
  <c r="GH81" i="6" s="1"/>
  <c r="FI81" i="6"/>
  <c r="CR81" i="6"/>
  <c r="BG81" i="6"/>
  <c r="G81" i="6"/>
  <c r="GL80" i="6"/>
  <c r="FI80" i="6"/>
  <c r="CR80" i="6"/>
  <c r="BG80" i="6"/>
  <c r="GI80" i="6"/>
  <c r="G80" i="6"/>
  <c r="GL79" i="6"/>
  <c r="GI79" i="6"/>
  <c r="GG79" i="6"/>
  <c r="GH79" i="6" s="1"/>
  <c r="FI79" i="6"/>
  <c r="CR79" i="6"/>
  <c r="BG79" i="6"/>
  <c r="G79" i="6"/>
  <c r="GL78" i="6"/>
  <c r="GI78" i="6"/>
  <c r="GG78" i="6"/>
  <c r="GH78" i="6" s="1"/>
  <c r="FI78" i="6"/>
  <c r="CR78" i="6"/>
  <c r="BG78" i="6"/>
  <c r="G78" i="6"/>
  <c r="GL77" i="6"/>
  <c r="FI77" i="6"/>
  <c r="BG77" i="6"/>
  <c r="GI77" i="6"/>
  <c r="G77" i="6"/>
  <c r="GL76" i="6"/>
  <c r="GI76" i="6"/>
  <c r="GG76" i="6"/>
  <c r="GH76" i="6" s="1"/>
  <c r="FI76" i="6"/>
  <c r="CR76" i="6"/>
  <c r="BG76" i="6"/>
  <c r="G76" i="6"/>
  <c r="GL75" i="6"/>
  <c r="GI75" i="6"/>
  <c r="GG75" i="6"/>
  <c r="GH75" i="6" s="1"/>
  <c r="FI75" i="6"/>
  <c r="CR75" i="6"/>
  <c r="BG75" i="6"/>
  <c r="G75" i="6"/>
  <c r="GL74" i="6"/>
  <c r="FI74" i="6"/>
  <c r="BG74" i="6"/>
  <c r="GI74" i="6"/>
  <c r="G74" i="6"/>
  <c r="GL72" i="6"/>
  <c r="GI72" i="6"/>
  <c r="FI72" i="6"/>
  <c r="CR72" i="6"/>
  <c r="G72" i="6"/>
  <c r="GL71" i="6"/>
  <c r="GI71" i="6"/>
  <c r="GG71" i="6"/>
  <c r="GH71" i="6" s="1"/>
  <c r="FI71" i="6"/>
  <c r="CR71" i="6"/>
  <c r="GL70" i="6"/>
  <c r="GI70" i="6"/>
  <c r="GG70" i="6"/>
  <c r="GH70" i="6" s="1"/>
  <c r="FI70" i="6"/>
  <c r="CR70" i="6"/>
  <c r="BG70" i="6"/>
  <c r="GL69" i="6"/>
  <c r="GI69" i="6"/>
  <c r="GG69" i="6"/>
  <c r="GH69" i="6" s="1"/>
  <c r="FI69" i="6"/>
  <c r="CR69" i="6"/>
  <c r="GL68" i="6"/>
  <c r="GI68" i="6"/>
  <c r="GG68" i="6"/>
  <c r="GH68" i="6" s="1"/>
  <c r="FI68" i="6"/>
  <c r="CR68" i="6"/>
  <c r="BG68" i="6"/>
  <c r="G68" i="6"/>
  <c r="GL67" i="6"/>
  <c r="GI67" i="6"/>
  <c r="GG67" i="6"/>
  <c r="GH67" i="6" s="1"/>
  <c r="FI67" i="6"/>
  <c r="CR67" i="6"/>
  <c r="BG67" i="6"/>
  <c r="G67" i="6"/>
  <c r="GL66" i="6"/>
  <c r="GI66" i="6"/>
  <c r="FI66" i="6"/>
  <c r="CR66" i="6"/>
  <c r="G66" i="6"/>
  <c r="GL65" i="6"/>
  <c r="FI65" i="6"/>
  <c r="CR65" i="6"/>
  <c r="BG65" i="6"/>
  <c r="GI65" i="6"/>
  <c r="GL64" i="6"/>
  <c r="GI64" i="6"/>
  <c r="GG64" i="6"/>
  <c r="GH64" i="6" s="1"/>
  <c r="BG64" i="6"/>
  <c r="GL62" i="6"/>
  <c r="CR62" i="6"/>
  <c r="BG62" i="6"/>
  <c r="GI62" i="6"/>
  <c r="G62" i="6"/>
  <c r="GL61" i="6"/>
  <c r="GI61" i="6"/>
  <c r="GG61" i="6"/>
  <c r="GH61" i="6" s="1"/>
  <c r="FI61" i="6"/>
  <c r="CR61" i="6"/>
  <c r="BG61" i="6"/>
  <c r="G61" i="6"/>
  <c r="GL60" i="6"/>
  <c r="FI60" i="6"/>
  <c r="CR60" i="6"/>
  <c r="BG60" i="6"/>
  <c r="GI60" i="6"/>
  <c r="G60" i="6"/>
  <c r="GL59" i="6"/>
  <c r="GI59" i="6"/>
  <c r="GG59" i="6"/>
  <c r="GH59" i="6" s="1"/>
  <c r="FI59" i="6"/>
  <c r="CR59" i="6"/>
  <c r="BG59" i="6"/>
  <c r="G59" i="6"/>
  <c r="GL58" i="6"/>
  <c r="GI58" i="6"/>
  <c r="GG58" i="6"/>
  <c r="GH58" i="6" s="1"/>
  <c r="FI58" i="6"/>
  <c r="CR58" i="6"/>
  <c r="G58" i="6"/>
  <c r="GL57" i="6"/>
  <c r="FI57" i="6"/>
  <c r="BG57" i="6"/>
  <c r="GI57" i="6"/>
  <c r="G57" i="6"/>
  <c r="GL56" i="6"/>
  <c r="GI56" i="6"/>
  <c r="GG56" i="6"/>
  <c r="GH56" i="6" s="1"/>
  <c r="FI56" i="6"/>
  <c r="CR56" i="6"/>
  <c r="BG56" i="6"/>
  <c r="G56" i="6"/>
  <c r="GL55" i="6"/>
  <c r="GI55" i="6"/>
  <c r="GG55" i="6"/>
  <c r="GH55" i="6" s="1"/>
  <c r="FI55" i="6"/>
  <c r="CR55" i="6"/>
  <c r="BG55" i="6"/>
  <c r="G55" i="6"/>
  <c r="GL54" i="6"/>
  <c r="GI54" i="6"/>
  <c r="GG54" i="6"/>
  <c r="GH54" i="6" s="1"/>
  <c r="FI54" i="6"/>
  <c r="CR54" i="6"/>
  <c r="BG54" i="6"/>
  <c r="GL53" i="6"/>
  <c r="GI53" i="6"/>
  <c r="GG53" i="6"/>
  <c r="GH53" i="6" s="1"/>
  <c r="FI53" i="6"/>
  <c r="CR53" i="6"/>
  <c r="BG53" i="6"/>
  <c r="G53" i="6"/>
  <c r="GL52" i="6"/>
  <c r="GI52" i="6"/>
  <c r="GG52" i="6"/>
  <c r="GH52" i="6" s="1"/>
  <c r="FI52" i="6"/>
  <c r="CR52" i="6"/>
  <c r="BG52" i="6"/>
  <c r="G52" i="6"/>
  <c r="GL51" i="6"/>
  <c r="FI51" i="6"/>
  <c r="BG51" i="6"/>
  <c r="GI51" i="6"/>
  <c r="GL50" i="6"/>
  <c r="GI50" i="6"/>
  <c r="FI50" i="6"/>
  <c r="CR50" i="6"/>
  <c r="BG50" i="6"/>
  <c r="G50" i="6"/>
  <c r="GL49" i="6"/>
  <c r="GI49" i="6"/>
  <c r="CR49" i="6"/>
  <c r="BG49" i="6"/>
  <c r="GL48" i="6"/>
  <c r="GI48" i="6"/>
  <c r="GG48" i="6"/>
  <c r="FI48" i="6"/>
  <c r="CR48" i="6"/>
  <c r="BG48" i="6"/>
  <c r="G48" i="6"/>
  <c r="GL47" i="6"/>
  <c r="GI47" i="6"/>
  <c r="GG47" i="6"/>
  <c r="GH47" i="6" s="1"/>
  <c r="FI47" i="6"/>
  <c r="CR47" i="6"/>
  <c r="BG47" i="6"/>
  <c r="G47" i="6"/>
  <c r="GL46" i="6"/>
  <c r="GI46" i="6"/>
  <c r="GG46" i="6"/>
  <c r="GH46" i="6" s="1"/>
  <c r="FI46" i="6"/>
  <c r="CR46" i="6"/>
  <c r="BG46" i="6"/>
  <c r="G46" i="6"/>
  <c r="GL45" i="6"/>
  <c r="FI45" i="6"/>
  <c r="CR45" i="6"/>
  <c r="BG45" i="6"/>
  <c r="GI45" i="6"/>
  <c r="G45" i="6"/>
  <c r="GL43" i="6"/>
  <c r="GI43" i="6"/>
  <c r="GG43" i="6"/>
  <c r="FI43" i="6"/>
  <c r="CR43" i="6"/>
  <c r="BG43" i="6"/>
  <c r="G43" i="6"/>
  <c r="GL42" i="6"/>
  <c r="GI42" i="6"/>
  <c r="CR42" i="6"/>
  <c r="BG42" i="6"/>
  <c r="G42" i="6"/>
  <c r="GL41" i="6"/>
  <c r="GI41" i="6"/>
  <c r="CR41" i="6"/>
  <c r="BG41" i="6"/>
  <c r="G41" i="6"/>
  <c r="GL40" i="6"/>
  <c r="GI40" i="6"/>
  <c r="GG40" i="6"/>
  <c r="GH40" i="6" s="1"/>
  <c r="FI40" i="6"/>
  <c r="CR40" i="6"/>
  <c r="BG40" i="6"/>
  <c r="G40" i="6"/>
  <c r="GL39" i="6"/>
  <c r="GI39" i="6"/>
  <c r="GG39" i="6"/>
  <c r="GH39" i="6" s="1"/>
  <c r="FI39" i="6"/>
  <c r="CR39" i="6"/>
  <c r="BG39" i="6"/>
  <c r="G39" i="6"/>
  <c r="GL38" i="6"/>
  <c r="GI38" i="6"/>
  <c r="FI38" i="6"/>
  <c r="CR38" i="6"/>
  <c r="BG38" i="6"/>
  <c r="G38" i="6"/>
  <c r="GL37" i="6"/>
  <c r="GI37" i="6"/>
  <c r="GG37" i="6"/>
  <c r="GH37" i="6" s="1"/>
  <c r="FI37" i="6"/>
  <c r="GL36" i="6"/>
  <c r="FI36" i="6"/>
  <c r="CR36" i="6"/>
  <c r="BG36" i="6"/>
  <c r="G36" i="6"/>
  <c r="GL35" i="6"/>
  <c r="GI35" i="6"/>
  <c r="FI35" i="6"/>
  <c r="CR35" i="6"/>
  <c r="G35" i="6"/>
  <c r="GL34" i="6"/>
  <c r="GI34" i="6"/>
  <c r="FI34" i="6"/>
  <c r="BG34" i="6"/>
  <c r="G34" i="6"/>
  <c r="GL33" i="6"/>
  <c r="GI33" i="6"/>
  <c r="FI33" i="6"/>
  <c r="CR33" i="6"/>
  <c r="BG33" i="6"/>
  <c r="G33" i="6"/>
  <c r="GL32" i="6"/>
  <c r="GI32" i="6"/>
  <c r="GG32" i="6"/>
  <c r="GH32" i="6" s="1"/>
  <c r="FI32" i="6"/>
  <c r="CR32" i="6"/>
  <c r="BG32" i="6"/>
  <c r="G32" i="6"/>
  <c r="GL31" i="6"/>
  <c r="GI31" i="6"/>
  <c r="BG31" i="6"/>
  <c r="G31" i="6"/>
  <c r="GL30" i="6"/>
  <c r="CR30" i="6"/>
  <c r="BG30" i="6"/>
  <c r="GI30" i="6"/>
  <c r="G30" i="6"/>
  <c r="GL29" i="6"/>
  <c r="GI29" i="6"/>
  <c r="GG29" i="6"/>
  <c r="GH29" i="6" s="1"/>
  <c r="CR29" i="6"/>
  <c r="G29" i="6"/>
  <c r="GL28" i="6"/>
  <c r="GI28" i="6"/>
  <c r="GG28" i="6"/>
  <c r="GH28" i="6" s="1"/>
  <c r="CR28" i="6"/>
  <c r="BG28" i="6"/>
  <c r="G28" i="6"/>
  <c r="GL27" i="6"/>
  <c r="GI27" i="6"/>
  <c r="FI27" i="6"/>
  <c r="GL26" i="6"/>
  <c r="GI26" i="6"/>
  <c r="GG26" i="6"/>
  <c r="GH26" i="6" s="1"/>
  <c r="FI26" i="6"/>
  <c r="CR26" i="6"/>
  <c r="BG26" i="6"/>
  <c r="G26" i="6"/>
  <c r="GL25" i="6"/>
  <c r="GG25" i="6"/>
  <c r="GH25" i="6" s="1"/>
  <c r="FI25" i="6"/>
  <c r="CR25" i="6"/>
  <c r="BG25" i="6"/>
  <c r="GI25" i="6"/>
  <c r="G25" i="6"/>
  <c r="GL24" i="6"/>
  <c r="FI24" i="6"/>
  <c r="CR24" i="6"/>
  <c r="BG24" i="6"/>
  <c r="GI24" i="6"/>
  <c r="G24" i="6"/>
  <c r="GL22" i="6"/>
  <c r="GI22" i="6"/>
  <c r="FI22" i="6"/>
  <c r="BG22" i="6"/>
  <c r="G22" i="6"/>
  <c r="GL21" i="6"/>
  <c r="GI21" i="6"/>
  <c r="GG21" i="6"/>
  <c r="GH21" i="6" s="1"/>
  <c r="FI21" i="6"/>
  <c r="CR21" i="6"/>
  <c r="BG21" i="6"/>
  <c r="G21" i="6"/>
  <c r="GL20" i="6"/>
  <c r="GI20" i="6"/>
  <c r="GG20" i="6"/>
  <c r="GH20" i="6" s="1"/>
  <c r="FI20" i="6"/>
  <c r="CR20" i="6"/>
  <c r="BG20" i="6"/>
  <c r="G20" i="6"/>
  <c r="GL19" i="6"/>
  <c r="GI19" i="6"/>
  <c r="GG19" i="6"/>
  <c r="GH19" i="6" s="1"/>
  <c r="FI19" i="6"/>
  <c r="CR19" i="6"/>
  <c r="BG19" i="6"/>
  <c r="G19" i="6"/>
  <c r="GL18" i="6"/>
  <c r="GI18" i="6"/>
  <c r="GG18" i="6"/>
  <c r="GH18" i="6" s="1"/>
  <c r="FI18" i="6"/>
  <c r="CR18" i="6"/>
  <c r="BG18" i="6"/>
  <c r="G18" i="6"/>
  <c r="GL17" i="6"/>
  <c r="GI17" i="6"/>
  <c r="GG17" i="6"/>
  <c r="GH17" i="6" s="1"/>
  <c r="FI17" i="6"/>
  <c r="CR17" i="6"/>
  <c r="BG17" i="6"/>
  <c r="G17" i="6"/>
  <c r="GL16" i="6"/>
  <c r="GI16" i="6"/>
  <c r="GG16" i="6"/>
  <c r="GH16" i="6" s="1"/>
  <c r="FI16" i="6"/>
  <c r="CR16" i="6"/>
  <c r="BG16" i="6"/>
  <c r="G16" i="6"/>
  <c r="GL15" i="6"/>
  <c r="GI15" i="6"/>
  <c r="GG15" i="6"/>
  <c r="GH15" i="6" s="1"/>
  <c r="FI15" i="6"/>
  <c r="CR15" i="6"/>
  <c r="BG15" i="6"/>
  <c r="G15" i="6"/>
  <c r="GL14" i="6"/>
  <c r="GI14" i="6"/>
  <c r="GG14" i="6"/>
  <c r="GH14" i="6" s="1"/>
  <c r="FI14" i="6"/>
  <c r="CR14" i="6"/>
  <c r="BG14" i="6"/>
  <c r="G14" i="6"/>
  <c r="GL13" i="6"/>
  <c r="GI13" i="6"/>
  <c r="FI13" i="6"/>
  <c r="CR13" i="6"/>
  <c r="BG13" i="6"/>
  <c r="E103" i="6"/>
  <c r="G13" i="6"/>
  <c r="GL12" i="6"/>
  <c r="GI12" i="6"/>
  <c r="CR12" i="6"/>
  <c r="BG12" i="6"/>
  <c r="G12" i="6"/>
  <c r="GL11" i="6"/>
  <c r="GI11" i="6"/>
  <c r="FI11" i="6"/>
  <c r="CR11" i="6"/>
  <c r="BG11" i="6"/>
  <c r="G11" i="6"/>
  <c r="A11" i="6"/>
  <c r="GL10" i="6"/>
  <c r="GI10" i="6"/>
  <c r="GG10" i="6"/>
  <c r="GH10" i="6" s="1"/>
  <c r="FI10" i="6"/>
  <c r="CR10" i="6"/>
  <c r="BG10" i="6"/>
  <c r="GL9" i="6"/>
  <c r="GI9" i="6"/>
  <c r="GG9" i="6"/>
  <c r="GH9" i="6" s="1"/>
  <c r="FI9" i="6"/>
  <c r="CR9" i="6"/>
  <c r="BG9" i="6"/>
  <c r="GG8" i="6"/>
  <c r="D8" i="6"/>
  <c r="GI7" i="6"/>
  <c r="GO7" i="6" s="1"/>
  <c r="CS5" i="6"/>
  <c r="FI7" i="6" s="1"/>
  <c r="BH5" i="6"/>
  <c r="CR7" i="6" s="1"/>
  <c r="J5" i="6"/>
  <c r="BG7" i="6" s="1"/>
  <c r="FF100" i="5"/>
  <c r="FE100" i="5"/>
  <c r="FD100" i="5"/>
  <c r="FC100" i="5"/>
  <c r="FD86" i="5"/>
  <c r="FD84" i="5"/>
  <c r="FD81" i="5"/>
  <c r="FF79" i="5"/>
  <c r="FE79" i="5"/>
  <c r="FD79" i="5"/>
  <c r="FC79" i="5"/>
  <c r="FD71" i="5"/>
  <c r="FF65" i="5"/>
  <c r="FC65" i="5"/>
  <c r="FF62" i="5"/>
  <c r="FE62" i="5"/>
  <c r="FD62" i="5"/>
  <c r="FC62" i="5"/>
  <c r="FD60" i="5"/>
  <c r="FF51" i="5"/>
  <c r="FE51" i="5"/>
  <c r="FD51" i="5"/>
  <c r="FC51" i="5"/>
  <c r="FF50" i="5"/>
  <c r="FE50" i="5"/>
  <c r="FD50" i="5"/>
  <c r="FC50" i="5"/>
  <c r="FF49" i="5"/>
  <c r="FE49" i="5"/>
  <c r="FD49" i="5"/>
  <c r="FC49" i="5"/>
  <c r="FD47" i="5"/>
  <c r="FE42" i="5"/>
  <c r="FD42" i="5"/>
  <c r="FF41" i="5"/>
  <c r="FE41" i="5"/>
  <c r="FD41" i="5"/>
  <c r="FC41" i="5"/>
  <c r="FF38" i="5"/>
  <c r="FE38" i="5"/>
  <c r="FC38" i="5"/>
  <c r="FD37" i="5"/>
  <c r="FF36" i="5"/>
  <c r="FE36" i="5"/>
  <c r="FD36" i="5"/>
  <c r="FC36" i="5"/>
  <c r="FF35" i="5"/>
  <c r="FC35" i="5"/>
  <c r="FF34" i="5"/>
  <c r="FE34" i="5"/>
  <c r="FD34" i="5"/>
  <c r="FC34" i="5"/>
  <c r="FF33" i="5"/>
  <c r="FE33" i="5"/>
  <c r="FD33" i="5"/>
  <c r="FC33" i="5"/>
  <c r="FF31" i="5"/>
  <c r="FC31" i="5"/>
  <c r="FF30" i="5"/>
  <c r="FC30" i="5"/>
  <c r="FF29" i="5"/>
  <c r="FC29" i="5"/>
  <c r="FF25" i="5"/>
  <c r="FE25" i="5"/>
  <c r="FD25" i="5"/>
  <c r="FC25" i="5"/>
  <c r="FF24" i="5"/>
  <c r="FE24" i="5"/>
  <c r="FD24" i="5"/>
  <c r="FC24" i="5"/>
  <c r="FD22" i="5"/>
  <c r="FF13" i="5"/>
  <c r="FE13" i="5"/>
  <c r="FD13" i="5"/>
  <c r="FC13" i="5"/>
  <c r="FF12" i="5"/>
  <c r="FE12" i="5"/>
  <c r="FD12" i="5"/>
  <c r="FC12" i="5"/>
  <c r="FF10" i="5"/>
  <c r="FE10" i="5"/>
  <c r="FD10" i="5"/>
  <c r="FC10" i="5"/>
  <c r="FF8" i="5"/>
  <c r="FF107" i="5" s="1"/>
  <c r="FE8" i="5"/>
  <c r="FD8" i="5"/>
  <c r="FD106" i="5" s="1"/>
  <c r="FC8" i="5"/>
  <c r="FC107" i="5" s="1"/>
  <c r="A13" i="6" l="1"/>
  <c r="GH48" i="6"/>
  <c r="GH43" i="6"/>
  <c r="GO42" i="6"/>
  <c r="GG24" i="6"/>
  <c r="GH24" i="6" s="1"/>
  <c r="GG60" i="6"/>
  <c r="GH60" i="6" s="1"/>
  <c r="GG62" i="6"/>
  <c r="GG11" i="6"/>
  <c r="GH11" i="6" s="1"/>
  <c r="GG13" i="6"/>
  <c r="GH13" i="6" s="1"/>
  <c r="GG12" i="6"/>
  <c r="GH12" i="6" s="1"/>
  <c r="GG35" i="6"/>
  <c r="GH35" i="6" s="1"/>
  <c r="GG51" i="6"/>
  <c r="GH51" i="6" s="1"/>
  <c r="GG41" i="6"/>
  <c r="GG49" i="6"/>
  <c r="GH49" i="6" s="1"/>
  <c r="GG85" i="6"/>
  <c r="GH85" i="6" s="1"/>
  <c r="GG72" i="6"/>
  <c r="GH72" i="6" s="1"/>
  <c r="H103" i="6"/>
  <c r="GG22" i="6"/>
  <c r="GG33" i="6"/>
  <c r="GH33" i="6" s="1"/>
  <c r="GG74" i="6"/>
  <c r="GH74" i="6" s="1"/>
  <c r="GG27" i="6"/>
  <c r="GH27" i="6" s="1"/>
  <c r="GG36" i="6"/>
  <c r="GH36" i="6" s="1"/>
  <c r="GG42" i="6"/>
  <c r="GH42" i="6" s="1"/>
  <c r="GG88" i="6"/>
  <c r="GH88" i="6" s="1"/>
  <c r="GI115" i="6"/>
  <c r="G49" i="6"/>
  <c r="FI12" i="6"/>
  <c r="G27" i="6"/>
  <c r="GG31" i="6"/>
  <c r="GH31" i="6" s="1"/>
  <c r="CR34" i="6"/>
  <c r="GG45" i="6"/>
  <c r="GH45" i="6" s="1"/>
  <c r="FI49" i="6"/>
  <c r="CR51" i="6"/>
  <c r="GK103" i="6"/>
  <c r="G54" i="6"/>
  <c r="FI62" i="6"/>
  <c r="G64" i="6"/>
  <c r="FI64" i="6"/>
  <c r="GG65" i="6"/>
  <c r="GG66" i="6"/>
  <c r="GH66" i="6" s="1"/>
  <c r="BG71" i="6"/>
  <c r="GG77" i="6"/>
  <c r="GH77" i="6" s="1"/>
  <c r="GG80" i="6"/>
  <c r="GH80" i="6" s="1"/>
  <c r="BG82" i="6"/>
  <c r="FI113" i="6"/>
  <c r="BG111" i="6"/>
  <c r="FI8" i="6"/>
  <c r="F8" i="6" s="1"/>
  <c r="D103" i="6"/>
  <c r="I103" i="6"/>
  <c r="CR27" i="6"/>
  <c r="FI28" i="6"/>
  <c r="FI30" i="6"/>
  <c r="GG30" i="6"/>
  <c r="GH30" i="6" s="1"/>
  <c r="CR31" i="6"/>
  <c r="GG34" i="6"/>
  <c r="GH34" i="6" s="1"/>
  <c r="GG50" i="6"/>
  <c r="GH50" i="6" s="1"/>
  <c r="BG58" i="6"/>
  <c r="CR74" i="6"/>
  <c r="CR8" i="6"/>
  <c r="E8" i="6" s="1"/>
  <c r="G10" i="6"/>
  <c r="CR22" i="6"/>
  <c r="BG27" i="6"/>
  <c r="BG29" i="6"/>
  <c r="FI29" i="6"/>
  <c r="FI31" i="6"/>
  <c r="GI36" i="6"/>
  <c r="GG38" i="6"/>
  <c r="GH38" i="6" s="1"/>
  <c r="FI41" i="6"/>
  <c r="FI42" i="6"/>
  <c r="G51" i="6"/>
  <c r="CR57" i="6"/>
  <c r="GG57" i="6"/>
  <c r="GH57" i="6" s="1"/>
  <c r="CR64" i="6"/>
  <c r="G65" i="6"/>
  <c r="BG66" i="6"/>
  <c r="BG72" i="6"/>
  <c r="CR77" i="6"/>
  <c r="BG35" i="6"/>
  <c r="FI82" i="6"/>
  <c r="GG82" i="6"/>
  <c r="GH82" i="6" s="1"/>
  <c r="BG83" i="6"/>
  <c r="GI85" i="6"/>
  <c r="FI85" i="6"/>
  <c r="CR88" i="6"/>
  <c r="BG95" i="6"/>
  <c r="FC101" i="5"/>
  <c r="FE101" i="5"/>
  <c r="FD101" i="5"/>
  <c r="FE105" i="5"/>
  <c r="FF101" i="5"/>
  <c r="FB108" i="5"/>
  <c r="EZ107" i="5"/>
  <c r="FB101" i="5"/>
  <c r="EZ101" i="5"/>
  <c r="FA100" i="5"/>
  <c r="FA86" i="5"/>
  <c r="FA84" i="5"/>
  <c r="FA81" i="5"/>
  <c r="FA79" i="5"/>
  <c r="FA64" i="5"/>
  <c r="FA63" i="5"/>
  <c r="FA62" i="5"/>
  <c r="FA60" i="5"/>
  <c r="FA57" i="5"/>
  <c r="FA51" i="5"/>
  <c r="FA50" i="5"/>
  <c r="FA49" i="5"/>
  <c r="FA47" i="5"/>
  <c r="FA45" i="5"/>
  <c r="FA43" i="5"/>
  <c r="FA42" i="5"/>
  <c r="FA34" i="5"/>
  <c r="FA33" i="5"/>
  <c r="FA25" i="5"/>
  <c r="FA24" i="5"/>
  <c r="FA22" i="5"/>
  <c r="FA13" i="5"/>
  <c r="FA12" i="5"/>
  <c r="FA10" i="5"/>
  <c r="FA8" i="5"/>
  <c r="EY100" i="5"/>
  <c r="EX100" i="5"/>
  <c r="EY86" i="5"/>
  <c r="EY79" i="5"/>
  <c r="EX79" i="5"/>
  <c r="EY65" i="5"/>
  <c r="EX65" i="5"/>
  <c r="EY62" i="5"/>
  <c r="EX62" i="5"/>
  <c r="EY60" i="5"/>
  <c r="EX60" i="5"/>
  <c r="EY51" i="5"/>
  <c r="EX51" i="5"/>
  <c r="EY50" i="5"/>
  <c r="EX50" i="5"/>
  <c r="EY49" i="5"/>
  <c r="EX49" i="5"/>
  <c r="EY41" i="5"/>
  <c r="EX41" i="5"/>
  <c r="EY38" i="5"/>
  <c r="EX38" i="5"/>
  <c r="EY36" i="5"/>
  <c r="EX36" i="5"/>
  <c r="EY35" i="5"/>
  <c r="EY34" i="5"/>
  <c r="EX34" i="5"/>
  <c r="EY33" i="5"/>
  <c r="EX33" i="5"/>
  <c r="EY31" i="5"/>
  <c r="EY30" i="5"/>
  <c r="EY29" i="5"/>
  <c r="EY25" i="5"/>
  <c r="EX25" i="5"/>
  <c r="EY24" i="5"/>
  <c r="EX24" i="5"/>
  <c r="EY13" i="5"/>
  <c r="EX13" i="5"/>
  <c r="EX12" i="5"/>
  <c r="EY11" i="5"/>
  <c r="EY10" i="5"/>
  <c r="EX10" i="5"/>
  <c r="EY8" i="5"/>
  <c r="EX8" i="5"/>
  <c r="EX107" i="5" s="1"/>
  <c r="HB37" i="5"/>
  <c r="GA83" i="5"/>
  <c r="HA37" i="5"/>
  <c r="GY37" i="5"/>
  <c r="GA37" i="5"/>
  <c r="EW108" i="5"/>
  <c r="EV107" i="5"/>
  <c r="EV101" i="5"/>
  <c r="EW100" i="5"/>
  <c r="EW101" i="5" s="1"/>
  <c r="GH113" i="6" l="1"/>
  <c r="GH22" i="6"/>
  <c r="GH65" i="6"/>
  <c r="GH62" i="6"/>
  <c r="A14" i="6"/>
  <c r="G103" i="6"/>
  <c r="GH41" i="6"/>
  <c r="F78" i="2"/>
  <c r="GI103" i="6"/>
  <c r="FI114" i="6"/>
  <c r="FI110" i="6"/>
  <c r="BG114" i="6"/>
  <c r="BG110" i="6"/>
  <c r="FI112" i="6"/>
  <c r="BG112" i="6"/>
  <c r="CR110" i="6"/>
  <c r="GG103" i="6"/>
  <c r="CR114" i="6"/>
  <c r="FI111" i="6"/>
  <c r="BG113" i="6"/>
  <c r="CR111" i="6"/>
  <c r="CR113" i="6"/>
  <c r="CR112" i="6"/>
  <c r="FA101" i="5"/>
  <c r="FA106" i="5"/>
  <c r="GW37" i="5"/>
  <c r="GX37" i="5" s="1"/>
  <c r="EY101" i="5"/>
  <c r="EX101" i="5"/>
  <c r="EY107" i="5"/>
  <c r="ET109" i="5"/>
  <c r="ET101" i="5"/>
  <c r="EU100" i="5"/>
  <c r="EU79" i="5"/>
  <c r="EU65" i="5"/>
  <c r="EU62" i="5"/>
  <c r="EU51" i="5"/>
  <c r="EU50" i="5"/>
  <c r="EU49" i="5"/>
  <c r="EU41" i="5"/>
  <c r="EU38" i="5"/>
  <c r="EU36" i="5"/>
  <c r="EU35" i="5"/>
  <c r="EU34" i="5"/>
  <c r="EU33" i="5"/>
  <c r="EU31" i="5"/>
  <c r="EU30" i="5"/>
  <c r="EU29" i="5"/>
  <c r="EU25" i="5"/>
  <c r="EU24" i="5"/>
  <c r="EU13" i="5"/>
  <c r="EU12" i="5"/>
  <c r="EU10" i="5"/>
  <c r="EU8" i="5"/>
  <c r="EU107" i="5" s="1"/>
  <c r="GH111" i="6" l="1"/>
  <c r="GH110" i="6"/>
  <c r="GH112" i="6"/>
  <c r="GH114" i="6"/>
  <c r="A15" i="6"/>
  <c r="GH103" i="6"/>
  <c r="EU101" i="5"/>
  <c r="EQ107" i="5"/>
  <c r="EQ101" i="5"/>
  <c r="ES100" i="5"/>
  <c r="ER100" i="5"/>
  <c r="ES86" i="5"/>
  <c r="ER86" i="5"/>
  <c r="ES84" i="5"/>
  <c r="ER84" i="5"/>
  <c r="ES81" i="5"/>
  <c r="ER81" i="5"/>
  <c r="ES79" i="5"/>
  <c r="ER79" i="5"/>
  <c r="ES76" i="5"/>
  <c r="ES71" i="5"/>
  <c r="ER71" i="5"/>
  <c r="ES63" i="5"/>
  <c r="ES62" i="5"/>
  <c r="ER62" i="5"/>
  <c r="ER60" i="5"/>
  <c r="ES57" i="5"/>
  <c r="ES51" i="5"/>
  <c r="ER51" i="5"/>
  <c r="ES50" i="5"/>
  <c r="ER50" i="5"/>
  <c r="ES49" i="5"/>
  <c r="ER49" i="5"/>
  <c r="ES47" i="5"/>
  <c r="ES45" i="5"/>
  <c r="ES43" i="5"/>
  <c r="ES42" i="5"/>
  <c r="ER42" i="5"/>
  <c r="ES41" i="5"/>
  <c r="ER41" i="5"/>
  <c r="ES36" i="5"/>
  <c r="ER36" i="5"/>
  <c r="ES34" i="5"/>
  <c r="ER34" i="5"/>
  <c r="ES33" i="5"/>
  <c r="ER33" i="5"/>
  <c r="ER31" i="5"/>
  <c r="ER30" i="5"/>
  <c r="ER29" i="5"/>
  <c r="ES25" i="5"/>
  <c r="ER25" i="5"/>
  <c r="ES24" i="5"/>
  <c r="ER24" i="5"/>
  <c r="ES22" i="5"/>
  <c r="ER22" i="5"/>
  <c r="ES13" i="5"/>
  <c r="ER13" i="5"/>
  <c r="ES12" i="5"/>
  <c r="ER12" i="5"/>
  <c r="ES10" i="5"/>
  <c r="ER10" i="5"/>
  <c r="ES8" i="5"/>
  <c r="ES106" i="5" s="1"/>
  <c r="ER8" i="5"/>
  <c r="ER106" i="5" s="1"/>
  <c r="EP100" i="5"/>
  <c r="EP84" i="5"/>
  <c r="EP71" i="5"/>
  <c r="EP62" i="5"/>
  <c r="EP45" i="5"/>
  <c r="EP41" i="5"/>
  <c r="EP36" i="5"/>
  <c r="EP25" i="5"/>
  <c r="EP13" i="5"/>
  <c r="EP8" i="5"/>
  <c r="EP108" i="5" s="1"/>
  <c r="A16" i="6" l="1"/>
  <c r="GH115" i="6"/>
  <c r="ER101" i="5"/>
  <c r="ES101" i="5"/>
  <c r="EP101" i="5"/>
  <c r="A17" i="6" l="1"/>
  <c r="EM107" i="5"/>
  <c r="EN100" i="5"/>
  <c r="EM100" i="5"/>
  <c r="EO86" i="5"/>
  <c r="EN86" i="5"/>
  <c r="EO84" i="5"/>
  <c r="EN84" i="5"/>
  <c r="EO81" i="5"/>
  <c r="EN81" i="5"/>
  <c r="EO79" i="5"/>
  <c r="EN79" i="5"/>
  <c r="EM79" i="5"/>
  <c r="EO73" i="5"/>
  <c r="EO71" i="5"/>
  <c r="EN71" i="5"/>
  <c r="EO69" i="5"/>
  <c r="EO65" i="5"/>
  <c r="EM65" i="5"/>
  <c r="EO62" i="5"/>
  <c r="EN62" i="5"/>
  <c r="EM62" i="5"/>
  <c r="EO60" i="5"/>
  <c r="EN60" i="5"/>
  <c r="EO57" i="5"/>
  <c r="EO51" i="5"/>
  <c r="EN51" i="5"/>
  <c r="EM51" i="5"/>
  <c r="EO50" i="5"/>
  <c r="EN50" i="5"/>
  <c r="EM50" i="5"/>
  <c r="EO49" i="5"/>
  <c r="EN49" i="5"/>
  <c r="EM49" i="5"/>
  <c r="EN42" i="5"/>
  <c r="EO41" i="5"/>
  <c r="EN41" i="5"/>
  <c r="EM41" i="5"/>
  <c r="EM38" i="5"/>
  <c r="EN36" i="5"/>
  <c r="EM36" i="5"/>
  <c r="EM35" i="5"/>
  <c r="EO34" i="5"/>
  <c r="EN34" i="5"/>
  <c r="EM34" i="5"/>
  <c r="EO33" i="5"/>
  <c r="EN33" i="5"/>
  <c r="EM33" i="5"/>
  <c r="EO31" i="5"/>
  <c r="EN31" i="5"/>
  <c r="EM31" i="5"/>
  <c r="EN30" i="5"/>
  <c r="EM30" i="5"/>
  <c r="EO29" i="5"/>
  <c r="EN29" i="5"/>
  <c r="EM29" i="5"/>
  <c r="EO25" i="5"/>
  <c r="EN25" i="5"/>
  <c r="EM25" i="5"/>
  <c r="EO24" i="5"/>
  <c r="EN24" i="5"/>
  <c r="EM24" i="5"/>
  <c r="EO22" i="5"/>
  <c r="EN22" i="5"/>
  <c r="EO13" i="5"/>
  <c r="EN13" i="5"/>
  <c r="EM13" i="5"/>
  <c r="EO12" i="5"/>
  <c r="EN12" i="5"/>
  <c r="EM12" i="5"/>
  <c r="EO10" i="5"/>
  <c r="EN10" i="5"/>
  <c r="EM10" i="5"/>
  <c r="EO8" i="5"/>
  <c r="EO109" i="5" s="1"/>
  <c r="EN8" i="5"/>
  <c r="A18" i="6" l="1"/>
  <c r="EM101" i="5"/>
  <c r="EN101" i="5"/>
  <c r="EN106" i="5"/>
  <c r="EO101" i="5"/>
  <c r="EL100" i="5"/>
  <c r="EK100" i="5"/>
  <c r="EJ100" i="5"/>
  <c r="EL86" i="5"/>
  <c r="EL79" i="5"/>
  <c r="EK79" i="5"/>
  <c r="EJ79" i="5"/>
  <c r="EL76" i="5"/>
  <c r="EK76" i="5"/>
  <c r="EJ76" i="5"/>
  <c r="EL73" i="5"/>
  <c r="EK73" i="5"/>
  <c r="EK71" i="5"/>
  <c r="EL70" i="5"/>
  <c r="EL65" i="5"/>
  <c r="EL64" i="5"/>
  <c r="EK64" i="5"/>
  <c r="EJ64" i="5"/>
  <c r="EL63" i="5"/>
  <c r="EK63" i="5"/>
  <c r="EL62" i="5"/>
  <c r="EK62" i="5"/>
  <c r="EJ62" i="5"/>
  <c r="EK57" i="5"/>
  <c r="EL51" i="5"/>
  <c r="EK51" i="5"/>
  <c r="EJ51" i="5"/>
  <c r="EL50" i="5"/>
  <c r="EK50" i="5"/>
  <c r="EJ50" i="5"/>
  <c r="EL49" i="5"/>
  <c r="EK49" i="5"/>
  <c r="EJ49" i="5"/>
  <c r="EL47" i="5"/>
  <c r="EK47" i="5"/>
  <c r="EL45" i="5"/>
  <c r="EK45" i="5"/>
  <c r="EL42" i="5"/>
  <c r="EJ42" i="5"/>
  <c r="EL41" i="5"/>
  <c r="EJ41" i="5"/>
  <c r="EJ38" i="5"/>
  <c r="EL36" i="5"/>
  <c r="EK36" i="5"/>
  <c r="EJ36" i="5"/>
  <c r="EJ35" i="5"/>
  <c r="EL34" i="5"/>
  <c r="EK34" i="5"/>
  <c r="EJ34" i="5"/>
  <c r="EL33" i="5"/>
  <c r="EK33" i="5"/>
  <c r="EJ33" i="5"/>
  <c r="EJ31" i="5"/>
  <c r="EJ30" i="5"/>
  <c r="EJ29" i="5"/>
  <c r="EL27" i="5"/>
  <c r="EK27" i="5"/>
  <c r="EL25" i="5"/>
  <c r="EK25" i="5"/>
  <c r="EJ25" i="5"/>
  <c r="EL24" i="5"/>
  <c r="EK24" i="5"/>
  <c r="EJ24" i="5"/>
  <c r="EL22" i="5"/>
  <c r="EK22" i="5"/>
  <c r="EL13" i="5"/>
  <c r="EK13" i="5"/>
  <c r="EJ13" i="5"/>
  <c r="EL12" i="5"/>
  <c r="EK12" i="5"/>
  <c r="EJ12" i="5"/>
  <c r="EJ10" i="5"/>
  <c r="EL8" i="5"/>
  <c r="EL109" i="5" s="1"/>
  <c r="EK8" i="5"/>
  <c r="EJ8" i="5"/>
  <c r="EI100" i="5"/>
  <c r="EI90" i="5"/>
  <c r="EI86" i="5"/>
  <c r="EI82" i="5"/>
  <c r="EI78" i="5"/>
  <c r="EI76" i="5"/>
  <c r="EI64" i="5"/>
  <c r="EI57" i="5"/>
  <c r="EI51" i="5"/>
  <c r="EI50" i="5"/>
  <c r="EI49" i="5"/>
  <c r="EI41" i="5"/>
  <c r="EI36" i="5"/>
  <c r="EI35" i="5"/>
  <c r="EI34" i="5"/>
  <c r="EI33" i="5"/>
  <c r="EI28" i="5"/>
  <c r="EI24" i="5"/>
  <c r="EI22" i="5"/>
  <c r="EI13" i="5"/>
  <c r="EI12" i="5"/>
  <c r="EI10" i="5"/>
  <c r="EI8" i="5"/>
  <c r="EI107" i="5" s="1"/>
  <c r="A19" i="6" l="1"/>
  <c r="GA63" i="5"/>
  <c r="EJ101" i="5"/>
  <c r="EK101" i="5"/>
  <c r="EL101" i="5"/>
  <c r="EJ105" i="5"/>
  <c r="EK106" i="5"/>
  <c r="EI101" i="5"/>
  <c r="EH100" i="5"/>
  <c r="EH90" i="5"/>
  <c r="EH86" i="5"/>
  <c r="EH82" i="5"/>
  <c r="EH78" i="5"/>
  <c r="EH76" i="5"/>
  <c r="EH64" i="5"/>
  <c r="EH57" i="5"/>
  <c r="EH51" i="5"/>
  <c r="EH50" i="5"/>
  <c r="EH49" i="5"/>
  <c r="EH41" i="5"/>
  <c r="EH36" i="5"/>
  <c r="EH35" i="5"/>
  <c r="EH34" i="5"/>
  <c r="EH33" i="5"/>
  <c r="EH28" i="5"/>
  <c r="EH24" i="5"/>
  <c r="EH22" i="5"/>
  <c r="EH13" i="5"/>
  <c r="EH12" i="5"/>
  <c r="EH10" i="5"/>
  <c r="EH8" i="5"/>
  <c r="EH107" i="5" s="1"/>
  <c r="EG109" i="5"/>
  <c r="EE106" i="5"/>
  <c r="EG101" i="5"/>
  <c r="EE101" i="5"/>
  <c r="EF100" i="5"/>
  <c r="EF86" i="5"/>
  <c r="EF84" i="5"/>
  <c r="EF81" i="5"/>
  <c r="EF79" i="5"/>
  <c r="EF73" i="5"/>
  <c r="EF71" i="5"/>
  <c r="EF69" i="5"/>
  <c r="EF65" i="5"/>
  <c r="EF64" i="5"/>
  <c r="EF62" i="5"/>
  <c r="EF60" i="5"/>
  <c r="EF57" i="5"/>
  <c r="EF51" i="5"/>
  <c r="EF50" i="5"/>
  <c r="EF49" i="5"/>
  <c r="EF41" i="5"/>
  <c r="EF36" i="5"/>
  <c r="EF34" i="5"/>
  <c r="EF33" i="5"/>
  <c r="EF31" i="5"/>
  <c r="EF30" i="5"/>
  <c r="EF29" i="5"/>
  <c r="EF25" i="5"/>
  <c r="EF24" i="5"/>
  <c r="EF22" i="5"/>
  <c r="EF15" i="5"/>
  <c r="EF13" i="5"/>
  <c r="EF12" i="5"/>
  <c r="EF10" i="5"/>
  <c r="EF8" i="5"/>
  <c r="ED106" i="5"/>
  <c r="ED101" i="5"/>
  <c r="A20" i="6" l="1"/>
  <c r="EH101" i="5"/>
  <c r="EF101" i="5"/>
  <c r="EF109" i="5"/>
  <c r="EC100" i="5"/>
  <c r="EC79" i="5"/>
  <c r="EC64" i="5"/>
  <c r="EC60" i="5"/>
  <c r="EC41" i="5"/>
  <c r="EC36" i="5"/>
  <c r="EC35" i="5"/>
  <c r="EC34" i="5"/>
  <c r="EC33" i="5"/>
  <c r="EC31" i="5"/>
  <c r="EC30" i="5"/>
  <c r="EC29" i="5"/>
  <c r="EC28" i="5"/>
  <c r="EC27" i="5"/>
  <c r="EC24" i="5"/>
  <c r="EC13" i="5"/>
  <c r="EC12" i="5"/>
  <c r="EC10" i="5"/>
  <c r="EC8" i="5"/>
  <c r="EC107" i="5" s="1"/>
  <c r="A21" i="6" l="1"/>
  <c r="EC101" i="5"/>
  <c r="A22" i="6" l="1"/>
  <c r="EB100" i="5"/>
  <c r="EB79" i="5"/>
  <c r="EB64" i="5"/>
  <c r="EB60" i="5"/>
  <c r="EB41" i="5"/>
  <c r="EB36" i="5"/>
  <c r="EB35" i="5"/>
  <c r="EB34" i="5"/>
  <c r="EB33" i="5"/>
  <c r="EB31" i="5"/>
  <c r="EB30" i="5"/>
  <c r="EB29" i="5"/>
  <c r="EB28" i="5"/>
  <c r="EB27" i="5"/>
  <c r="EB24" i="5"/>
  <c r="EB13" i="5"/>
  <c r="EB12" i="5"/>
  <c r="EB10" i="5"/>
  <c r="EB8" i="5"/>
  <c r="A24" i="6" l="1"/>
  <c r="EB101" i="5"/>
  <c r="EB107" i="5"/>
  <c r="EA100" i="5"/>
  <c r="DZ100" i="5"/>
  <c r="DY100" i="5"/>
  <c r="EA86" i="5"/>
  <c r="DY86" i="5"/>
  <c r="EA84" i="5"/>
  <c r="DY84" i="5"/>
  <c r="DY81" i="5"/>
  <c r="DZ79" i="5"/>
  <c r="DY79" i="5"/>
  <c r="DY71" i="5"/>
  <c r="EA70" i="5"/>
  <c r="DZ64" i="5"/>
  <c r="DY62" i="5"/>
  <c r="EA60" i="5"/>
  <c r="DY60" i="5"/>
  <c r="EA58" i="5"/>
  <c r="DZ51" i="5"/>
  <c r="DY51" i="5"/>
  <c r="DY50" i="5"/>
  <c r="DZ49" i="5"/>
  <c r="DY49" i="5"/>
  <c r="DY42" i="5"/>
  <c r="EA41" i="5"/>
  <c r="DZ41" i="5"/>
  <c r="DY41" i="5"/>
  <c r="DZ36" i="5"/>
  <c r="DY36" i="5"/>
  <c r="DZ35" i="5"/>
  <c r="DY34" i="5"/>
  <c r="DY33" i="5"/>
  <c r="DZ31" i="5"/>
  <c r="DY31" i="5"/>
  <c r="DZ30" i="5"/>
  <c r="DY30" i="5"/>
  <c r="DY29" i="5"/>
  <c r="DY25" i="5"/>
  <c r="EA24" i="5"/>
  <c r="DY24" i="5"/>
  <c r="DY22" i="5"/>
  <c r="DZ13" i="5"/>
  <c r="DY13" i="5"/>
  <c r="DZ12" i="5"/>
  <c r="DY12" i="5"/>
  <c r="DZ10" i="5"/>
  <c r="DY10" i="5"/>
  <c r="EA8" i="5"/>
  <c r="DZ8" i="5"/>
  <c r="DZ107" i="5" s="1"/>
  <c r="DY8" i="5"/>
  <c r="GA92" i="5"/>
  <c r="GA88" i="5"/>
  <c r="GA68" i="5"/>
  <c r="A25" i="6" l="1"/>
  <c r="EA101" i="5"/>
  <c r="DY101" i="5"/>
  <c r="DZ101" i="5"/>
  <c r="EA108" i="5"/>
  <c r="DY106" i="5"/>
  <c r="DX108" i="5"/>
  <c r="DV106" i="5"/>
  <c r="DX101" i="5"/>
  <c r="DW100" i="5"/>
  <c r="DW79" i="5"/>
  <c r="DW62" i="5"/>
  <c r="DW51" i="5"/>
  <c r="DW50" i="5"/>
  <c r="DW49" i="5"/>
  <c r="DW42" i="5"/>
  <c r="DW41" i="5"/>
  <c r="DW38" i="5"/>
  <c r="DW36" i="5"/>
  <c r="DW34" i="5"/>
  <c r="DW33" i="5"/>
  <c r="DW25" i="5"/>
  <c r="DW24" i="5"/>
  <c r="DW13" i="5"/>
  <c r="DW12" i="5"/>
  <c r="DV12" i="5"/>
  <c r="DV101" i="5" s="1"/>
  <c r="DW10" i="5"/>
  <c r="GA10" i="5" s="1"/>
  <c r="DW8" i="5"/>
  <c r="HA11" i="5"/>
  <c r="HA12" i="5"/>
  <c r="HA14" i="5"/>
  <c r="HA15" i="5"/>
  <c r="HA16" i="5"/>
  <c r="HA17" i="5"/>
  <c r="HA19" i="5"/>
  <c r="HA20" i="5"/>
  <c r="HA21" i="5"/>
  <c r="HA24" i="5"/>
  <c r="HA25" i="5"/>
  <c r="HA26" i="5"/>
  <c r="HA28" i="5"/>
  <c r="HA29" i="5"/>
  <c r="HA30" i="5"/>
  <c r="HA31" i="5"/>
  <c r="HA32" i="5"/>
  <c r="HA33" i="5"/>
  <c r="HA35" i="5"/>
  <c r="HA36" i="5"/>
  <c r="HA38" i="5"/>
  <c r="HA39" i="5"/>
  <c r="HA40" i="5"/>
  <c r="HA41" i="5"/>
  <c r="HA43" i="5"/>
  <c r="HA45" i="5"/>
  <c r="HA46" i="5"/>
  <c r="HA47" i="5"/>
  <c r="HA48" i="5"/>
  <c r="HA52" i="5"/>
  <c r="HA53" i="5"/>
  <c r="HA55" i="5"/>
  <c r="HA56" i="5"/>
  <c r="HA58" i="5"/>
  <c r="HA59" i="5"/>
  <c r="HA60" i="5"/>
  <c r="HA61" i="5"/>
  <c r="HA62" i="5"/>
  <c r="HA65" i="5"/>
  <c r="HA66" i="5"/>
  <c r="HA67" i="5"/>
  <c r="HA68" i="5"/>
  <c r="HA69" i="5"/>
  <c r="HA70" i="5"/>
  <c r="HA74" i="5"/>
  <c r="HA75" i="5"/>
  <c r="HA77" i="5"/>
  <c r="HA78" i="5"/>
  <c r="HA79" i="5"/>
  <c r="HA80" i="5"/>
  <c r="HA82" i="5"/>
  <c r="HA83" i="5"/>
  <c r="HA85" i="5"/>
  <c r="HA86" i="5"/>
  <c r="HA87" i="5"/>
  <c r="HA88" i="5"/>
  <c r="HA89" i="5"/>
  <c r="HA90" i="5"/>
  <c r="HA91" i="5"/>
  <c r="HA92" i="5"/>
  <c r="HA93" i="5"/>
  <c r="HA94" i="5"/>
  <c r="HA95" i="5"/>
  <c r="HA97" i="5"/>
  <c r="HA10" i="5"/>
  <c r="HA9" i="5"/>
  <c r="E84" i="5"/>
  <c r="HA84" i="5" s="1"/>
  <c r="E81" i="5"/>
  <c r="HA81" i="5" s="1"/>
  <c r="E76" i="5"/>
  <c r="HA76" i="5" s="1"/>
  <c r="E73" i="5"/>
  <c r="HA73" i="5" s="1"/>
  <c r="E71" i="5"/>
  <c r="HA71" i="5" s="1"/>
  <c r="E64" i="5"/>
  <c r="HA64" i="5" s="1"/>
  <c r="E63" i="5"/>
  <c r="HA63" i="5" s="1"/>
  <c r="E57" i="5"/>
  <c r="HA57" i="5" s="1"/>
  <c r="E54" i="5"/>
  <c r="HA54" i="5" s="1"/>
  <c r="E51" i="5"/>
  <c r="HA51" i="5" s="1"/>
  <c r="E50" i="5"/>
  <c r="HA50" i="5" s="1"/>
  <c r="E49" i="5"/>
  <c r="HA49" i="5" s="1"/>
  <c r="E27" i="5"/>
  <c r="HA27" i="5" s="1"/>
  <c r="E42" i="5"/>
  <c r="HA42" i="5" s="1"/>
  <c r="E34" i="5"/>
  <c r="HA34" i="5" s="1"/>
  <c r="E22" i="5"/>
  <c r="HA22" i="5" s="1"/>
  <c r="E18" i="5"/>
  <c r="HA18" i="5" s="1"/>
  <c r="E13" i="5"/>
  <c r="HA13" i="5" s="1"/>
  <c r="GS101" i="5"/>
  <c r="H86" i="5"/>
  <c r="H84" i="5"/>
  <c r="H82" i="5"/>
  <c r="H79" i="5"/>
  <c r="H71" i="5"/>
  <c r="H64" i="5"/>
  <c r="H60" i="5"/>
  <c r="H57" i="5"/>
  <c r="H51" i="5"/>
  <c r="H50" i="5"/>
  <c r="H49" i="5"/>
  <c r="H47" i="5"/>
  <c r="H45" i="5"/>
  <c r="H41" i="5"/>
  <c r="H38" i="5"/>
  <c r="H36" i="5"/>
  <c r="H30" i="5"/>
  <c r="H25" i="5"/>
  <c r="H24" i="5"/>
  <c r="H22" i="5"/>
  <c r="H23" i="5" s="1"/>
  <c r="DS109" i="5"/>
  <c r="DS101" i="5"/>
  <c r="A26" i="6" l="1"/>
  <c r="GA12" i="5"/>
  <c r="DW101" i="5"/>
  <c r="DW105" i="5"/>
  <c r="H44" i="5"/>
  <c r="DR109" i="5"/>
  <c r="DR101" i="5"/>
  <c r="DQ100" i="5"/>
  <c r="DP100" i="5"/>
  <c r="DO100" i="5"/>
  <c r="DN100" i="5"/>
  <c r="DM100" i="5"/>
  <c r="DL100" i="5"/>
  <c r="DP86" i="5"/>
  <c r="DN86" i="5"/>
  <c r="DM86" i="5"/>
  <c r="DN84" i="5"/>
  <c r="DM84" i="5"/>
  <c r="DN81" i="5"/>
  <c r="DM81" i="5"/>
  <c r="DQ79" i="5"/>
  <c r="DP79" i="5"/>
  <c r="DO79" i="5"/>
  <c r="DN79" i="5"/>
  <c r="DM79" i="5"/>
  <c r="DL79" i="5"/>
  <c r="DQ76" i="5"/>
  <c r="DP76" i="5"/>
  <c r="DO76" i="5"/>
  <c r="DQ73" i="5"/>
  <c r="DP73" i="5"/>
  <c r="DN73" i="5"/>
  <c r="DQ71" i="5"/>
  <c r="DN71" i="5"/>
  <c r="DP70" i="5"/>
  <c r="DN70" i="5"/>
  <c r="DP65" i="5"/>
  <c r="DN65" i="5"/>
  <c r="DQ64" i="5"/>
  <c r="DP64" i="5"/>
  <c r="DO64" i="5"/>
  <c r="DN64" i="5"/>
  <c r="DM64" i="5"/>
  <c r="DQ63" i="5"/>
  <c r="DP63" i="5"/>
  <c r="DN63" i="5"/>
  <c r="DM63" i="5"/>
  <c r="DQ62" i="5"/>
  <c r="DP62" i="5"/>
  <c r="DO62" i="5"/>
  <c r="DN62" i="5"/>
  <c r="DM62" i="5"/>
  <c r="DL62" i="5"/>
  <c r="DN60" i="5"/>
  <c r="DM60" i="5"/>
  <c r="DQ57" i="5"/>
  <c r="DN57" i="5"/>
  <c r="DM57" i="5"/>
  <c r="DQ51" i="5"/>
  <c r="DP51" i="5"/>
  <c r="DO51" i="5"/>
  <c r="DN51" i="5"/>
  <c r="DM51" i="5"/>
  <c r="DL51" i="5"/>
  <c r="DQ50" i="5"/>
  <c r="DP50" i="5"/>
  <c r="DO50" i="5"/>
  <c r="DN50" i="5"/>
  <c r="DM50" i="5"/>
  <c r="DL50" i="5"/>
  <c r="DQ49" i="5"/>
  <c r="DP49" i="5"/>
  <c r="DO49" i="5"/>
  <c r="DN49" i="5"/>
  <c r="DM49" i="5"/>
  <c r="DL49" i="5"/>
  <c r="DQ47" i="5"/>
  <c r="DP47" i="5"/>
  <c r="DN47" i="5"/>
  <c r="DM47" i="5"/>
  <c r="DQ45" i="5"/>
  <c r="DP45" i="5"/>
  <c r="DN45" i="5"/>
  <c r="DM45" i="5"/>
  <c r="DM43" i="5"/>
  <c r="DL43" i="5"/>
  <c r="DP42" i="5"/>
  <c r="DO42" i="5"/>
  <c r="DM42" i="5"/>
  <c r="DL42" i="5"/>
  <c r="DP41" i="5"/>
  <c r="DO41" i="5"/>
  <c r="DL41" i="5"/>
  <c r="DO38" i="5"/>
  <c r="DN38" i="5"/>
  <c r="DL38" i="5"/>
  <c r="DQ36" i="5"/>
  <c r="DP36" i="5"/>
  <c r="DO36" i="5"/>
  <c r="DO35" i="5"/>
  <c r="DL35" i="5"/>
  <c r="DQ34" i="5"/>
  <c r="DP34" i="5"/>
  <c r="DO34" i="5"/>
  <c r="DN34" i="5"/>
  <c r="DM34" i="5"/>
  <c r="DL34" i="5"/>
  <c r="DQ33" i="5"/>
  <c r="DP33" i="5"/>
  <c r="DO33" i="5"/>
  <c r="DN33" i="5"/>
  <c r="DM33" i="5"/>
  <c r="DL33" i="5"/>
  <c r="DO31" i="5"/>
  <c r="DL31" i="5"/>
  <c r="DO30" i="5"/>
  <c r="DL30" i="5"/>
  <c r="DO29" i="5"/>
  <c r="DL29" i="5"/>
  <c r="DQ27" i="5"/>
  <c r="DP27" i="5"/>
  <c r="DQ25" i="5"/>
  <c r="DP25" i="5"/>
  <c r="DO25" i="5"/>
  <c r="DN25" i="5"/>
  <c r="DM25" i="5"/>
  <c r="DQ24" i="5"/>
  <c r="DP24" i="5"/>
  <c r="DO24" i="5"/>
  <c r="DN24" i="5"/>
  <c r="DM24" i="5"/>
  <c r="DL24" i="5"/>
  <c r="DQ22" i="5"/>
  <c r="DP22" i="5"/>
  <c r="DN22" i="5"/>
  <c r="DM22" i="5"/>
  <c r="DQ13" i="5"/>
  <c r="DP13" i="5"/>
  <c r="DO13" i="5"/>
  <c r="DN13" i="5"/>
  <c r="DM13" i="5"/>
  <c r="DL13" i="5"/>
  <c r="DQ12" i="5"/>
  <c r="DP12" i="5"/>
  <c r="DO12" i="5"/>
  <c r="DN12" i="5"/>
  <c r="DM12" i="5"/>
  <c r="DL12" i="5"/>
  <c r="DO10" i="5"/>
  <c r="DN10" i="5"/>
  <c r="DM10" i="5"/>
  <c r="DL10" i="5"/>
  <c r="DQ8" i="5"/>
  <c r="DQ106" i="5" s="1"/>
  <c r="DP8" i="5"/>
  <c r="DP109" i="5" s="1"/>
  <c r="DO8" i="5"/>
  <c r="DO105" i="5" s="1"/>
  <c r="DN8" i="5"/>
  <c r="DN109" i="5" s="1"/>
  <c r="DM8" i="5"/>
  <c r="DL8" i="5"/>
  <c r="DK100" i="5"/>
  <c r="DJ100" i="5"/>
  <c r="DI100" i="5"/>
  <c r="DI86" i="5"/>
  <c r="DK79" i="5"/>
  <c r="DJ79" i="5"/>
  <c r="DI79" i="5"/>
  <c r="DI65" i="5"/>
  <c r="DK62" i="5"/>
  <c r="DJ62" i="5"/>
  <c r="DI62" i="5"/>
  <c r="DK51" i="5"/>
  <c r="DJ51" i="5"/>
  <c r="DI51" i="5"/>
  <c r="DK50" i="5"/>
  <c r="DJ50" i="5"/>
  <c r="DI50" i="5"/>
  <c r="DK49" i="5"/>
  <c r="DJ49" i="5"/>
  <c r="DI49" i="5"/>
  <c r="DK43" i="5"/>
  <c r="DJ43" i="5"/>
  <c r="DK42" i="5"/>
  <c r="DJ42" i="5"/>
  <c r="DK41" i="5"/>
  <c r="DJ41" i="5"/>
  <c r="DK38" i="5"/>
  <c r="DJ38" i="5"/>
  <c r="DI38" i="5"/>
  <c r="DK35" i="5"/>
  <c r="DJ35" i="5"/>
  <c r="DK34" i="5"/>
  <c r="DJ34" i="5"/>
  <c r="DI34" i="5"/>
  <c r="DK33" i="5"/>
  <c r="DJ33" i="5"/>
  <c r="DI33" i="5"/>
  <c r="DK31" i="5"/>
  <c r="DJ31" i="5"/>
  <c r="DK30" i="5"/>
  <c r="DJ30" i="5"/>
  <c r="DK29" i="5"/>
  <c r="DJ29" i="5"/>
  <c r="DI25" i="5"/>
  <c r="DK24" i="5"/>
  <c r="DJ24" i="5"/>
  <c r="DI24" i="5"/>
  <c r="DK13" i="5"/>
  <c r="DJ13" i="5"/>
  <c r="DI13" i="5"/>
  <c r="DK12" i="5"/>
  <c r="DJ12" i="5"/>
  <c r="DI12" i="5"/>
  <c r="DK10" i="5"/>
  <c r="DJ10" i="5"/>
  <c r="DI10" i="5"/>
  <c r="DK8" i="5"/>
  <c r="DJ8" i="5"/>
  <c r="DJ108" i="5" s="1"/>
  <c r="DI8" i="5"/>
  <c r="DI107" i="5" s="1"/>
  <c r="A27" i="6" l="1"/>
  <c r="DN101" i="5"/>
  <c r="DL101" i="5"/>
  <c r="DL108" i="5"/>
  <c r="DM101" i="5"/>
  <c r="DO101" i="5"/>
  <c r="DP101" i="5"/>
  <c r="DM106" i="5"/>
  <c r="DQ101" i="5"/>
  <c r="DI101" i="5"/>
  <c r="DK101" i="5"/>
  <c r="DJ101" i="5"/>
  <c r="DK108" i="5"/>
  <c r="A28" i="6" l="1"/>
  <c r="DF109" i="5"/>
  <c r="DH100" i="5"/>
  <c r="DG100" i="5"/>
  <c r="DG86" i="5"/>
  <c r="DG84" i="5"/>
  <c r="DG81" i="5"/>
  <c r="DH79" i="5"/>
  <c r="DG79" i="5"/>
  <c r="DG71" i="5"/>
  <c r="DG63" i="5"/>
  <c r="DH62" i="5"/>
  <c r="DG62" i="5"/>
  <c r="DG60" i="5"/>
  <c r="DH51" i="5"/>
  <c r="DG51" i="5"/>
  <c r="DH50" i="5"/>
  <c r="DG50" i="5"/>
  <c r="DH49" i="5"/>
  <c r="DG49" i="5"/>
  <c r="DG47" i="5"/>
  <c r="DH42" i="5"/>
  <c r="DG42" i="5"/>
  <c r="DH41" i="5"/>
  <c r="DG41" i="5"/>
  <c r="DH38" i="5"/>
  <c r="DH36" i="5"/>
  <c r="DG36" i="5"/>
  <c r="DH34" i="5"/>
  <c r="DG34" i="5"/>
  <c r="DH33" i="5"/>
  <c r="DG33" i="5"/>
  <c r="DH25" i="5"/>
  <c r="DG25" i="5"/>
  <c r="DH24" i="5"/>
  <c r="DG24" i="5"/>
  <c r="DG22" i="5"/>
  <c r="DF18" i="5"/>
  <c r="DG15" i="5"/>
  <c r="DH13" i="5"/>
  <c r="DG13" i="5"/>
  <c r="DF13" i="5"/>
  <c r="DF101" i="5" s="1"/>
  <c r="DH12" i="5"/>
  <c r="DG12" i="5"/>
  <c r="DH10" i="5"/>
  <c r="DG10" i="5"/>
  <c r="DH8" i="5"/>
  <c r="DH105" i="5" s="1"/>
  <c r="DG8" i="5"/>
  <c r="A29" i="6" l="1"/>
  <c r="DG101" i="5"/>
  <c r="DH101" i="5"/>
  <c r="DG106" i="5"/>
  <c r="DE108" i="5"/>
  <c r="DE101" i="5"/>
  <c r="A30" i="6" l="1"/>
  <c r="DA109" i="5"/>
  <c r="DD108" i="5"/>
  <c r="CZ106" i="5"/>
  <c r="DC100" i="5"/>
  <c r="DB100" i="5"/>
  <c r="DC86" i="5"/>
  <c r="DB86" i="5"/>
  <c r="DC84" i="5"/>
  <c r="DB84" i="5"/>
  <c r="DC81" i="5"/>
  <c r="DB81" i="5"/>
  <c r="DD79" i="5"/>
  <c r="DD101" i="5" s="1"/>
  <c r="DC79" i="5"/>
  <c r="DB79" i="5"/>
  <c r="DC76" i="5"/>
  <c r="DB73" i="5"/>
  <c r="DC71" i="5"/>
  <c r="DB71" i="5"/>
  <c r="DB70" i="5"/>
  <c r="DB65" i="5"/>
  <c r="DC63" i="5"/>
  <c r="DB63" i="5"/>
  <c r="DC62" i="5"/>
  <c r="DB62" i="5"/>
  <c r="DB60" i="5"/>
  <c r="DC57" i="5"/>
  <c r="DB57" i="5"/>
  <c r="DC51" i="5"/>
  <c r="DB51" i="5"/>
  <c r="DC50" i="5"/>
  <c r="DB50" i="5"/>
  <c r="DC49" i="5"/>
  <c r="DB49" i="5"/>
  <c r="DC47" i="5"/>
  <c r="DB47" i="5"/>
  <c r="DC45" i="5"/>
  <c r="DC43" i="5"/>
  <c r="DC42" i="5"/>
  <c r="DC41" i="5"/>
  <c r="DB38" i="5"/>
  <c r="DC36" i="5"/>
  <c r="DB36" i="5"/>
  <c r="DC34" i="5"/>
  <c r="DB34" i="5"/>
  <c r="DA34" i="5"/>
  <c r="DC33" i="5"/>
  <c r="DB33" i="5"/>
  <c r="DC25" i="5"/>
  <c r="DB25" i="5"/>
  <c r="DC24" i="5"/>
  <c r="DB24" i="5"/>
  <c r="DC22" i="5"/>
  <c r="DB22" i="5"/>
  <c r="DC13" i="5"/>
  <c r="DB13" i="5"/>
  <c r="DA13" i="5"/>
  <c r="CZ13" i="5"/>
  <c r="CZ101" i="5" s="1"/>
  <c r="DC12" i="5"/>
  <c r="DB12" i="5"/>
  <c r="DC10" i="5"/>
  <c r="DB10" i="5"/>
  <c r="DC8" i="5"/>
  <c r="DC106" i="5" s="1"/>
  <c r="DB8" i="5"/>
  <c r="DB109" i="5" s="1"/>
  <c r="A31" i="6" l="1"/>
  <c r="DA101" i="5"/>
  <c r="DB101" i="5"/>
  <c r="DC101" i="5"/>
  <c r="CY108" i="5"/>
  <c r="CY100" i="5"/>
  <c r="CY101" i="5" s="1"/>
  <c r="CX100" i="5"/>
  <c r="CX79" i="5"/>
  <c r="CX65" i="5"/>
  <c r="CX62" i="5"/>
  <c r="CX51" i="5"/>
  <c r="CX50" i="5"/>
  <c r="CX49" i="5"/>
  <c r="CX41" i="5"/>
  <c r="CX38" i="5"/>
  <c r="CX36" i="5"/>
  <c r="CX35" i="5"/>
  <c r="CX34" i="5"/>
  <c r="CX33" i="5"/>
  <c r="CX31" i="5"/>
  <c r="CX30" i="5"/>
  <c r="CX29" i="5"/>
  <c r="CX25" i="5"/>
  <c r="CX24" i="5"/>
  <c r="CX13" i="5"/>
  <c r="CX12" i="5"/>
  <c r="CX10" i="5"/>
  <c r="CX8" i="5"/>
  <c r="CX107" i="5" s="1"/>
  <c r="DT63" i="5"/>
  <c r="DT55" i="5"/>
  <c r="CI108" i="5"/>
  <c r="CW108" i="5"/>
  <c r="CW101" i="5"/>
  <c r="CV100" i="5"/>
  <c r="CV91" i="5"/>
  <c r="CV86" i="5"/>
  <c r="CV82" i="5"/>
  <c r="CV76" i="5"/>
  <c r="CV71" i="5"/>
  <c r="CV64" i="5"/>
  <c r="CV57" i="5"/>
  <c r="CV47" i="5"/>
  <c r="CV45" i="5"/>
  <c r="CV35" i="5"/>
  <c r="CV34" i="5"/>
  <c r="CV33" i="5"/>
  <c r="CV31" i="5"/>
  <c r="CV30" i="5"/>
  <c r="CV29" i="5"/>
  <c r="CV28" i="5"/>
  <c r="CV24" i="5"/>
  <c r="CV22" i="5"/>
  <c r="CV13" i="5"/>
  <c r="CV12" i="5"/>
  <c r="CV10" i="5"/>
  <c r="CV8" i="5"/>
  <c r="CV106" i="5" s="1"/>
  <c r="A32" i="6" l="1"/>
  <c r="CV101" i="5"/>
  <c r="CX101" i="5"/>
  <c r="CU100" i="5"/>
  <c r="CT100" i="5"/>
  <c r="CS100" i="5"/>
  <c r="CU91" i="5"/>
  <c r="CU90" i="5"/>
  <c r="CU86" i="5"/>
  <c r="CS79" i="5"/>
  <c r="CT78" i="5"/>
  <c r="CU76" i="5"/>
  <c r="CT76" i="5"/>
  <c r="CU70" i="5"/>
  <c r="CS65" i="5"/>
  <c r="CU64" i="5"/>
  <c r="CT64" i="5"/>
  <c r="CT62" i="5"/>
  <c r="CS62" i="5"/>
  <c r="CU57" i="5"/>
  <c r="CT51" i="5"/>
  <c r="CS51" i="5"/>
  <c r="CT50" i="5"/>
  <c r="CS50" i="5"/>
  <c r="CT49" i="5"/>
  <c r="CS49" i="5"/>
  <c r="CU47" i="5"/>
  <c r="CT47" i="5"/>
  <c r="CU45" i="5"/>
  <c r="CT45" i="5"/>
  <c r="CU43" i="5"/>
  <c r="CU41" i="5"/>
  <c r="CT41" i="5"/>
  <c r="CS41" i="5"/>
  <c r="CS38" i="5"/>
  <c r="CU36" i="5"/>
  <c r="CS36" i="5"/>
  <c r="CU35" i="5"/>
  <c r="CU34" i="5"/>
  <c r="CT34" i="5"/>
  <c r="CS34" i="5"/>
  <c r="CU33" i="5"/>
  <c r="CT33" i="5"/>
  <c r="CS33" i="5"/>
  <c r="CU31" i="5"/>
  <c r="CU30" i="5"/>
  <c r="CU29" i="5"/>
  <c r="CU28" i="5"/>
  <c r="CT27" i="5"/>
  <c r="CS25" i="5"/>
  <c r="CU24" i="5"/>
  <c r="CT24" i="5"/>
  <c r="CS24" i="5"/>
  <c r="CU22" i="5"/>
  <c r="CS15" i="5"/>
  <c r="CU13" i="5"/>
  <c r="CT13" i="5"/>
  <c r="CS13" i="5"/>
  <c r="CU12" i="5"/>
  <c r="CT12" i="5"/>
  <c r="CS12" i="5"/>
  <c r="CU10" i="5"/>
  <c r="CT10" i="5"/>
  <c r="CS10" i="5"/>
  <c r="CU8" i="5"/>
  <c r="CU109" i="5" s="1"/>
  <c r="CT8" i="5"/>
  <c r="CS8" i="5"/>
  <c r="CS107" i="5" s="1"/>
  <c r="CR100" i="5"/>
  <c r="CQ100" i="5"/>
  <c r="CP100" i="5"/>
  <c r="CQ86" i="5"/>
  <c r="CQ84" i="5"/>
  <c r="CR79" i="5"/>
  <c r="CP79" i="5"/>
  <c r="CQ70" i="5"/>
  <c r="CR62" i="5"/>
  <c r="CP62" i="5"/>
  <c r="CP60" i="5"/>
  <c r="CQ58" i="5"/>
  <c r="DT58" i="5" s="1"/>
  <c r="CR51" i="5"/>
  <c r="CP51" i="5"/>
  <c r="CR50" i="5"/>
  <c r="CP50" i="5"/>
  <c r="CR49" i="5"/>
  <c r="CP49" i="5"/>
  <c r="CP45" i="5"/>
  <c r="CR43" i="5"/>
  <c r="CP43" i="5"/>
  <c r="CR42" i="5"/>
  <c r="CP42" i="5"/>
  <c r="CR41" i="5"/>
  <c r="CQ41" i="5"/>
  <c r="CP41" i="5"/>
  <c r="CR38" i="5"/>
  <c r="CP38" i="5"/>
  <c r="CR36" i="5"/>
  <c r="CP36" i="5"/>
  <c r="CR35" i="5"/>
  <c r="CP35" i="5"/>
  <c r="CR34" i="5"/>
  <c r="CP34" i="5"/>
  <c r="CR33" i="5"/>
  <c r="CP33" i="5"/>
  <c r="CR31" i="5"/>
  <c r="CP31" i="5"/>
  <c r="CR30" i="5"/>
  <c r="CP30" i="5"/>
  <c r="CR29" i="5"/>
  <c r="CP29" i="5"/>
  <c r="CP25" i="5"/>
  <c r="CR24" i="5"/>
  <c r="CQ24" i="5"/>
  <c r="CP24" i="5"/>
  <c r="CP18" i="5"/>
  <c r="CP15" i="5"/>
  <c r="CR13" i="5"/>
  <c r="CP13" i="5"/>
  <c r="CR12" i="5"/>
  <c r="CP12" i="5"/>
  <c r="CR10" i="5"/>
  <c r="CP10" i="5"/>
  <c r="CR8" i="5"/>
  <c r="CR108" i="5" s="1"/>
  <c r="CQ8" i="5"/>
  <c r="CP8" i="5"/>
  <c r="CO100" i="5"/>
  <c r="CO79" i="5"/>
  <c r="CO62" i="5"/>
  <c r="CO60" i="5"/>
  <c r="CO51" i="5"/>
  <c r="CO50" i="5"/>
  <c r="CO49" i="5"/>
  <c r="CO45" i="5"/>
  <c r="CO43" i="5"/>
  <c r="CO42" i="5"/>
  <c r="CO41" i="5"/>
  <c r="CO38" i="5"/>
  <c r="CO36" i="5"/>
  <c r="CO35" i="5"/>
  <c r="CO34" i="5"/>
  <c r="CO33" i="5"/>
  <c r="CO31" i="5"/>
  <c r="CO30" i="5"/>
  <c r="CO29" i="5"/>
  <c r="CO25" i="5"/>
  <c r="CO24" i="5"/>
  <c r="CO18" i="5"/>
  <c r="CO15" i="5"/>
  <c r="CO13" i="5"/>
  <c r="CO12" i="5"/>
  <c r="CO10" i="5"/>
  <c r="CO8" i="5"/>
  <c r="CN106" i="5"/>
  <c r="CN13" i="5"/>
  <c r="CN101" i="5" s="1"/>
  <c r="A33" i="6" l="1"/>
  <c r="CT101" i="5"/>
  <c r="CT105" i="5"/>
  <c r="CS101" i="5"/>
  <c r="CU101" i="5"/>
  <c r="CQ101" i="5"/>
  <c r="CR101" i="5"/>
  <c r="CP101" i="5"/>
  <c r="CP107" i="5"/>
  <c r="CQ108" i="5"/>
  <c r="CO101" i="5"/>
  <c r="CO107" i="5"/>
  <c r="I44" i="5"/>
  <c r="CK106" i="5"/>
  <c r="CM100" i="5"/>
  <c r="CL100" i="5"/>
  <c r="CM79" i="5"/>
  <c r="CL79" i="5"/>
  <c r="CM62" i="5"/>
  <c r="CL62" i="5"/>
  <c r="CM51" i="5"/>
  <c r="CL51" i="5"/>
  <c r="CM50" i="5"/>
  <c r="CL50" i="5"/>
  <c r="CM49" i="5"/>
  <c r="CL49" i="5"/>
  <c r="CM43" i="5"/>
  <c r="CM42" i="5"/>
  <c r="CL42" i="5"/>
  <c r="CM41" i="5"/>
  <c r="CL41" i="5"/>
  <c r="CM38" i="5"/>
  <c r="CL38" i="5"/>
  <c r="CL36" i="5"/>
  <c r="CM34" i="5"/>
  <c r="CL34" i="5"/>
  <c r="CM33" i="5"/>
  <c r="CL33" i="5"/>
  <c r="CM25" i="5"/>
  <c r="CL25" i="5"/>
  <c r="CM24" i="5"/>
  <c r="CL24" i="5"/>
  <c r="CL15" i="5"/>
  <c r="CM13" i="5"/>
  <c r="CL13" i="5"/>
  <c r="CK13" i="5"/>
  <c r="CK101" i="5" s="1"/>
  <c r="CM12" i="5"/>
  <c r="CL12" i="5"/>
  <c r="CM10" i="5"/>
  <c r="CL10" i="5"/>
  <c r="CM8" i="5"/>
  <c r="CL8" i="5"/>
  <c r="CL105" i="5" s="1"/>
  <c r="GW83" i="5"/>
  <c r="GX83" i="5" s="1"/>
  <c r="GY83" i="5"/>
  <c r="HB83" i="5"/>
  <c r="DT83" i="5"/>
  <c r="D84" i="5"/>
  <c r="G84" i="5" s="1"/>
  <c r="X84" i="5"/>
  <c r="AJ84" i="5"/>
  <c r="AL84" i="5"/>
  <c r="AQ84" i="5"/>
  <c r="AR84" i="5"/>
  <c r="BC84" i="5"/>
  <c r="BD84" i="5"/>
  <c r="BE84" i="5"/>
  <c r="BF84" i="5"/>
  <c r="BJ84" i="5"/>
  <c r="DT84" i="5"/>
  <c r="GA84" i="5"/>
  <c r="GY84" i="5"/>
  <c r="HB84" i="5"/>
  <c r="CJ100" i="5"/>
  <c r="CJ86" i="5"/>
  <c r="CJ79" i="5"/>
  <c r="CJ65" i="5"/>
  <c r="CJ62" i="5"/>
  <c r="CJ60" i="5"/>
  <c r="CJ51" i="5"/>
  <c r="CJ50" i="5"/>
  <c r="CJ49" i="5"/>
  <c r="CJ41" i="5"/>
  <c r="CJ38" i="5"/>
  <c r="CJ36" i="5"/>
  <c r="CJ35" i="5"/>
  <c r="CJ34" i="5"/>
  <c r="CJ33" i="5"/>
  <c r="CJ31" i="5"/>
  <c r="CJ30" i="5"/>
  <c r="CJ29" i="5"/>
  <c r="CJ25" i="5"/>
  <c r="CJ24" i="5"/>
  <c r="CJ13" i="5"/>
  <c r="CJ12" i="5"/>
  <c r="CJ10" i="5"/>
  <c r="CJ8" i="5"/>
  <c r="CJ107" i="5" s="1"/>
  <c r="CF109" i="5"/>
  <c r="CH106" i="5"/>
  <c r="CG105" i="5"/>
  <c r="CI101" i="5"/>
  <c r="CH101" i="5"/>
  <c r="CF101" i="5"/>
  <c r="CG64" i="5"/>
  <c r="CG101" i="5" s="1"/>
  <c r="CD109" i="5"/>
  <c r="CE106" i="5"/>
  <c r="CE101" i="5"/>
  <c r="CD13" i="5"/>
  <c r="CD101" i="5" s="1"/>
  <c r="A34" i="6" l="1"/>
  <c r="CM101" i="5"/>
  <c r="CL101" i="5"/>
  <c r="CM106" i="5"/>
  <c r="C85" i="6"/>
  <c r="GJ85" i="6" s="1"/>
  <c r="BS84" i="5"/>
  <c r="GW84" i="5"/>
  <c r="CJ101" i="5"/>
  <c r="CB109" i="5"/>
  <c r="CC106" i="5"/>
  <c r="CA105" i="5"/>
  <c r="CC101" i="5"/>
  <c r="CB101" i="5"/>
  <c r="CA101" i="5"/>
  <c r="BZ100" i="5"/>
  <c r="BZ86" i="5"/>
  <c r="BZ79" i="5"/>
  <c r="BZ65" i="5"/>
  <c r="BZ62" i="5"/>
  <c r="BZ51" i="5"/>
  <c r="BZ50" i="5"/>
  <c r="BZ49" i="5"/>
  <c r="BZ38" i="5"/>
  <c r="BZ36" i="5"/>
  <c r="BZ34" i="5"/>
  <c r="BZ33" i="5"/>
  <c r="BZ25" i="5"/>
  <c r="BZ24" i="5"/>
  <c r="BZ13" i="5"/>
  <c r="BZ12" i="5"/>
  <c r="BZ10" i="5"/>
  <c r="BZ8" i="5"/>
  <c r="BZ107" i="5" s="1"/>
  <c r="D27" i="5"/>
  <c r="K27" i="5"/>
  <c r="Q27" i="5"/>
  <c r="R27" i="5"/>
  <c r="S27" i="5"/>
  <c r="W27" i="5"/>
  <c r="BC27" i="5"/>
  <c r="BG27" i="5"/>
  <c r="BX27" i="5"/>
  <c r="DT27" i="5" s="1"/>
  <c r="GA27" i="5"/>
  <c r="GY27" i="5"/>
  <c r="HB27" i="5"/>
  <c r="GW68" i="5"/>
  <c r="GX68" i="5" s="1"/>
  <c r="GY68" i="5"/>
  <c r="HB68" i="5"/>
  <c r="DT68" i="5"/>
  <c r="BY100" i="5"/>
  <c r="BX100" i="5"/>
  <c r="BW100" i="5"/>
  <c r="BY91" i="5"/>
  <c r="BW91" i="5"/>
  <c r="BW90" i="5"/>
  <c r="BY86" i="5"/>
  <c r="BW86" i="5"/>
  <c r="BY82" i="5"/>
  <c r="BX78" i="5"/>
  <c r="BY76" i="5"/>
  <c r="BX76" i="5"/>
  <c r="BW76" i="5"/>
  <c r="BY71" i="5"/>
  <c r="BW70" i="5"/>
  <c r="DT70" i="5" s="1"/>
  <c r="BY64" i="5"/>
  <c r="BX64" i="5"/>
  <c r="BW64" i="5"/>
  <c r="BX62" i="5"/>
  <c r="BY57" i="5"/>
  <c r="BW57" i="5"/>
  <c r="BX51" i="5"/>
  <c r="BX50" i="5"/>
  <c r="BX49" i="5"/>
  <c r="BY47" i="5"/>
  <c r="BX47" i="5"/>
  <c r="BW47" i="5"/>
  <c r="BY45" i="5"/>
  <c r="BX45" i="5"/>
  <c r="BW45" i="5"/>
  <c r="BW43" i="5"/>
  <c r="BX41" i="5"/>
  <c r="BW41" i="5"/>
  <c r="BW36" i="5"/>
  <c r="BY35" i="5"/>
  <c r="BW35" i="5"/>
  <c r="BY34" i="5"/>
  <c r="BX34" i="5"/>
  <c r="BW34" i="5"/>
  <c r="BY33" i="5"/>
  <c r="BX33" i="5"/>
  <c r="BW33" i="5"/>
  <c r="BY31" i="5"/>
  <c r="BW31" i="5"/>
  <c r="BY30" i="5"/>
  <c r="BW30" i="5"/>
  <c r="BY29" i="5"/>
  <c r="BW29" i="5"/>
  <c r="BY28" i="5"/>
  <c r="BW28" i="5"/>
  <c r="BY24" i="5"/>
  <c r="BX24" i="5"/>
  <c r="BW24" i="5"/>
  <c r="BY22" i="5"/>
  <c r="BW22" i="5"/>
  <c r="BY13" i="5"/>
  <c r="BX13" i="5"/>
  <c r="BW13" i="5"/>
  <c r="BY12" i="5"/>
  <c r="BX12" i="5"/>
  <c r="BW12" i="5"/>
  <c r="BY10" i="5"/>
  <c r="BX10" i="5"/>
  <c r="BW10" i="5"/>
  <c r="BY8" i="5"/>
  <c r="BY106" i="5" s="1"/>
  <c r="BX8" i="5"/>
  <c r="BX105" i="5" s="1"/>
  <c r="BW8" i="5"/>
  <c r="HA105" i="5"/>
  <c r="HA106" i="5"/>
  <c r="D76" i="5"/>
  <c r="G92" i="5"/>
  <c r="C94" i="6" s="1"/>
  <c r="GJ94" i="6" s="1"/>
  <c r="E98" i="5"/>
  <c r="F98" i="5"/>
  <c r="D90" i="5"/>
  <c r="DT88" i="5"/>
  <c r="GY87" i="5"/>
  <c r="HB87" i="5"/>
  <c r="GW88" i="5"/>
  <c r="GX88" i="5" s="1"/>
  <c r="GY88" i="5"/>
  <c r="HB88" i="5"/>
  <c r="GW87" i="5"/>
  <c r="GX87" i="5" s="1"/>
  <c r="GA87" i="5"/>
  <c r="DT87" i="5"/>
  <c r="BS87" i="5"/>
  <c r="G87" i="5"/>
  <c r="C89" i="6" s="1"/>
  <c r="GJ89" i="6" s="1"/>
  <c r="A35" i="6" l="1"/>
  <c r="GX84" i="5"/>
  <c r="DT64" i="5"/>
  <c r="GW27" i="5"/>
  <c r="GX27" i="5" s="1"/>
  <c r="BZ101" i="5"/>
  <c r="BS27" i="5"/>
  <c r="G27" i="5"/>
  <c r="C27" i="6" s="1"/>
  <c r="GJ27" i="6" s="1"/>
  <c r="BW101" i="5"/>
  <c r="BW109" i="5"/>
  <c r="DT109" i="5" s="1"/>
  <c r="BX101" i="5"/>
  <c r="BY101" i="5"/>
  <c r="D86" i="5"/>
  <c r="D81" i="5"/>
  <c r="D79" i="5"/>
  <c r="D73" i="5"/>
  <c r="D64" i="5"/>
  <c r="D71" i="5"/>
  <c r="D70" i="5"/>
  <c r="G70" i="5" s="1"/>
  <c r="C71" i="6" s="1"/>
  <c r="GJ71" i="6" s="1"/>
  <c r="D65" i="5"/>
  <c r="D63" i="5"/>
  <c r="D60" i="5"/>
  <c r="D57" i="5"/>
  <c r="D51" i="5"/>
  <c r="D47" i="5"/>
  <c r="D35" i="5"/>
  <c r="D34" i="5"/>
  <c r="D33" i="5"/>
  <c r="D31" i="5"/>
  <c r="D30" i="5"/>
  <c r="D28" i="5"/>
  <c r="D26" i="5"/>
  <c r="D24" i="5"/>
  <c r="D22" i="5"/>
  <c r="DT11" i="5"/>
  <c r="D13" i="5"/>
  <c r="D10" i="5"/>
  <c r="BS92" i="5"/>
  <c r="DT92" i="5"/>
  <c r="GW92" i="5"/>
  <c r="GY92" i="5"/>
  <c r="HB92" i="5"/>
  <c r="BV106" i="5"/>
  <c r="BU100" i="5"/>
  <c r="BU79" i="5"/>
  <c r="BU62" i="5"/>
  <c r="BU51" i="5"/>
  <c r="BU50" i="5"/>
  <c r="BU49" i="5"/>
  <c r="BU42" i="5"/>
  <c r="BU41" i="5"/>
  <c r="BU38" i="5"/>
  <c r="BU34" i="5"/>
  <c r="BU33" i="5"/>
  <c r="BU25" i="5"/>
  <c r="BU24" i="5"/>
  <c r="BV22" i="5"/>
  <c r="BV101" i="5" s="1"/>
  <c r="BU15" i="5"/>
  <c r="BU13" i="5"/>
  <c r="DT13" i="5" s="1"/>
  <c r="BU12" i="5"/>
  <c r="DT12" i="5" s="1"/>
  <c r="BU10" i="5"/>
  <c r="DT10" i="5" s="1"/>
  <c r="BU8" i="5"/>
  <c r="A36" i="6" l="1"/>
  <c r="GX92" i="5"/>
  <c r="D98" i="5"/>
  <c r="BU101" i="5"/>
  <c r="BU105" i="5"/>
  <c r="A37" i="6" l="1"/>
  <c r="AW108" i="5"/>
  <c r="BM109" i="5"/>
  <c r="BM101" i="5"/>
  <c r="BL100" i="5"/>
  <c r="BK100" i="5"/>
  <c r="BJ100" i="5"/>
  <c r="BI100" i="5"/>
  <c r="BH100" i="5"/>
  <c r="BG100" i="5"/>
  <c r="BI91" i="5"/>
  <c r="BH91" i="5"/>
  <c r="BK86" i="5"/>
  <c r="BJ86" i="5"/>
  <c r="BI82" i="5"/>
  <c r="BH82" i="5"/>
  <c r="BK81" i="5"/>
  <c r="BJ81" i="5"/>
  <c r="BL79" i="5"/>
  <c r="BK79" i="5"/>
  <c r="BJ79" i="5"/>
  <c r="BI79" i="5"/>
  <c r="BH79" i="5"/>
  <c r="BG78" i="5"/>
  <c r="BI76" i="5"/>
  <c r="BH76" i="5"/>
  <c r="BG76" i="5"/>
  <c r="BJ71" i="5"/>
  <c r="BH71" i="5"/>
  <c r="BI70" i="5"/>
  <c r="BL65" i="5"/>
  <c r="BK65" i="5"/>
  <c r="BI64" i="5"/>
  <c r="BH64" i="5"/>
  <c r="BG64" i="5"/>
  <c r="BK63" i="5"/>
  <c r="BJ63" i="5"/>
  <c r="BL62" i="5"/>
  <c r="BK62" i="5"/>
  <c r="BJ62" i="5"/>
  <c r="BG62" i="5"/>
  <c r="BK60" i="5"/>
  <c r="BJ60" i="5"/>
  <c r="BI57" i="5"/>
  <c r="BH57" i="5"/>
  <c r="BL51" i="5"/>
  <c r="BK51" i="5"/>
  <c r="BJ51" i="5"/>
  <c r="BI51" i="5"/>
  <c r="BH51" i="5"/>
  <c r="BG51" i="5"/>
  <c r="BL50" i="5"/>
  <c r="BK50" i="5"/>
  <c r="BJ50" i="5"/>
  <c r="BI50" i="5"/>
  <c r="BH50" i="5"/>
  <c r="BG50" i="5"/>
  <c r="BL49" i="5"/>
  <c r="BK49" i="5"/>
  <c r="BJ49" i="5"/>
  <c r="BI49" i="5"/>
  <c r="BH49" i="5"/>
  <c r="BG49" i="5"/>
  <c r="BK47" i="5"/>
  <c r="BJ47" i="5"/>
  <c r="BI47" i="5"/>
  <c r="BH47" i="5"/>
  <c r="BG47" i="5"/>
  <c r="BI45" i="5"/>
  <c r="BH45" i="5"/>
  <c r="BI43" i="5"/>
  <c r="BJ42" i="5"/>
  <c r="BL41" i="5"/>
  <c r="BK41" i="5"/>
  <c r="BJ41" i="5"/>
  <c r="BI41" i="5"/>
  <c r="BG41" i="5"/>
  <c r="BL38" i="5"/>
  <c r="BK38" i="5"/>
  <c r="BL36" i="5"/>
  <c r="BG36" i="5"/>
  <c r="BL35" i="5"/>
  <c r="BL34" i="5"/>
  <c r="BK34" i="5"/>
  <c r="BJ34" i="5"/>
  <c r="BI34" i="5"/>
  <c r="BH34" i="5"/>
  <c r="BG34" i="5"/>
  <c r="BL33" i="5"/>
  <c r="BK33" i="5"/>
  <c r="BJ33" i="5"/>
  <c r="BI33" i="5"/>
  <c r="BH33" i="5"/>
  <c r="BG33" i="5"/>
  <c r="BL31" i="5"/>
  <c r="BL30" i="5"/>
  <c r="BL29" i="5"/>
  <c r="BI28" i="5"/>
  <c r="BH28" i="5"/>
  <c r="BL25" i="5"/>
  <c r="BK25" i="5"/>
  <c r="BJ25" i="5"/>
  <c r="BL24" i="5"/>
  <c r="BK24" i="5"/>
  <c r="BJ24" i="5"/>
  <c r="BI24" i="5"/>
  <c r="BH24" i="5"/>
  <c r="BG24" i="5"/>
  <c r="BK22" i="5"/>
  <c r="BJ22" i="5"/>
  <c r="BI22" i="5"/>
  <c r="BH22" i="5"/>
  <c r="BK18" i="5"/>
  <c r="BK15" i="5"/>
  <c r="BJ15" i="5"/>
  <c r="BI15" i="5"/>
  <c r="BH15" i="5"/>
  <c r="BG15" i="5"/>
  <c r="BL13" i="5"/>
  <c r="BK13" i="5"/>
  <c r="BJ13" i="5"/>
  <c r="BI13" i="5"/>
  <c r="BH13" i="5"/>
  <c r="BG13" i="5"/>
  <c r="BL12" i="5"/>
  <c r="BK12" i="5"/>
  <c r="BJ12" i="5"/>
  <c r="BI11" i="5"/>
  <c r="BH11" i="5"/>
  <c r="BG11" i="5"/>
  <c r="BL10" i="5"/>
  <c r="BK10" i="5"/>
  <c r="BJ10" i="5"/>
  <c r="BI10" i="5"/>
  <c r="BH10" i="5"/>
  <c r="BG10" i="5"/>
  <c r="BL8" i="5"/>
  <c r="BL107" i="5" s="1"/>
  <c r="BK8" i="5"/>
  <c r="BJ8" i="5"/>
  <c r="BJ106" i="5" s="1"/>
  <c r="BI8" i="5"/>
  <c r="BI109" i="5" s="1"/>
  <c r="BH8" i="5"/>
  <c r="BG8" i="5"/>
  <c r="BG105" i="5" s="1"/>
  <c r="HB95" i="5"/>
  <c r="GY95" i="5"/>
  <c r="GW95" i="5"/>
  <c r="GX95" i="5" s="1"/>
  <c r="GA95" i="5"/>
  <c r="DT95" i="5"/>
  <c r="BS95" i="5"/>
  <c r="G95" i="5"/>
  <c r="C97" i="6" s="1"/>
  <c r="GJ97" i="6" s="1"/>
  <c r="G88" i="5"/>
  <c r="C90" i="6" s="1"/>
  <c r="GJ90" i="6" s="1"/>
  <c r="BS88" i="5"/>
  <c r="N85" i="2"/>
  <c r="O85" i="2"/>
  <c r="N90" i="2"/>
  <c r="N91" i="2"/>
  <c r="O84" i="2"/>
  <c r="N89" i="2"/>
  <c r="N88" i="2"/>
  <c r="N87" i="2"/>
  <c r="N86" i="2"/>
  <c r="N84" i="2"/>
  <c r="BF100" i="5"/>
  <c r="BF86" i="5"/>
  <c r="BF70" i="5"/>
  <c r="BF58" i="5"/>
  <c r="BF41" i="5"/>
  <c r="BF24" i="5"/>
  <c r="BF8" i="5"/>
  <c r="GY63" i="5"/>
  <c r="N92" i="2" l="1"/>
  <c r="A38" i="6"/>
  <c r="BH101" i="5"/>
  <c r="BK101" i="5"/>
  <c r="BK109" i="5"/>
  <c r="BJ101" i="5"/>
  <c r="BH106" i="5"/>
  <c r="BG101" i="5"/>
  <c r="BL101" i="5"/>
  <c r="BI101" i="5"/>
  <c r="BF101" i="5"/>
  <c r="BF108" i="5"/>
  <c r="BE100" i="5"/>
  <c r="BD100" i="5"/>
  <c r="BD93" i="5"/>
  <c r="BE86" i="5"/>
  <c r="BD81" i="5"/>
  <c r="BD79" i="5"/>
  <c r="BD76" i="5"/>
  <c r="BD73" i="5"/>
  <c r="BD71" i="5"/>
  <c r="BE70" i="5"/>
  <c r="BD70" i="5"/>
  <c r="BD65" i="5"/>
  <c r="BD62" i="5"/>
  <c r="BE58" i="5"/>
  <c r="BD57" i="5"/>
  <c r="BD51" i="5"/>
  <c r="BD50" i="5"/>
  <c r="BD49" i="5"/>
  <c r="BE48" i="5"/>
  <c r="BE41" i="5"/>
  <c r="BD41" i="5"/>
  <c r="BD34" i="5"/>
  <c r="BD33" i="5"/>
  <c r="BD31" i="5"/>
  <c r="BD30" i="5"/>
  <c r="BD29" i="5"/>
  <c r="BD25" i="5"/>
  <c r="BE24" i="5"/>
  <c r="BD24" i="5"/>
  <c r="BD22" i="5"/>
  <c r="BD15" i="5"/>
  <c r="BD13" i="5"/>
  <c r="BD11" i="5"/>
  <c r="BD9" i="5"/>
  <c r="BE8" i="5"/>
  <c r="BE108" i="5" s="1"/>
  <c r="BD8" i="5"/>
  <c r="A39" i="6" l="1"/>
  <c r="BD101" i="5"/>
  <c r="BE101" i="5"/>
  <c r="BD109" i="5"/>
  <c r="BC91" i="5"/>
  <c r="BC81" i="5"/>
  <c r="BC79" i="5"/>
  <c r="BC64" i="5"/>
  <c r="BC62" i="5"/>
  <c r="BC57" i="5"/>
  <c r="BC51" i="5"/>
  <c r="BC50" i="5"/>
  <c r="BC49" i="5"/>
  <c r="BC45" i="5"/>
  <c r="BC42" i="5"/>
  <c r="BC41" i="5"/>
  <c r="BC38" i="5"/>
  <c r="BC35" i="5"/>
  <c r="BC34" i="5"/>
  <c r="BC33" i="5"/>
  <c r="BC31" i="5"/>
  <c r="BC30" i="5"/>
  <c r="BC29" i="5"/>
  <c r="BC28" i="5"/>
  <c r="BC24" i="5"/>
  <c r="BC17" i="5"/>
  <c r="BC16" i="5"/>
  <c r="BC15" i="5"/>
  <c r="BC13" i="5"/>
  <c r="BC11" i="5"/>
  <c r="BC10" i="5"/>
  <c r="BC8" i="5"/>
  <c r="BC108" i="5" s="1"/>
  <c r="S15" i="10"/>
  <c r="S17" i="10"/>
  <c r="S16" i="10"/>
  <c r="S21" i="10" s="1"/>
  <c r="S11" i="10"/>
  <c r="A40" i="6" l="1"/>
  <c r="BC101" i="5"/>
  <c r="A41" i="6" l="1"/>
  <c r="R17" i="10"/>
  <c r="R11" i="10"/>
  <c r="GT101" i="5"/>
  <c r="A42" i="6" l="1"/>
  <c r="BB108" i="5"/>
  <c r="BA108" i="5"/>
  <c r="BA101" i="5"/>
  <c r="AZ100" i="5"/>
  <c r="AZ79" i="5"/>
  <c r="AZ62" i="5"/>
  <c r="AZ51" i="5"/>
  <c r="AZ50" i="5"/>
  <c r="AZ49" i="5"/>
  <c r="AZ42" i="5"/>
  <c r="AZ41" i="5"/>
  <c r="AZ38" i="5"/>
  <c r="AZ34" i="5"/>
  <c r="AZ33" i="5"/>
  <c r="AZ25" i="5"/>
  <c r="AZ24" i="5"/>
  <c r="AZ15" i="5"/>
  <c r="BB13" i="5"/>
  <c r="BB101" i="5" s="1"/>
  <c r="AZ13" i="5"/>
  <c r="AZ12" i="5"/>
  <c r="AZ10" i="5"/>
  <c r="AZ8" i="5"/>
  <c r="AZ105" i="5" s="1"/>
  <c r="A43" i="6" l="1"/>
  <c r="AZ101" i="5"/>
  <c r="AX106" i="5"/>
  <c r="AX101" i="5"/>
  <c r="AY100" i="5"/>
  <c r="AY93" i="5"/>
  <c r="AY86" i="5"/>
  <c r="AY79" i="5"/>
  <c r="AY65" i="5"/>
  <c r="AY62" i="5"/>
  <c r="AY51" i="5"/>
  <c r="AY50" i="5"/>
  <c r="AY49" i="5"/>
  <c r="AY38" i="5"/>
  <c r="AY34" i="5"/>
  <c r="AY33" i="5"/>
  <c r="AY26" i="5"/>
  <c r="AY24" i="5"/>
  <c r="AY13" i="5"/>
  <c r="AW13" i="5"/>
  <c r="AW101" i="5" s="1"/>
  <c r="AY12" i="5"/>
  <c r="AY10" i="5"/>
  <c r="AY8" i="5"/>
  <c r="AY107" i="5" s="1"/>
  <c r="G55" i="5"/>
  <c r="C55" i="6" s="1"/>
  <c r="GJ55" i="6" s="1"/>
  <c r="G10" i="5"/>
  <c r="C10" i="6" s="1"/>
  <c r="GJ10" i="6" s="1"/>
  <c r="G12" i="5"/>
  <c r="C12" i="6" s="1"/>
  <c r="GJ12" i="6" s="1"/>
  <c r="AV100" i="5"/>
  <c r="AV93" i="5"/>
  <c r="AV86" i="5"/>
  <c r="AV79" i="5"/>
  <c r="AV65" i="5"/>
  <c r="AV62" i="5"/>
  <c r="AV51" i="5"/>
  <c r="AV50" i="5"/>
  <c r="AV49" i="5"/>
  <c r="AV38" i="5"/>
  <c r="AV34" i="5"/>
  <c r="AV33" i="5"/>
  <c r="AV26" i="5"/>
  <c r="AV24" i="5"/>
  <c r="AV13" i="5"/>
  <c r="AV12" i="5"/>
  <c r="AV10" i="5"/>
  <c r="AV8" i="5"/>
  <c r="AV107" i="5" s="1"/>
  <c r="AT109" i="5"/>
  <c r="AU108" i="5"/>
  <c r="AU101" i="5"/>
  <c r="AT101" i="5"/>
  <c r="AS100" i="5"/>
  <c r="AS79" i="5"/>
  <c r="AS62" i="5"/>
  <c r="AS51" i="5"/>
  <c r="AS50" i="5"/>
  <c r="AS49" i="5"/>
  <c r="AS43" i="5"/>
  <c r="AS42" i="5"/>
  <c r="AS41" i="5"/>
  <c r="AS38" i="5"/>
  <c r="AS35" i="5"/>
  <c r="AS34" i="5"/>
  <c r="AS33" i="5"/>
  <c r="AS31" i="5"/>
  <c r="AS30" i="5"/>
  <c r="AS29" i="5"/>
  <c r="AS24" i="5"/>
  <c r="AS13" i="5"/>
  <c r="AS12" i="5"/>
  <c r="AS10" i="5"/>
  <c r="AS8" i="5"/>
  <c r="AS108" i="5" s="1"/>
  <c r="A45" i="6" l="1"/>
  <c r="AY101" i="5"/>
  <c r="AV101" i="5"/>
  <c r="AS101" i="5"/>
  <c r="AR100" i="5"/>
  <c r="AQ100" i="5"/>
  <c r="AP100" i="5"/>
  <c r="AQ93" i="5"/>
  <c r="AQ86" i="5"/>
  <c r="AP79" i="5"/>
  <c r="AR70" i="5"/>
  <c r="AQ70" i="5"/>
  <c r="AP64" i="5"/>
  <c r="AQ60" i="5"/>
  <c r="AQ58" i="5"/>
  <c r="AP51" i="5"/>
  <c r="AP49" i="5"/>
  <c r="AQ41" i="5"/>
  <c r="AP41" i="5"/>
  <c r="AP35" i="5"/>
  <c r="AP31" i="5"/>
  <c r="AP30" i="5"/>
  <c r="AR24" i="5"/>
  <c r="AQ24" i="5"/>
  <c r="AP15" i="5"/>
  <c r="AP13" i="5"/>
  <c r="AP11" i="5"/>
  <c r="AP9" i="5"/>
  <c r="AR8" i="5"/>
  <c r="AR108" i="5" s="1"/>
  <c r="AQ8" i="5"/>
  <c r="AP8" i="5"/>
  <c r="AO107" i="5"/>
  <c r="AO101" i="5"/>
  <c r="AN100" i="5"/>
  <c r="AM100" i="5"/>
  <c r="AL100" i="5"/>
  <c r="AK100" i="5"/>
  <c r="AL93" i="5"/>
  <c r="AM86" i="5"/>
  <c r="AL81" i="5"/>
  <c r="AN79" i="5"/>
  <c r="AM79" i="5"/>
  <c r="AL79" i="5"/>
  <c r="AK79" i="5"/>
  <c r="AL73" i="5"/>
  <c r="AL71" i="5"/>
  <c r="AL70" i="5"/>
  <c r="AM65" i="5"/>
  <c r="AL65" i="5"/>
  <c r="AK65" i="5"/>
  <c r="AL63" i="5"/>
  <c r="BS63" i="5" s="1"/>
  <c r="AN62" i="5"/>
  <c r="AM62" i="5"/>
  <c r="AL62" i="5"/>
  <c r="AK62" i="5"/>
  <c r="AL60" i="5"/>
  <c r="AL57" i="5"/>
  <c r="AN51" i="5"/>
  <c r="AM51" i="5"/>
  <c r="AL51" i="5"/>
  <c r="AK51" i="5"/>
  <c r="AN50" i="5"/>
  <c r="AM50" i="5"/>
  <c r="AL50" i="5"/>
  <c r="AK50" i="5"/>
  <c r="AN49" i="5"/>
  <c r="AM49" i="5"/>
  <c r="AL49" i="5"/>
  <c r="AK49" i="5"/>
  <c r="AL47" i="5"/>
  <c r="AN43" i="5"/>
  <c r="AN42" i="5"/>
  <c r="AN41" i="5"/>
  <c r="AK41" i="5"/>
  <c r="AN38" i="5"/>
  <c r="AM38" i="5"/>
  <c r="AL38" i="5"/>
  <c r="AK38" i="5"/>
  <c r="AN35" i="5"/>
  <c r="AN34" i="5"/>
  <c r="AM34" i="5"/>
  <c r="AL34" i="5"/>
  <c r="AK34" i="5"/>
  <c r="AN33" i="5"/>
  <c r="AM33" i="5"/>
  <c r="AL33" i="5"/>
  <c r="AK33" i="5"/>
  <c r="AN31" i="5"/>
  <c r="AN30" i="5"/>
  <c r="AN29" i="5"/>
  <c r="AM26" i="5"/>
  <c r="AL26" i="5"/>
  <c r="AK26" i="5"/>
  <c r="AN24" i="5"/>
  <c r="AM24" i="5"/>
  <c r="AL24" i="5"/>
  <c r="AK24" i="5"/>
  <c r="AL22" i="5"/>
  <c r="AK15" i="5"/>
  <c r="AN13" i="5"/>
  <c r="AM13" i="5"/>
  <c r="AL13" i="5"/>
  <c r="AK13" i="5"/>
  <c r="AN12" i="5"/>
  <c r="AL12" i="5"/>
  <c r="AK12" i="5"/>
  <c r="AM11" i="5"/>
  <c r="AN10" i="5"/>
  <c r="AL10" i="5"/>
  <c r="AK10" i="5"/>
  <c r="AM9" i="5"/>
  <c r="AN8" i="5"/>
  <c r="AN108" i="5" s="1"/>
  <c r="AM8" i="5"/>
  <c r="AM107" i="5" s="1"/>
  <c r="AL8" i="5"/>
  <c r="AL109" i="5" s="1"/>
  <c r="AK8" i="5"/>
  <c r="AK107" i="5" s="1"/>
  <c r="AI108" i="5"/>
  <c r="AG107" i="5"/>
  <c r="AH106" i="5"/>
  <c r="AI101" i="5"/>
  <c r="AH101" i="5"/>
  <c r="AG101" i="5"/>
  <c r="AJ100" i="5"/>
  <c r="AJ93" i="5"/>
  <c r="AJ81" i="5"/>
  <c r="AJ79" i="5"/>
  <c r="AJ73" i="5"/>
  <c r="AJ71" i="5"/>
  <c r="AJ70" i="5"/>
  <c r="AJ65" i="5"/>
  <c r="AJ62" i="5"/>
  <c r="AJ60" i="5"/>
  <c r="AJ57" i="5"/>
  <c r="AJ51" i="5"/>
  <c r="AJ50" i="5"/>
  <c r="AJ49" i="5"/>
  <c r="AJ41" i="5"/>
  <c r="AJ34" i="5"/>
  <c r="AJ33" i="5"/>
  <c r="AJ31" i="5"/>
  <c r="AJ30" i="5"/>
  <c r="AJ29" i="5"/>
  <c r="AJ26" i="5"/>
  <c r="AJ24" i="5"/>
  <c r="AJ22" i="5"/>
  <c r="AJ15" i="5"/>
  <c r="AJ13" i="5"/>
  <c r="AJ12" i="5"/>
  <c r="AJ10" i="5"/>
  <c r="AJ8" i="5"/>
  <c r="AJ109" i="5" s="1"/>
  <c r="V109" i="5"/>
  <c r="Z109" i="5"/>
  <c r="AE106" i="5"/>
  <c r="AF105" i="5"/>
  <c r="AF101" i="5"/>
  <c r="AE101" i="5"/>
  <c r="AD109" i="5"/>
  <c r="AC108" i="5"/>
  <c r="Y108" i="5"/>
  <c r="AA107" i="5"/>
  <c r="AD101" i="5"/>
  <c r="AA101" i="5"/>
  <c r="Z101" i="5"/>
  <c r="Y101" i="5"/>
  <c r="AC100" i="5"/>
  <c r="AC101" i="5" s="1"/>
  <c r="AB100" i="5"/>
  <c r="X100" i="5"/>
  <c r="W100" i="5"/>
  <c r="AB86" i="5"/>
  <c r="W76" i="5"/>
  <c r="X70" i="5"/>
  <c r="AB58" i="5"/>
  <c r="AB41" i="5"/>
  <c r="W41" i="5"/>
  <c r="W35" i="5"/>
  <c r="W34" i="5"/>
  <c r="W33" i="5"/>
  <c r="W31" i="5"/>
  <c r="W30" i="5"/>
  <c r="W29" i="5"/>
  <c r="W28" i="5"/>
  <c r="X24" i="5"/>
  <c r="W24" i="5"/>
  <c r="W15" i="5"/>
  <c r="W13" i="5"/>
  <c r="W11" i="5"/>
  <c r="W9" i="5"/>
  <c r="AB8" i="5"/>
  <c r="X8" i="5"/>
  <c r="X108" i="5" s="1"/>
  <c r="W8" i="5"/>
  <c r="W108" i="5" s="1"/>
  <c r="V101" i="5"/>
  <c r="U100" i="5"/>
  <c r="U79" i="5"/>
  <c r="U65" i="5"/>
  <c r="U62" i="5"/>
  <c r="U60" i="5"/>
  <c r="U51" i="5"/>
  <c r="U50" i="5"/>
  <c r="U49" i="5"/>
  <c r="U41" i="5"/>
  <c r="U38" i="5"/>
  <c r="U34" i="5"/>
  <c r="U33" i="5"/>
  <c r="U26" i="5"/>
  <c r="U24" i="5"/>
  <c r="U13" i="5"/>
  <c r="U11" i="5"/>
  <c r="U9" i="5"/>
  <c r="U8" i="5"/>
  <c r="GY12" i="5"/>
  <c r="HB12" i="5"/>
  <c r="GY10" i="5"/>
  <c r="HB10" i="5"/>
  <c r="T106" i="5"/>
  <c r="T101" i="5"/>
  <c r="S100" i="5"/>
  <c r="S86" i="5"/>
  <c r="S64" i="5"/>
  <c r="S60" i="5"/>
  <c r="S41" i="5"/>
  <c r="S35" i="5"/>
  <c r="S34" i="5"/>
  <c r="S33" i="5"/>
  <c r="S31" i="5"/>
  <c r="S30" i="5"/>
  <c r="S29" i="5"/>
  <c r="S28" i="5"/>
  <c r="S24" i="5"/>
  <c r="S15" i="5"/>
  <c r="S13" i="5"/>
  <c r="S11" i="5"/>
  <c r="S9" i="5"/>
  <c r="S8" i="5"/>
  <c r="R100" i="5"/>
  <c r="R86" i="5"/>
  <c r="R64" i="5"/>
  <c r="R60" i="5"/>
  <c r="R41" i="5"/>
  <c r="R35" i="5"/>
  <c r="R34" i="5"/>
  <c r="R33" i="5"/>
  <c r="R31" i="5"/>
  <c r="R30" i="5"/>
  <c r="R29" i="5"/>
  <c r="R28" i="5"/>
  <c r="R24" i="5"/>
  <c r="R15" i="5"/>
  <c r="R13" i="5"/>
  <c r="R11" i="5"/>
  <c r="R9" i="5"/>
  <c r="R8" i="5"/>
  <c r="R107" i="5" s="1"/>
  <c r="A46" i="6" l="1"/>
  <c r="AR101" i="5"/>
  <c r="AQ101" i="5"/>
  <c r="AP101" i="5"/>
  <c r="AP107" i="5"/>
  <c r="AQ108" i="5"/>
  <c r="BS12" i="5"/>
  <c r="AM101" i="5"/>
  <c r="AK101" i="5"/>
  <c r="BS10" i="5"/>
  <c r="AN101" i="5"/>
  <c r="AL101" i="5"/>
  <c r="AJ101" i="5"/>
  <c r="AB101" i="5"/>
  <c r="AB108" i="5"/>
  <c r="W101" i="5"/>
  <c r="X101" i="5"/>
  <c r="U101" i="5"/>
  <c r="U107" i="5"/>
  <c r="GW10" i="5"/>
  <c r="GX10" i="5" s="1"/>
  <c r="GW12" i="5"/>
  <c r="GX12" i="5" s="1"/>
  <c r="S101" i="5"/>
  <c r="S107" i="5"/>
  <c r="R101" i="5"/>
  <c r="GW47" i="5"/>
  <c r="GX47" i="5" s="1"/>
  <c r="GW57" i="5"/>
  <c r="GX57" i="5" s="1"/>
  <c r="GW58" i="5"/>
  <c r="GX58" i="5" s="1"/>
  <c r="GW48" i="5"/>
  <c r="GY71" i="5"/>
  <c r="GY65" i="5"/>
  <c r="GY64" i="5"/>
  <c r="GY49" i="5"/>
  <c r="GY42" i="5"/>
  <c r="GY30" i="5"/>
  <c r="GY28" i="5"/>
  <c r="GY26" i="5"/>
  <c r="GY22" i="5"/>
  <c r="O107" i="5"/>
  <c r="P106" i="5"/>
  <c r="BS106" i="5" s="1"/>
  <c r="P101" i="5"/>
  <c r="Q100" i="5"/>
  <c r="N100" i="5"/>
  <c r="Q86" i="5"/>
  <c r="N86" i="5"/>
  <c r="N79" i="5"/>
  <c r="N65" i="5"/>
  <c r="Q64" i="5"/>
  <c r="BS64" i="5" s="1"/>
  <c r="N62" i="5"/>
  <c r="Q60" i="5"/>
  <c r="BS60" i="5" s="1"/>
  <c r="N51" i="5"/>
  <c r="N50" i="5"/>
  <c r="BS50" i="5" s="1"/>
  <c r="N49" i="5"/>
  <c r="Q41" i="5"/>
  <c r="N38" i="5"/>
  <c r="BS38" i="5" s="1"/>
  <c r="Q35" i="5"/>
  <c r="O35" i="5"/>
  <c r="O101" i="5" s="1"/>
  <c r="Q34" i="5"/>
  <c r="N34" i="5"/>
  <c r="Q33" i="5"/>
  <c r="N33" i="5"/>
  <c r="Q31" i="5"/>
  <c r="BS31" i="5" s="1"/>
  <c r="Q30" i="5"/>
  <c r="BS30" i="5" s="1"/>
  <c r="Q29" i="5"/>
  <c r="BS29" i="5" s="1"/>
  <c r="Q28" i="5"/>
  <c r="BS28" i="5" s="1"/>
  <c r="N26" i="5"/>
  <c r="Q24" i="5"/>
  <c r="N24" i="5"/>
  <c r="Q15" i="5"/>
  <c r="BS15" i="5" s="1"/>
  <c r="Q13" i="5"/>
  <c r="N13" i="5"/>
  <c r="Q11" i="5"/>
  <c r="N11" i="5"/>
  <c r="Q9" i="5"/>
  <c r="N9" i="5"/>
  <c r="Q8" i="5"/>
  <c r="Q107" i="5" s="1"/>
  <c r="N8" i="5"/>
  <c r="N107" i="5" s="1"/>
  <c r="GY73" i="5"/>
  <c r="GY70" i="5"/>
  <c r="GY45" i="5"/>
  <c r="GY41" i="5"/>
  <c r="GY13" i="5"/>
  <c r="L108" i="5"/>
  <c r="M105" i="5"/>
  <c r="BS105" i="5" s="1"/>
  <c r="L101" i="5"/>
  <c r="M100" i="5"/>
  <c r="K100" i="5"/>
  <c r="K86" i="5"/>
  <c r="K79" i="5"/>
  <c r="K73" i="5"/>
  <c r="BS73" i="5" s="1"/>
  <c r="K65" i="5"/>
  <c r="K62" i="5"/>
  <c r="K51" i="5"/>
  <c r="K49" i="5"/>
  <c r="K47" i="5"/>
  <c r="BS47" i="5" s="1"/>
  <c r="K45" i="5"/>
  <c r="BS45" i="5" s="1"/>
  <c r="K42" i="5"/>
  <c r="BS42" i="5" s="1"/>
  <c r="K41" i="5"/>
  <c r="K26" i="5"/>
  <c r="K22" i="5"/>
  <c r="BS22" i="5" s="1"/>
  <c r="K13" i="5"/>
  <c r="K11" i="5"/>
  <c r="M9" i="5"/>
  <c r="K8" i="5"/>
  <c r="K108" i="5" s="1"/>
  <c r="GZ55" i="5"/>
  <c r="GZ70" i="5"/>
  <c r="GY90" i="5"/>
  <c r="GY57" i="5"/>
  <c r="GY55" i="5"/>
  <c r="GY9" i="5"/>
  <c r="GW61" i="5"/>
  <c r="GX61" i="5" s="1"/>
  <c r="GW17" i="5"/>
  <c r="GX17" i="5" s="1"/>
  <c r="GW16" i="5"/>
  <c r="GX16" i="5" s="1"/>
  <c r="J5" i="5"/>
  <c r="BS7" i="5" s="1"/>
  <c r="BT5" i="5"/>
  <c r="DT7" i="5" s="1"/>
  <c r="DU5" i="5"/>
  <c r="GA7" i="5" s="1"/>
  <c r="GY7" i="5"/>
  <c r="DT8" i="5"/>
  <c r="E8" i="5" s="1"/>
  <c r="GA8" i="5"/>
  <c r="F8" i="5" s="1"/>
  <c r="G9" i="5"/>
  <c r="C9" i="6" s="1"/>
  <c r="GJ9" i="6" s="1"/>
  <c r="DT9" i="5"/>
  <c r="GA9" i="5"/>
  <c r="A11" i="5"/>
  <c r="G11" i="5"/>
  <c r="C11" i="6" s="1"/>
  <c r="GJ11" i="6" s="1"/>
  <c r="GA11" i="5"/>
  <c r="GY11" i="5"/>
  <c r="G13" i="5"/>
  <c r="C13" i="6" s="1"/>
  <c r="GJ13" i="6" s="1"/>
  <c r="GA13" i="5"/>
  <c r="G14" i="5"/>
  <c r="C14" i="6" s="1"/>
  <c r="GJ14" i="6" s="1"/>
  <c r="BS14" i="5"/>
  <c r="DT14" i="5"/>
  <c r="GA14" i="5"/>
  <c r="GW14" i="5"/>
  <c r="GX14" i="5" s="1"/>
  <c r="GY14" i="5"/>
  <c r="G15" i="5"/>
  <c r="C15" i="6" s="1"/>
  <c r="GJ15" i="6" s="1"/>
  <c r="DT15" i="5"/>
  <c r="GA15" i="5"/>
  <c r="GY15" i="5"/>
  <c r="G16" i="5"/>
  <c r="C16" i="6" s="1"/>
  <c r="GJ16" i="6" s="1"/>
  <c r="BS16" i="5"/>
  <c r="DT16" i="5"/>
  <c r="GA16" i="5"/>
  <c r="GY16" i="5"/>
  <c r="G17" i="5"/>
  <c r="C17" i="6" s="1"/>
  <c r="GJ17" i="6" s="1"/>
  <c r="BS17" i="5"/>
  <c r="DT17" i="5"/>
  <c r="GA17" i="5"/>
  <c r="GY17" i="5"/>
  <c r="G18" i="5"/>
  <c r="C18" i="6" s="1"/>
  <c r="GJ18" i="6" s="1"/>
  <c r="BS18" i="5"/>
  <c r="DT18" i="5"/>
  <c r="GA18" i="5"/>
  <c r="GW18" i="5"/>
  <c r="G19" i="5"/>
  <c r="C19" i="6" s="1"/>
  <c r="GJ19" i="6" s="1"/>
  <c r="BS19" i="5"/>
  <c r="DT19" i="5"/>
  <c r="GA19" i="5"/>
  <c r="GW19" i="5"/>
  <c r="GX19" i="5" s="1"/>
  <c r="GY19" i="5"/>
  <c r="G20" i="5"/>
  <c r="C20" i="6" s="1"/>
  <c r="GJ20" i="6" s="1"/>
  <c r="BS20" i="5"/>
  <c r="DT20" i="5"/>
  <c r="GA20" i="5"/>
  <c r="GW20" i="5"/>
  <c r="GX20" i="5" s="1"/>
  <c r="GY20" i="5"/>
  <c r="G21" i="5"/>
  <c r="C21" i="6" s="1"/>
  <c r="GJ21" i="6" s="1"/>
  <c r="BS21" i="5"/>
  <c r="DT21" i="5"/>
  <c r="GA21" i="5"/>
  <c r="GW21" i="5"/>
  <c r="GX21" i="5" s="1"/>
  <c r="GY21" i="5"/>
  <c r="G22" i="5"/>
  <c r="C22" i="6" s="1"/>
  <c r="GJ22" i="6" s="1"/>
  <c r="DT22" i="5"/>
  <c r="GA22" i="5"/>
  <c r="G24" i="5"/>
  <c r="C24" i="6" s="1"/>
  <c r="GJ24" i="6" s="1"/>
  <c r="GY24" i="5"/>
  <c r="DT24" i="5"/>
  <c r="GA24" i="5"/>
  <c r="G25" i="5"/>
  <c r="C25" i="6" s="1"/>
  <c r="GJ25" i="6" s="1"/>
  <c r="BS25" i="5"/>
  <c r="DT25" i="5"/>
  <c r="GA25" i="5"/>
  <c r="GW25" i="5"/>
  <c r="GY25" i="5"/>
  <c r="G26" i="5"/>
  <c r="C26" i="6" s="1"/>
  <c r="GJ26" i="6" s="1"/>
  <c r="DT26" i="5"/>
  <c r="GA26" i="5"/>
  <c r="G28" i="5"/>
  <c r="C28" i="6" s="1"/>
  <c r="GJ28" i="6" s="1"/>
  <c r="DT28" i="5"/>
  <c r="GA28" i="5"/>
  <c r="G29" i="5"/>
  <c r="C29" i="6" s="1"/>
  <c r="GJ29" i="6" s="1"/>
  <c r="DT29" i="5"/>
  <c r="GA29" i="5"/>
  <c r="GY29" i="5"/>
  <c r="G30" i="5"/>
  <c r="C30" i="6" s="1"/>
  <c r="GJ30" i="6" s="1"/>
  <c r="DT30" i="5"/>
  <c r="GA30" i="5"/>
  <c r="G31" i="5"/>
  <c r="C31" i="6" s="1"/>
  <c r="GJ31" i="6" s="1"/>
  <c r="DT31" i="5"/>
  <c r="GA31" i="5"/>
  <c r="GY31" i="5"/>
  <c r="G32" i="5"/>
  <c r="C32" i="6" s="1"/>
  <c r="GJ32" i="6" s="1"/>
  <c r="BS32" i="5"/>
  <c r="DT32" i="5"/>
  <c r="GA32" i="5"/>
  <c r="GW32" i="5"/>
  <c r="GX32" i="5" s="1"/>
  <c r="GY32" i="5"/>
  <c r="G33" i="5"/>
  <c r="C33" i="6" s="1"/>
  <c r="GJ33" i="6" s="1"/>
  <c r="DT33" i="5"/>
  <c r="GA33" i="5"/>
  <c r="G34" i="5"/>
  <c r="C34" i="6" s="1"/>
  <c r="GJ34" i="6" s="1"/>
  <c r="DT34" i="5"/>
  <c r="GA34" i="5"/>
  <c r="GY34" i="5"/>
  <c r="G35" i="5"/>
  <c r="C35" i="6" s="1"/>
  <c r="GJ35" i="6" s="1"/>
  <c r="GY35" i="5"/>
  <c r="DT35" i="5"/>
  <c r="GA35" i="5"/>
  <c r="G36" i="5"/>
  <c r="C36" i="6" s="1"/>
  <c r="GJ36" i="6" s="1"/>
  <c r="BS36" i="5"/>
  <c r="DT36" i="5"/>
  <c r="GA36" i="5"/>
  <c r="GW36" i="5"/>
  <c r="GX36" i="5" s="1"/>
  <c r="GY36" i="5"/>
  <c r="G38" i="5"/>
  <c r="C38" i="6" s="1"/>
  <c r="GJ38" i="6" s="1"/>
  <c r="DT38" i="5"/>
  <c r="GA38" i="5"/>
  <c r="GY38" i="5"/>
  <c r="G39" i="5"/>
  <c r="C39" i="6" s="1"/>
  <c r="GJ39" i="6" s="1"/>
  <c r="BS39" i="5"/>
  <c r="DT39" i="5"/>
  <c r="GA39" i="5"/>
  <c r="GW39" i="5"/>
  <c r="GX39" i="5" s="1"/>
  <c r="GY39" i="5"/>
  <c r="G40" i="5"/>
  <c r="C40" i="6" s="1"/>
  <c r="GJ40" i="6" s="1"/>
  <c r="BS40" i="5"/>
  <c r="DT40" i="5"/>
  <c r="GA40" i="5"/>
  <c r="GW40" i="5"/>
  <c r="GX40" i="5" s="1"/>
  <c r="GY40" i="5"/>
  <c r="G41" i="5"/>
  <c r="C41" i="6" s="1"/>
  <c r="GJ41" i="6" s="1"/>
  <c r="DT41" i="5"/>
  <c r="GA41" i="5"/>
  <c r="G42" i="5"/>
  <c r="C42" i="6" s="1"/>
  <c r="GJ42" i="6" s="1"/>
  <c r="DT42" i="5"/>
  <c r="GA42" i="5"/>
  <c r="G43" i="5"/>
  <c r="C43" i="6" s="1"/>
  <c r="GJ43" i="6" s="1"/>
  <c r="BS43" i="5"/>
  <c r="DT43" i="5"/>
  <c r="GA43" i="5"/>
  <c r="GW43" i="5"/>
  <c r="GX43" i="5" s="1"/>
  <c r="GY43" i="5"/>
  <c r="G45" i="5"/>
  <c r="C45" i="6" s="1"/>
  <c r="GJ45" i="6" s="1"/>
  <c r="DT45" i="5"/>
  <c r="GA45" i="5"/>
  <c r="G46" i="5"/>
  <c r="C46" i="6" s="1"/>
  <c r="GJ46" i="6" s="1"/>
  <c r="BS46" i="5"/>
  <c r="DT46" i="5"/>
  <c r="GA46" i="5"/>
  <c r="GW46" i="5"/>
  <c r="GX46" i="5" s="1"/>
  <c r="GY46" i="5"/>
  <c r="G47" i="5"/>
  <c r="C47" i="6" s="1"/>
  <c r="GJ47" i="6" s="1"/>
  <c r="DT47" i="5"/>
  <c r="GA47" i="5"/>
  <c r="GY47" i="5"/>
  <c r="G48" i="5"/>
  <c r="C48" i="6" s="1"/>
  <c r="GJ48" i="6" s="1"/>
  <c r="BS48" i="5"/>
  <c r="DT48" i="5"/>
  <c r="GA48" i="5"/>
  <c r="GY48" i="5"/>
  <c r="G49" i="5"/>
  <c r="C49" i="6" s="1"/>
  <c r="GJ49" i="6" s="1"/>
  <c r="DT49" i="5"/>
  <c r="GA49" i="5"/>
  <c r="G50" i="5"/>
  <c r="C50" i="6" s="1"/>
  <c r="GJ50" i="6" s="1"/>
  <c r="DT50" i="5"/>
  <c r="GA50" i="5"/>
  <c r="G51" i="5"/>
  <c r="C51" i="6" s="1"/>
  <c r="GJ51" i="6" s="1"/>
  <c r="DT51" i="5"/>
  <c r="GA51" i="5"/>
  <c r="G52" i="5"/>
  <c r="C52" i="6" s="1"/>
  <c r="GJ52" i="6" s="1"/>
  <c r="BS52" i="5"/>
  <c r="DT52" i="5"/>
  <c r="GA52" i="5"/>
  <c r="GW52" i="5"/>
  <c r="GX52" i="5" s="1"/>
  <c r="GY52" i="5"/>
  <c r="G53" i="5"/>
  <c r="C53" i="6" s="1"/>
  <c r="GJ53" i="6" s="1"/>
  <c r="BS53" i="5"/>
  <c r="DT53" i="5"/>
  <c r="GA53" i="5"/>
  <c r="GW53" i="5"/>
  <c r="GX53" i="5" s="1"/>
  <c r="GY53" i="5"/>
  <c r="G54" i="5"/>
  <c r="C54" i="6" s="1"/>
  <c r="GJ54" i="6" s="1"/>
  <c r="BS54" i="5"/>
  <c r="DT54" i="5"/>
  <c r="GA54" i="5"/>
  <c r="GW54" i="5"/>
  <c r="GX54" i="5" s="1"/>
  <c r="GY54" i="5"/>
  <c r="C55" i="5"/>
  <c r="BS55" i="5"/>
  <c r="GA55" i="5"/>
  <c r="GW55" i="5"/>
  <c r="GX55" i="5" s="1"/>
  <c r="G56" i="5"/>
  <c r="C56" i="6" s="1"/>
  <c r="GJ56" i="6" s="1"/>
  <c r="BS56" i="5"/>
  <c r="DT56" i="5"/>
  <c r="GA56" i="5"/>
  <c r="GW56" i="5"/>
  <c r="GX56" i="5" s="1"/>
  <c r="GY56" i="5"/>
  <c r="G57" i="5"/>
  <c r="C57" i="6" s="1"/>
  <c r="GJ57" i="6" s="1"/>
  <c r="BS57" i="5"/>
  <c r="DT57" i="5"/>
  <c r="GA57" i="5"/>
  <c r="G58" i="5"/>
  <c r="C58" i="6" s="1"/>
  <c r="GJ58" i="6" s="1"/>
  <c r="BS58" i="5"/>
  <c r="GA58" i="5"/>
  <c r="GY58" i="5"/>
  <c r="G59" i="5"/>
  <c r="C59" i="6" s="1"/>
  <c r="GJ59" i="6" s="1"/>
  <c r="BS59" i="5"/>
  <c r="DT59" i="5"/>
  <c r="GA59" i="5"/>
  <c r="GW59" i="5"/>
  <c r="GX59" i="5" s="1"/>
  <c r="GY59" i="5"/>
  <c r="G60" i="5"/>
  <c r="C60" i="6" s="1"/>
  <c r="GJ60" i="6" s="1"/>
  <c r="DT60" i="5"/>
  <c r="GA60" i="5"/>
  <c r="GY60" i="5"/>
  <c r="G62" i="5"/>
  <c r="C62" i="6" s="1"/>
  <c r="GJ62" i="6" s="1"/>
  <c r="DT62" i="5"/>
  <c r="GA62" i="5"/>
  <c r="GY62" i="5"/>
  <c r="G63" i="5"/>
  <c r="C64" i="6" s="1"/>
  <c r="GJ64" i="6" s="1"/>
  <c r="GW63" i="5"/>
  <c r="GX63" i="5" s="1"/>
  <c r="G64" i="5"/>
  <c r="C65" i="6" s="1"/>
  <c r="GJ65" i="6" s="1"/>
  <c r="GA64" i="5"/>
  <c r="G65" i="5"/>
  <c r="C66" i="6" s="1"/>
  <c r="GJ66" i="6" s="1"/>
  <c r="DT65" i="5"/>
  <c r="GA65" i="5"/>
  <c r="G66" i="5"/>
  <c r="C67" i="6" s="1"/>
  <c r="GJ67" i="6" s="1"/>
  <c r="BS66" i="5"/>
  <c r="DT66" i="5"/>
  <c r="GA66" i="5"/>
  <c r="GW66" i="5"/>
  <c r="GX66" i="5" s="1"/>
  <c r="GY66" i="5"/>
  <c r="G67" i="5"/>
  <c r="C68" i="6" s="1"/>
  <c r="GJ68" i="6" s="1"/>
  <c r="BS67" i="5"/>
  <c r="DT67" i="5"/>
  <c r="GA67" i="5"/>
  <c r="GW67" i="5"/>
  <c r="GX67" i="5" s="1"/>
  <c r="GY67" i="5"/>
  <c r="G69" i="5"/>
  <c r="C70" i="6" s="1"/>
  <c r="GJ70" i="6" s="1"/>
  <c r="BS69" i="5"/>
  <c r="DT69" i="5"/>
  <c r="GA69" i="5"/>
  <c r="GY69" i="5"/>
  <c r="C70" i="5"/>
  <c r="BS70" i="5"/>
  <c r="GA70" i="5"/>
  <c r="GW70" i="5"/>
  <c r="GX70" i="5" s="1"/>
  <c r="G71" i="5"/>
  <c r="C72" i="6" s="1"/>
  <c r="GJ72" i="6" s="1"/>
  <c r="BS71" i="5"/>
  <c r="DT71" i="5"/>
  <c r="GA71" i="5"/>
  <c r="G73" i="5"/>
  <c r="C74" i="6" s="1"/>
  <c r="GJ74" i="6" s="1"/>
  <c r="DT73" i="5"/>
  <c r="GA73" i="5"/>
  <c r="G74" i="5"/>
  <c r="C75" i="6" s="1"/>
  <c r="GJ75" i="6" s="1"/>
  <c r="BS74" i="5"/>
  <c r="DT74" i="5"/>
  <c r="GA74" i="5"/>
  <c r="GW74" i="5"/>
  <c r="GX74" i="5" s="1"/>
  <c r="GY74" i="5"/>
  <c r="G75" i="5"/>
  <c r="C76" i="6" s="1"/>
  <c r="GJ76" i="6" s="1"/>
  <c r="BS75" i="5"/>
  <c r="DT75" i="5"/>
  <c r="GA75" i="5"/>
  <c r="GW75" i="5"/>
  <c r="GX75" i="5" s="1"/>
  <c r="GY75" i="5"/>
  <c r="G61" i="5"/>
  <c r="C61" i="6" s="1"/>
  <c r="GJ61" i="6" s="1"/>
  <c r="GY61" i="5"/>
  <c r="BS61" i="5"/>
  <c r="DT61" i="5"/>
  <c r="GA61" i="5"/>
  <c r="G76" i="5"/>
  <c r="C77" i="6" s="1"/>
  <c r="GJ77" i="6" s="1"/>
  <c r="BS76" i="5"/>
  <c r="DT76" i="5"/>
  <c r="GA76" i="5"/>
  <c r="G77" i="5"/>
  <c r="C78" i="6" s="1"/>
  <c r="GJ78" i="6" s="1"/>
  <c r="BS77" i="5"/>
  <c r="DT77" i="5"/>
  <c r="GA77" i="5"/>
  <c r="GW77" i="5"/>
  <c r="GX77" i="5" s="1"/>
  <c r="GY77" i="5"/>
  <c r="G78" i="5"/>
  <c r="C79" i="6" s="1"/>
  <c r="GJ79" i="6" s="1"/>
  <c r="BS78" i="5"/>
  <c r="DT78" i="5"/>
  <c r="GA78" i="5"/>
  <c r="GW78" i="5"/>
  <c r="GX78" i="5" s="1"/>
  <c r="GY78" i="5"/>
  <c r="G79" i="5"/>
  <c r="C80" i="6" s="1"/>
  <c r="GJ80" i="6" s="1"/>
  <c r="DT79" i="5"/>
  <c r="GA79" i="5"/>
  <c r="GY79" i="5"/>
  <c r="G80" i="5"/>
  <c r="C81" i="6" s="1"/>
  <c r="GJ81" i="6" s="1"/>
  <c r="BS80" i="5"/>
  <c r="DT80" i="5"/>
  <c r="GA80" i="5"/>
  <c r="GW80" i="5"/>
  <c r="GX80" i="5" s="1"/>
  <c r="GY80" i="5"/>
  <c r="G81" i="5"/>
  <c r="C82" i="6" s="1"/>
  <c r="GJ82" i="6" s="1"/>
  <c r="BS81" i="5"/>
  <c r="DT81" i="5"/>
  <c r="GA81" i="5"/>
  <c r="GY81" i="5"/>
  <c r="G82" i="5"/>
  <c r="C83" i="6" s="1"/>
  <c r="GJ83" i="6" s="1"/>
  <c r="BS82" i="5"/>
  <c r="DT82" i="5"/>
  <c r="GA82" i="5"/>
  <c r="GW82" i="5"/>
  <c r="GX82" i="5" s="1"/>
  <c r="GY82" i="5"/>
  <c r="G85" i="5"/>
  <c r="C87" i="6" s="1"/>
  <c r="GJ87" i="6" s="1"/>
  <c r="BS85" i="5"/>
  <c r="DT85" i="5"/>
  <c r="GA85" i="5"/>
  <c r="GW85" i="5"/>
  <c r="GX85" i="5" s="1"/>
  <c r="GY85" i="5"/>
  <c r="G86" i="5"/>
  <c r="C88" i="6" s="1"/>
  <c r="GJ88" i="6" s="1"/>
  <c r="DT86" i="5"/>
  <c r="GA86" i="5"/>
  <c r="GY86" i="5"/>
  <c r="G89" i="5"/>
  <c r="C91" i="6" s="1"/>
  <c r="GJ91" i="6" s="1"/>
  <c r="BS89" i="5"/>
  <c r="DT89" i="5"/>
  <c r="GA89" i="5"/>
  <c r="GW89" i="5"/>
  <c r="GX89" i="5" s="1"/>
  <c r="GY89" i="5"/>
  <c r="G90" i="5"/>
  <c r="C92" i="6" s="1"/>
  <c r="GJ92" i="6" s="1"/>
  <c r="BS90" i="5"/>
  <c r="DT90" i="5"/>
  <c r="GA90" i="5"/>
  <c r="GW90" i="5"/>
  <c r="GX90" i="5" s="1"/>
  <c r="G91" i="5"/>
  <c r="C93" i="6" s="1"/>
  <c r="GJ93" i="6" s="1"/>
  <c r="BS91" i="5"/>
  <c r="DT91" i="5"/>
  <c r="GA91" i="5"/>
  <c r="GW91" i="5"/>
  <c r="GX91" i="5" s="1"/>
  <c r="GY91" i="5"/>
  <c r="G93" i="5"/>
  <c r="C95" i="6" s="1"/>
  <c r="GJ95" i="6" s="1"/>
  <c r="BS93" i="5"/>
  <c r="DT93" i="5"/>
  <c r="GA93" i="5"/>
  <c r="GY93" i="5"/>
  <c r="G94" i="5"/>
  <c r="C96" i="6" s="1"/>
  <c r="GJ96" i="6" s="1"/>
  <c r="BS94" i="5"/>
  <c r="DT94" i="5"/>
  <c r="GA94" i="5"/>
  <c r="GW94" i="5"/>
  <c r="GX94" i="5" s="1"/>
  <c r="GY94" i="5"/>
  <c r="G97" i="5"/>
  <c r="C102" i="6" s="1"/>
  <c r="GJ102" i="6" s="1"/>
  <c r="BS97" i="5"/>
  <c r="DT97" i="5"/>
  <c r="GA97" i="5"/>
  <c r="GW97" i="5"/>
  <c r="GX97" i="5" s="1"/>
  <c r="GY97" i="5"/>
  <c r="C104" i="5"/>
  <c r="D104" i="5"/>
  <c r="E104" i="5"/>
  <c r="F104" i="5"/>
  <c r="G104" i="5"/>
  <c r="GZ104" i="5"/>
  <c r="G105" i="5"/>
  <c r="C110" i="6" s="1"/>
  <c r="GJ110" i="6" s="1"/>
  <c r="DT105" i="5"/>
  <c r="GA105" i="5"/>
  <c r="GY105" i="5"/>
  <c r="G106" i="5"/>
  <c r="C111" i="6" s="1"/>
  <c r="GJ111" i="6" s="1"/>
  <c r="DT106" i="5"/>
  <c r="GA106" i="5"/>
  <c r="GY106" i="5"/>
  <c r="G107" i="5"/>
  <c r="C112" i="6" s="1"/>
  <c r="GJ112" i="6" s="1"/>
  <c r="GY107" i="5"/>
  <c r="DT107" i="5"/>
  <c r="GA107" i="5"/>
  <c r="HA107" i="5"/>
  <c r="G108" i="5"/>
  <c r="C113" i="6" s="1"/>
  <c r="GJ113" i="6" s="1"/>
  <c r="GY108" i="5"/>
  <c r="DT108" i="5"/>
  <c r="GA108" i="5"/>
  <c r="HA108" i="5"/>
  <c r="G109" i="5"/>
  <c r="C114" i="6" s="1"/>
  <c r="GJ114" i="6" s="1"/>
  <c r="BS109" i="5"/>
  <c r="GA109" i="5"/>
  <c r="GY109" i="5"/>
  <c r="GZ109" i="5"/>
  <c r="HA109" i="5"/>
  <c r="D110" i="5"/>
  <c r="E110" i="5"/>
  <c r="GW111" i="5"/>
  <c r="GW112" i="5"/>
  <c r="F94" i="4"/>
  <c r="HB97" i="5"/>
  <c r="HB94" i="5"/>
  <c r="HB93" i="5"/>
  <c r="HB91" i="5"/>
  <c r="HB90" i="5"/>
  <c r="HB89" i="5"/>
  <c r="HB86" i="5"/>
  <c r="HB85" i="5"/>
  <c r="HB82" i="5"/>
  <c r="HB81" i="5"/>
  <c r="HB80" i="5"/>
  <c r="HB79" i="5"/>
  <c r="HB78" i="5"/>
  <c r="HB77" i="5"/>
  <c r="HB76" i="5"/>
  <c r="HB61" i="5"/>
  <c r="HB75" i="5"/>
  <c r="HB74" i="5"/>
  <c r="HB73" i="5"/>
  <c r="HB71" i="5"/>
  <c r="HB70" i="5"/>
  <c r="HB69" i="5"/>
  <c r="HB67" i="5"/>
  <c r="HB66" i="5"/>
  <c r="HB65" i="5"/>
  <c r="HB64" i="5"/>
  <c r="HB63" i="5"/>
  <c r="HB62" i="5"/>
  <c r="HB60" i="5"/>
  <c r="HB59" i="5"/>
  <c r="HB58" i="5"/>
  <c r="HB57" i="5"/>
  <c r="HB56" i="5"/>
  <c r="HB55" i="5"/>
  <c r="HB54" i="5"/>
  <c r="HB53" i="5"/>
  <c r="HB52" i="5"/>
  <c r="HB51" i="5"/>
  <c r="HB50" i="5"/>
  <c r="HB49" i="5"/>
  <c r="HB48" i="5"/>
  <c r="HB47" i="5"/>
  <c r="HB46" i="5"/>
  <c r="HB45" i="5"/>
  <c r="HB43" i="5"/>
  <c r="HB42" i="5"/>
  <c r="HB41" i="5"/>
  <c r="HB40" i="5"/>
  <c r="HB39" i="5"/>
  <c r="HB38" i="5"/>
  <c r="HB36" i="5"/>
  <c r="HB35" i="5"/>
  <c r="HB34" i="5"/>
  <c r="HB33" i="5"/>
  <c r="HB32" i="5"/>
  <c r="HB31" i="5"/>
  <c r="HB30" i="5"/>
  <c r="HB29" i="5"/>
  <c r="HB28" i="5"/>
  <c r="HB26" i="5"/>
  <c r="HB25" i="5"/>
  <c r="HB24" i="5"/>
  <c r="HB22" i="5"/>
  <c r="HB21" i="5"/>
  <c r="HB20" i="5"/>
  <c r="HB19" i="5"/>
  <c r="HB18" i="5"/>
  <c r="HB17" i="5"/>
  <c r="HB16" i="5"/>
  <c r="HB15" i="5"/>
  <c r="HB14" i="5"/>
  <c r="HB13" i="5"/>
  <c r="HB11" i="5"/>
  <c r="HB9" i="5"/>
  <c r="HC109" i="5" l="1"/>
  <c r="GM114" i="6"/>
  <c r="A47" i="6"/>
  <c r="G98" i="5"/>
  <c r="A13" i="5"/>
  <c r="GX25" i="5"/>
  <c r="GX48" i="5"/>
  <c r="BS24" i="5"/>
  <c r="BS33" i="5"/>
  <c r="GW109" i="5"/>
  <c r="GX109" i="5" s="1"/>
  <c r="BS11" i="5"/>
  <c r="GW108" i="5"/>
  <c r="GX108" i="5" s="1"/>
  <c r="BS62" i="5"/>
  <c r="BS107" i="5"/>
  <c r="BS65" i="5"/>
  <c r="BS34" i="5"/>
  <c r="BS86" i="5"/>
  <c r="BS35" i="5"/>
  <c r="BS51" i="5"/>
  <c r="BS9" i="5"/>
  <c r="BS26" i="5"/>
  <c r="Q101" i="5"/>
  <c r="N101" i="5"/>
  <c r="BS13" i="5"/>
  <c r="BS41" i="5"/>
  <c r="BS49" i="5"/>
  <c r="BS79" i="5"/>
  <c r="BS8" i="5"/>
  <c r="D8" i="5" s="1"/>
  <c r="GW93" i="5"/>
  <c r="GX93" i="5" s="1"/>
  <c r="GW41" i="5"/>
  <c r="GW71" i="5"/>
  <c r="GX71" i="5" s="1"/>
  <c r="GW81" i="5"/>
  <c r="H98" i="5"/>
  <c r="BS108" i="5"/>
  <c r="GW9" i="5"/>
  <c r="GX9" i="5" s="1"/>
  <c r="GW26" i="5"/>
  <c r="GX26" i="5" s="1"/>
  <c r="GW28" i="5"/>
  <c r="GX28" i="5" s="1"/>
  <c r="GW50" i="5"/>
  <c r="GX50" i="5" s="1"/>
  <c r="GW35" i="5"/>
  <c r="GW69" i="5"/>
  <c r="M101" i="5"/>
  <c r="GW86" i="5"/>
  <c r="K101" i="5"/>
  <c r="HA98" i="5"/>
  <c r="GW64" i="5"/>
  <c r="GX64" i="5" s="1"/>
  <c r="GW79" i="5"/>
  <c r="GX79" i="5" s="1"/>
  <c r="GW60" i="5"/>
  <c r="GX60" i="5" s="1"/>
  <c r="GW29" i="5"/>
  <c r="GX29" i="5" s="1"/>
  <c r="GW15" i="5"/>
  <c r="GX15" i="5" s="1"/>
  <c r="GW13" i="5"/>
  <c r="GW33" i="5"/>
  <c r="GW62" i="5"/>
  <c r="GX62" i="5" s="1"/>
  <c r="GW31" i="5"/>
  <c r="GW65" i="5"/>
  <c r="GX65" i="5" s="1"/>
  <c r="GW49" i="5"/>
  <c r="GX49" i="5" s="1"/>
  <c r="GW34" i="5"/>
  <c r="GW42" i="5"/>
  <c r="GX42" i="5" s="1"/>
  <c r="GY110" i="5"/>
  <c r="GW51" i="5"/>
  <c r="GX51" i="5" s="1"/>
  <c r="GW30" i="5"/>
  <c r="GW76" i="5"/>
  <c r="GX76" i="5" s="1"/>
  <c r="GW11" i="5"/>
  <c r="GX11" i="5" s="1"/>
  <c r="GW22" i="5"/>
  <c r="GW73" i="5"/>
  <c r="GX73" i="5" s="1"/>
  <c r="I23" i="5"/>
  <c r="GW105" i="5"/>
  <c r="GX105" i="5" s="1"/>
  <c r="GW106" i="5"/>
  <c r="GX106" i="5" s="1"/>
  <c r="GX18" i="5"/>
  <c r="GW8" i="5"/>
  <c r="GW38" i="5"/>
  <c r="GX38" i="5" s="1"/>
  <c r="GW45" i="5"/>
  <c r="I98" i="5"/>
  <c r="GY51" i="5"/>
  <c r="GY33" i="5"/>
  <c r="GW24" i="5"/>
  <c r="GX24" i="5" s="1"/>
  <c r="GY18" i="5"/>
  <c r="GY76" i="5"/>
  <c r="GY50" i="5"/>
  <c r="N72" i="2"/>
  <c r="O72" i="2"/>
  <c r="E94" i="4"/>
  <c r="G93" i="4"/>
  <c r="C109" i="5" s="1"/>
  <c r="D94" i="4"/>
  <c r="G92" i="4"/>
  <c r="C108" i="5" s="1"/>
  <c r="A48" i="6" l="1"/>
  <c r="GX81" i="5"/>
  <c r="GX30" i="5"/>
  <c r="GX41" i="5"/>
  <c r="A14" i="5"/>
  <c r="GX45" i="5"/>
  <c r="GX34" i="5"/>
  <c r="GX35" i="5"/>
  <c r="GX33" i="5"/>
  <c r="GX69" i="5"/>
  <c r="GX22" i="5"/>
  <c r="GX13" i="5"/>
  <c r="GX31" i="5"/>
  <c r="GX86" i="5"/>
  <c r="GW107" i="5"/>
  <c r="GX107" i="5" s="1"/>
  <c r="GY98" i="5"/>
  <c r="GW98" i="5"/>
  <c r="GA93" i="4"/>
  <c r="I93" i="4" s="1"/>
  <c r="O56" i="2"/>
  <c r="N56" i="2"/>
  <c r="GO93" i="4" l="1"/>
  <c r="Z9" i="10"/>
  <c r="AC9" i="10" s="1"/>
  <c r="AD9" i="10" s="1"/>
  <c r="A49" i="6"/>
  <c r="A15" i="5"/>
  <c r="GX110" i="5"/>
  <c r="GX98" i="5"/>
  <c r="GA81" i="4"/>
  <c r="GA82" i="4"/>
  <c r="G81" i="4"/>
  <c r="CA81" i="4"/>
  <c r="DU81" i="4"/>
  <c r="E77" i="2" s="1"/>
  <c r="GO81" i="4"/>
  <c r="GP81" i="4" s="1"/>
  <c r="GQ81" i="4"/>
  <c r="GT81" i="4"/>
  <c r="GP93" i="4" l="1"/>
  <c r="C96" i="5"/>
  <c r="C95" i="5"/>
  <c r="A50" i="6"/>
  <c r="A16" i="5"/>
  <c r="C94" i="5"/>
  <c r="GZ94" i="5"/>
  <c r="A51" i="6" l="1"/>
  <c r="A17" i="5"/>
  <c r="GA48" i="4"/>
  <c r="A52" i="6" l="1"/>
  <c r="A18" i="5"/>
  <c r="GO48" i="4"/>
  <c r="GP48" i="4" s="1"/>
  <c r="G44" i="2" s="1"/>
  <c r="GQ48" i="4"/>
  <c r="GT48" i="4"/>
  <c r="G51" i="4"/>
  <c r="GA51" i="4"/>
  <c r="GO51" i="4"/>
  <c r="GP51" i="4" s="1"/>
  <c r="G47" i="2" s="1"/>
  <c r="GQ51" i="4"/>
  <c r="GT51" i="4"/>
  <c r="GA66" i="4"/>
  <c r="GA63" i="4"/>
  <c r="GA41" i="4"/>
  <c r="GA52" i="4"/>
  <c r="A53" i="6" l="1"/>
  <c r="A19" i="5"/>
  <c r="C58" i="5"/>
  <c r="GZ58" i="5"/>
  <c r="GA28" i="4"/>
  <c r="GA73" i="4"/>
  <c r="GA53" i="4"/>
  <c r="GA8" i="4"/>
  <c r="F8" i="4" s="1"/>
  <c r="A54" i="6" l="1"/>
  <c r="A20" i="5"/>
  <c r="A55" i="6" l="1"/>
  <c r="A21" i="5"/>
  <c r="GQ54" i="4"/>
  <c r="GQ50" i="4"/>
  <c r="GQ44" i="4"/>
  <c r="GQ42" i="4"/>
  <c r="GQ21" i="4"/>
  <c r="GQ9" i="4"/>
  <c r="GO69" i="4"/>
  <c r="GP69" i="4" s="1"/>
  <c r="G65" i="2" s="1"/>
  <c r="GO76" i="4"/>
  <c r="GP76" i="4" s="1"/>
  <c r="G72" i="2" s="1"/>
  <c r="GO30" i="4"/>
  <c r="GP30" i="4" s="1"/>
  <c r="G27" i="2" s="1"/>
  <c r="GO24" i="4"/>
  <c r="GP24" i="4" s="1"/>
  <c r="GO60" i="4"/>
  <c r="GO55" i="4"/>
  <c r="GO50" i="4"/>
  <c r="GO38" i="4"/>
  <c r="GP38" i="4" s="1"/>
  <c r="G34" i="2" s="1"/>
  <c r="GO73" i="4"/>
  <c r="GP73" i="4" s="1"/>
  <c r="G69" i="2" s="1"/>
  <c r="GO78" i="4"/>
  <c r="GO26" i="4"/>
  <c r="GO66" i="4"/>
  <c r="GP66" i="4" s="1"/>
  <c r="G62" i="2" s="1"/>
  <c r="GO21" i="4"/>
  <c r="GP21" i="4" s="1"/>
  <c r="G18" i="2" s="1"/>
  <c r="GQ67" i="4"/>
  <c r="GQ56" i="4"/>
  <c r="GT9" i="4"/>
  <c r="GT10" i="4"/>
  <c r="GQ11" i="4"/>
  <c r="GT11" i="4"/>
  <c r="GQ12" i="4"/>
  <c r="GT12" i="4"/>
  <c r="GQ13" i="4"/>
  <c r="GT13" i="4"/>
  <c r="GO14" i="4"/>
  <c r="GP14" i="4" s="1"/>
  <c r="G11" i="2" s="1"/>
  <c r="GQ14" i="4"/>
  <c r="GT14" i="4"/>
  <c r="GO15" i="4"/>
  <c r="GP15" i="4" s="1"/>
  <c r="G12" i="2" s="1"/>
  <c r="GQ15" i="4"/>
  <c r="GT15" i="4"/>
  <c r="GO16" i="4"/>
  <c r="GP16" i="4" s="1"/>
  <c r="G13" i="2" s="1"/>
  <c r="GQ16" i="4"/>
  <c r="GT16" i="4"/>
  <c r="GO17" i="4"/>
  <c r="GQ17" i="4"/>
  <c r="GT17" i="4"/>
  <c r="GQ19" i="4"/>
  <c r="GT19" i="4"/>
  <c r="GQ20" i="4"/>
  <c r="GT20" i="4"/>
  <c r="GT21" i="4"/>
  <c r="GT22" i="4"/>
  <c r="GQ23" i="4"/>
  <c r="GT23" i="4"/>
  <c r="GQ24" i="4"/>
  <c r="GT24" i="4"/>
  <c r="GQ25" i="4"/>
  <c r="GT25" i="4"/>
  <c r="GQ26" i="4"/>
  <c r="GT26" i="4"/>
  <c r="GO27" i="4"/>
  <c r="GQ27" i="4"/>
  <c r="GT27" i="4"/>
  <c r="GQ28" i="4"/>
  <c r="GT28" i="4"/>
  <c r="GQ29" i="4"/>
  <c r="GT29" i="4"/>
  <c r="GQ30" i="4"/>
  <c r="GT30" i="4"/>
  <c r="GO31" i="4"/>
  <c r="GP31" i="4" s="1"/>
  <c r="G28" i="2" s="1"/>
  <c r="GQ31" i="4"/>
  <c r="GT31" i="4"/>
  <c r="GO32" i="4"/>
  <c r="GQ32" i="4"/>
  <c r="GT32" i="4"/>
  <c r="GO33" i="4"/>
  <c r="GP33" i="4" s="1"/>
  <c r="G30" i="2" s="1"/>
  <c r="GQ33" i="4"/>
  <c r="GT33" i="4"/>
  <c r="GO34" i="4"/>
  <c r="GP34" i="4" s="1"/>
  <c r="GQ34" i="4"/>
  <c r="GT34" i="4"/>
  <c r="GQ36" i="4"/>
  <c r="GT36" i="4"/>
  <c r="GT38" i="4"/>
  <c r="GO39" i="4"/>
  <c r="GP39" i="4" s="1"/>
  <c r="G35" i="2" s="1"/>
  <c r="GQ39" i="4"/>
  <c r="GT39" i="4"/>
  <c r="GT40" i="4"/>
  <c r="GO41" i="4"/>
  <c r="GP41" i="4" s="1"/>
  <c r="G37" i="2" s="1"/>
  <c r="GT41" i="4"/>
  <c r="GT42" i="4"/>
  <c r="GT43" i="4"/>
  <c r="GT44" i="4"/>
  <c r="GO45" i="4"/>
  <c r="GP45" i="4" s="1"/>
  <c r="G41" i="2" s="1"/>
  <c r="GQ45" i="4"/>
  <c r="GT45" i="4"/>
  <c r="GO46" i="4"/>
  <c r="GQ46" i="4"/>
  <c r="GT46" i="4"/>
  <c r="GO47" i="4"/>
  <c r="GQ47" i="4"/>
  <c r="GT47" i="4"/>
  <c r="GO49" i="4"/>
  <c r="GQ49" i="4"/>
  <c r="GT49" i="4"/>
  <c r="GT50" i="4"/>
  <c r="GQ53" i="4"/>
  <c r="GT53" i="4"/>
  <c r="GT54" i="4"/>
  <c r="GT55" i="4"/>
  <c r="GT56" i="4"/>
  <c r="GT57" i="4"/>
  <c r="GO58" i="4"/>
  <c r="GP58" i="4" s="1"/>
  <c r="GQ58" i="4"/>
  <c r="GT58" i="4"/>
  <c r="GQ60" i="4"/>
  <c r="GT60" i="4"/>
  <c r="GO61" i="4"/>
  <c r="GQ61" i="4"/>
  <c r="GT61" i="4"/>
  <c r="GO62" i="4"/>
  <c r="GQ62" i="4"/>
  <c r="GT62" i="4"/>
  <c r="GO63" i="4"/>
  <c r="GP63" i="4" s="1"/>
  <c r="G59" i="2" s="1"/>
  <c r="GQ63" i="4"/>
  <c r="GT63" i="4"/>
  <c r="GO52" i="4"/>
  <c r="GP52" i="4" s="1"/>
  <c r="G48" i="2" s="1"/>
  <c r="GT52" i="4"/>
  <c r="GT64" i="4"/>
  <c r="GO65" i="4"/>
  <c r="GQ65" i="4"/>
  <c r="GT65" i="4"/>
  <c r="GT66" i="4"/>
  <c r="GT67" i="4"/>
  <c r="GO68" i="4"/>
  <c r="GP68" i="4" s="1"/>
  <c r="G64" i="2" s="1"/>
  <c r="GQ68" i="4"/>
  <c r="GT68" i="4"/>
  <c r="GQ69" i="4"/>
  <c r="GT69" i="4"/>
  <c r="GO70" i="4"/>
  <c r="GP70" i="4" s="1"/>
  <c r="G66" i="2" s="1"/>
  <c r="GQ70" i="4"/>
  <c r="GT70" i="4"/>
  <c r="GQ71" i="4"/>
  <c r="GT71" i="4"/>
  <c r="GO72" i="4"/>
  <c r="GQ72" i="4"/>
  <c r="GT72" i="4"/>
  <c r="GQ73" i="4"/>
  <c r="GT73" i="4"/>
  <c r="GO75" i="4"/>
  <c r="GP75" i="4" s="1"/>
  <c r="G71" i="2" s="1"/>
  <c r="GQ75" i="4"/>
  <c r="GT75" i="4"/>
  <c r="GQ76" i="4"/>
  <c r="GT76" i="4"/>
  <c r="GQ78" i="4"/>
  <c r="GT78" i="4"/>
  <c r="GO79" i="4"/>
  <c r="GP79" i="4" s="1"/>
  <c r="G75" i="2" s="1"/>
  <c r="GQ79" i="4"/>
  <c r="GT79" i="4"/>
  <c r="GQ80" i="4"/>
  <c r="GT80" i="4"/>
  <c r="GO82" i="4"/>
  <c r="GP82" i="4" s="1"/>
  <c r="G77" i="2" s="1"/>
  <c r="GQ82" i="4"/>
  <c r="GT82" i="4"/>
  <c r="GN83" i="4"/>
  <c r="GO12" i="4"/>
  <c r="GP12" i="4" s="1"/>
  <c r="G9" i="2" s="1"/>
  <c r="GO64" i="4"/>
  <c r="GO23" i="4"/>
  <c r="GO22" i="4"/>
  <c r="GQ64" i="4"/>
  <c r="GQ52" i="4"/>
  <c r="GQ57" i="4"/>
  <c r="GQ55" i="4"/>
  <c r="GQ43" i="4"/>
  <c r="GQ41" i="4"/>
  <c r="GQ40" i="4"/>
  <c r="GQ22" i="4"/>
  <c r="DU73" i="4"/>
  <c r="E69" i="2" s="1"/>
  <c r="DU52" i="4"/>
  <c r="E48" i="2" s="1"/>
  <c r="GQ10" i="4"/>
  <c r="GQ66" i="4"/>
  <c r="GP49" i="4" l="1"/>
  <c r="G45" i="2" s="1"/>
  <c r="GP46" i="4"/>
  <c r="G42" i="2" s="1"/>
  <c r="GP50" i="4"/>
  <c r="G46" i="2" s="1"/>
  <c r="GP65" i="4"/>
  <c r="G61" i="2" s="1"/>
  <c r="GP72" i="4"/>
  <c r="G68" i="2" s="1"/>
  <c r="GP23" i="4"/>
  <c r="G20" i="2" s="1"/>
  <c r="GP27" i="4"/>
  <c r="G24" i="2" s="1"/>
  <c r="GP60" i="4"/>
  <c r="G56" i="2" s="1"/>
  <c r="GP62" i="4"/>
  <c r="G58" i="2" s="1"/>
  <c r="GP64" i="4"/>
  <c r="G60" i="2" s="1"/>
  <c r="GP47" i="4"/>
  <c r="G43" i="2" s="1"/>
  <c r="GP32" i="4"/>
  <c r="G29" i="2" s="1"/>
  <c r="G21" i="2"/>
  <c r="GP61" i="4"/>
  <c r="G57" i="2" s="1"/>
  <c r="G54" i="2"/>
  <c r="GP55" i="4"/>
  <c r="G51" i="2" s="1"/>
  <c r="GP26" i="4"/>
  <c r="G23" i="2" s="1"/>
  <c r="GP22" i="4"/>
  <c r="G19" i="2" s="1"/>
  <c r="GP78" i="4"/>
  <c r="G74" i="2" s="1"/>
  <c r="G31" i="2"/>
  <c r="GP17" i="4"/>
  <c r="G14" i="2" s="1"/>
  <c r="GM110" i="6"/>
  <c r="A56" i="6"/>
  <c r="A22" i="5"/>
  <c r="GO25" i="4"/>
  <c r="GO53" i="4"/>
  <c r="GO80" i="4"/>
  <c r="GP80" i="4" s="1"/>
  <c r="G76" i="2" s="1"/>
  <c r="GO19" i="4"/>
  <c r="GO56" i="4"/>
  <c r="GO71" i="4"/>
  <c r="GO57" i="4"/>
  <c r="GP57" i="4" s="1"/>
  <c r="G53" i="2" s="1"/>
  <c r="GO20" i="4"/>
  <c r="GO54" i="4"/>
  <c r="GO11" i="4"/>
  <c r="GP11" i="4" s="1"/>
  <c r="G8" i="2" s="1"/>
  <c r="GO29" i="4"/>
  <c r="GO40" i="4"/>
  <c r="GO10" i="4"/>
  <c r="GP10" i="4" s="1"/>
  <c r="G7" i="2" s="1"/>
  <c r="GO13" i="4"/>
  <c r="GO28" i="4"/>
  <c r="GP28" i="4" s="1"/>
  <c r="G25" i="2" s="1"/>
  <c r="GO44" i="4"/>
  <c r="GO67" i="4"/>
  <c r="GP67" i="4" s="1"/>
  <c r="G63" i="2" s="1"/>
  <c r="GO36" i="4"/>
  <c r="GP36" i="4" s="1"/>
  <c r="G32" i="2" s="1"/>
  <c r="GO42" i="4"/>
  <c r="GO8" i="4"/>
  <c r="GO43" i="4"/>
  <c r="GO9" i="4"/>
  <c r="GP9" i="4" s="1"/>
  <c r="G6" i="2" s="1"/>
  <c r="DU91" i="4"/>
  <c r="DU53" i="4"/>
  <c r="E49" i="2" s="1"/>
  <c r="G89" i="4"/>
  <c r="C105" i="5" s="1"/>
  <c r="G90" i="4"/>
  <c r="C106" i="5" s="1"/>
  <c r="G91" i="4"/>
  <c r="C107" i="5" s="1"/>
  <c r="E83" i="4"/>
  <c r="F83" i="4"/>
  <c r="G39" i="4"/>
  <c r="GP54" i="4" l="1"/>
  <c r="G50" i="2" s="1"/>
  <c r="GP42" i="4"/>
  <c r="G38" i="2" s="1"/>
  <c r="GP43" i="4"/>
  <c r="G39" i="2" s="1"/>
  <c r="GP44" i="4"/>
  <c r="G40" i="2" s="1"/>
  <c r="GP71" i="4"/>
  <c r="G67" i="2" s="1"/>
  <c r="GP20" i="4"/>
  <c r="G17" i="2" s="1"/>
  <c r="GP13" i="4"/>
  <c r="G10" i="2" s="1"/>
  <c r="GP19" i="4"/>
  <c r="G16" i="2" s="1"/>
  <c r="GP40" i="4"/>
  <c r="G36" i="2" s="1"/>
  <c r="GP56" i="4"/>
  <c r="G52" i="2" s="1"/>
  <c r="GP53" i="4"/>
  <c r="G49" i="2" s="1"/>
  <c r="GP29" i="4"/>
  <c r="G26" i="2" s="1"/>
  <c r="GP25" i="4"/>
  <c r="G22" i="2" s="1"/>
  <c r="HC105" i="5"/>
  <c r="A57" i="6"/>
  <c r="A24" i="5"/>
  <c r="C46" i="5"/>
  <c r="GZ46" i="5"/>
  <c r="GO83" i="4"/>
  <c r="A58" i="6" l="1"/>
  <c r="A25" i="5"/>
  <c r="CA52" i="4"/>
  <c r="A59" i="6" l="1"/>
  <c r="A26" i="5"/>
  <c r="A27" i="5" s="1"/>
  <c r="G73" i="4"/>
  <c r="G53" i="4"/>
  <c r="G52" i="4"/>
  <c r="A60" i="6" l="1"/>
  <c r="C86" i="5"/>
  <c r="GZ86" i="5"/>
  <c r="C60" i="5"/>
  <c r="GZ60" i="5"/>
  <c r="C59" i="5"/>
  <c r="GZ59" i="5"/>
  <c r="CA53" i="4"/>
  <c r="CA73" i="4"/>
  <c r="A61" i="6" l="1"/>
  <c r="A28" i="5"/>
  <c r="A62" i="6" l="1"/>
  <c r="A63" i="6" s="1"/>
  <c r="A64" i="6" s="1"/>
  <c r="A29" i="5"/>
  <c r="A30" i="5" l="1"/>
  <c r="A65" i="6" l="1"/>
  <c r="A31" i="5"/>
  <c r="A66" i="6" l="1"/>
  <c r="A32" i="5"/>
  <c r="A67" i="6" l="1"/>
  <c r="A33" i="5"/>
  <c r="A68" i="6" l="1"/>
  <c r="A34" i="5"/>
  <c r="A69" i="6" l="1"/>
  <c r="A35" i="5"/>
  <c r="A70" i="6" l="1"/>
  <c r="A36" i="5"/>
  <c r="A37" i="5" s="1"/>
  <c r="A71" i="6" l="1"/>
  <c r="A38" i="5"/>
  <c r="A72" i="6" l="1"/>
  <c r="A39" i="5"/>
  <c r="A74" i="6" l="1"/>
  <c r="A40" i="5"/>
  <c r="A75" i="6" l="1"/>
  <c r="A41" i="5"/>
  <c r="A76" i="6" l="1"/>
  <c r="A42" i="5"/>
  <c r="A77" i="6" l="1"/>
  <c r="A43" i="5"/>
  <c r="A78" i="6" l="1"/>
  <c r="A45" i="5"/>
  <c r="A79" i="6" l="1"/>
  <c r="A46" i="5"/>
  <c r="A80" i="6" l="1"/>
  <c r="A47" i="5"/>
  <c r="GA7" i="4"/>
  <c r="DU7" i="4"/>
  <c r="CA7" i="4"/>
  <c r="DU82" i="4"/>
  <c r="CA82" i="4"/>
  <c r="GA80" i="4"/>
  <c r="DU80" i="4"/>
  <c r="E76" i="2" s="1"/>
  <c r="CA80" i="4"/>
  <c r="GA79" i="4"/>
  <c r="DU79" i="4"/>
  <c r="E75" i="2" s="1"/>
  <c r="CA79" i="4"/>
  <c r="DU78" i="4"/>
  <c r="E74" i="2" s="1"/>
  <c r="CA78" i="4"/>
  <c r="E72" i="2"/>
  <c r="CA76" i="4"/>
  <c r="GA75" i="4"/>
  <c r="E71" i="2"/>
  <c r="CA75" i="4"/>
  <c r="GA72" i="4"/>
  <c r="DU72" i="4"/>
  <c r="E68" i="2" s="1"/>
  <c r="CA72" i="4"/>
  <c r="DU71" i="4"/>
  <c r="E67" i="2" s="1"/>
  <c r="CA71" i="4"/>
  <c r="GA70" i="4"/>
  <c r="DU70" i="4"/>
  <c r="E66" i="2" s="1"/>
  <c r="CA70" i="4"/>
  <c r="DU69" i="4"/>
  <c r="E65" i="2" s="1"/>
  <c r="CA69" i="4"/>
  <c r="GA68" i="4"/>
  <c r="DU68" i="4"/>
  <c r="E64" i="2" s="1"/>
  <c r="CA68" i="4"/>
  <c r="CA67" i="4"/>
  <c r="DU66" i="4"/>
  <c r="E62" i="2" s="1"/>
  <c r="CA66" i="4"/>
  <c r="GA65" i="4"/>
  <c r="DU65" i="4"/>
  <c r="E61" i="2" s="1"/>
  <c r="CA65" i="4"/>
  <c r="GA64" i="4"/>
  <c r="DU64" i="4"/>
  <c r="E60" i="2" s="1"/>
  <c r="CA64" i="4"/>
  <c r="DU63" i="4"/>
  <c r="E59" i="2" s="1"/>
  <c r="CA63" i="4"/>
  <c r="GA62" i="4"/>
  <c r="DU62" i="4"/>
  <c r="E58" i="2" s="1"/>
  <c r="CA62" i="4"/>
  <c r="GA61" i="4"/>
  <c r="DU61" i="4"/>
  <c r="E57" i="2" s="1"/>
  <c r="CA61" i="4"/>
  <c r="GA60" i="4"/>
  <c r="CA60" i="4"/>
  <c r="GA58" i="4"/>
  <c r="DU58" i="4"/>
  <c r="E54" i="2" s="1"/>
  <c r="CA58" i="4"/>
  <c r="DU57" i="4"/>
  <c r="E53" i="2" s="1"/>
  <c r="CA57" i="4"/>
  <c r="CA56" i="4"/>
  <c r="DU55" i="4"/>
  <c r="E51" i="2" s="1"/>
  <c r="CA55" i="4"/>
  <c r="GA54" i="4"/>
  <c r="DU54" i="4"/>
  <c r="E50" i="2" s="1"/>
  <c r="DU50" i="4"/>
  <c r="E46" i="2" s="1"/>
  <c r="GA49" i="4"/>
  <c r="DU49" i="4"/>
  <c r="E45" i="2" s="1"/>
  <c r="GA47" i="4"/>
  <c r="DU47" i="4"/>
  <c r="E43" i="2" s="1"/>
  <c r="CA47" i="4"/>
  <c r="GA46" i="4"/>
  <c r="DU46" i="4"/>
  <c r="E42" i="2" s="1"/>
  <c r="CA46" i="4"/>
  <c r="GA45" i="4"/>
  <c r="DU45" i="4"/>
  <c r="E41" i="2" s="1"/>
  <c r="CA45" i="4"/>
  <c r="GA44" i="4"/>
  <c r="DU44" i="4"/>
  <c r="E40" i="2" s="1"/>
  <c r="CA44" i="4"/>
  <c r="GA43" i="4"/>
  <c r="DU43" i="4"/>
  <c r="E39" i="2" s="1"/>
  <c r="DU42" i="4"/>
  <c r="E38" i="2" s="1"/>
  <c r="CA42" i="4"/>
  <c r="CA41" i="4"/>
  <c r="GA40" i="4"/>
  <c r="GA39" i="4"/>
  <c r="DU39" i="4"/>
  <c r="E35" i="2" s="1"/>
  <c r="CA39" i="4"/>
  <c r="DU38" i="4"/>
  <c r="E34" i="2" s="1"/>
  <c r="CA38" i="4"/>
  <c r="CA37" i="4"/>
  <c r="CA36" i="4"/>
  <c r="GA34" i="4"/>
  <c r="DU34" i="4"/>
  <c r="E31" i="2" s="1"/>
  <c r="CA34" i="4"/>
  <c r="GA33" i="4"/>
  <c r="DU33" i="4"/>
  <c r="E30" i="2" s="1"/>
  <c r="CA33" i="4"/>
  <c r="GA32" i="4"/>
  <c r="CA32" i="4"/>
  <c r="GA31" i="4"/>
  <c r="DU31" i="4"/>
  <c r="E28" i="2" s="1"/>
  <c r="CA31" i="4"/>
  <c r="GA30" i="4"/>
  <c r="DU30" i="4"/>
  <c r="E27" i="2" s="1"/>
  <c r="CA30" i="4"/>
  <c r="GA29" i="4"/>
  <c r="DU29" i="4"/>
  <c r="E26" i="2" s="1"/>
  <c r="CA29" i="4"/>
  <c r="DU28" i="4"/>
  <c r="E25" i="2" s="1"/>
  <c r="CA28" i="4"/>
  <c r="GA27" i="4"/>
  <c r="DU27" i="4"/>
  <c r="E24" i="2" s="1"/>
  <c r="CA27" i="4"/>
  <c r="GA26" i="4"/>
  <c r="CA26" i="4"/>
  <c r="GA25" i="4"/>
  <c r="DU25" i="4"/>
  <c r="E22" i="2" s="1"/>
  <c r="DU24" i="4"/>
  <c r="E21" i="2" s="1"/>
  <c r="CA23" i="4"/>
  <c r="GA22" i="4"/>
  <c r="DU22" i="4"/>
  <c r="E19" i="2" s="1"/>
  <c r="CA22" i="4"/>
  <c r="GA21" i="4"/>
  <c r="DU21" i="4"/>
  <c r="E18" i="2" s="1"/>
  <c r="CA21" i="4"/>
  <c r="GA20" i="4"/>
  <c r="DU20" i="4"/>
  <c r="E17" i="2" s="1"/>
  <c r="CA20" i="4"/>
  <c r="CA19" i="4"/>
  <c r="GA17" i="4"/>
  <c r="DU17" i="4"/>
  <c r="E14" i="2" s="1"/>
  <c r="CA17" i="4"/>
  <c r="GA16" i="4"/>
  <c r="DU16" i="4"/>
  <c r="E13" i="2" s="1"/>
  <c r="CA16" i="4"/>
  <c r="GA15" i="4"/>
  <c r="CA15" i="4"/>
  <c r="GA14" i="4"/>
  <c r="DU14" i="4"/>
  <c r="E11" i="2" s="1"/>
  <c r="CA14" i="4"/>
  <c r="GA13" i="4"/>
  <c r="CA13" i="4"/>
  <c r="GA12" i="4"/>
  <c r="CA12" i="4"/>
  <c r="GA11" i="4"/>
  <c r="CA11" i="4"/>
  <c r="GA10" i="4"/>
  <c r="DU10" i="4"/>
  <c r="E7" i="2" s="1"/>
  <c r="GA9" i="4"/>
  <c r="CA9" i="4"/>
  <c r="G10" i="4"/>
  <c r="G11" i="4"/>
  <c r="G12" i="4"/>
  <c r="G13" i="4"/>
  <c r="G14" i="4"/>
  <c r="G15" i="4"/>
  <c r="G16" i="4"/>
  <c r="G17" i="4"/>
  <c r="G19" i="4"/>
  <c r="G20" i="4"/>
  <c r="G21" i="4"/>
  <c r="G22" i="4"/>
  <c r="G23" i="4"/>
  <c r="G24" i="4"/>
  <c r="G25" i="4"/>
  <c r="G26" i="4"/>
  <c r="G27" i="4"/>
  <c r="G28" i="4"/>
  <c r="G29" i="4"/>
  <c r="G30" i="4"/>
  <c r="GZ37" i="5" s="1"/>
  <c r="G31" i="4"/>
  <c r="G32" i="4"/>
  <c r="G33" i="4"/>
  <c r="G34" i="4"/>
  <c r="G36" i="4"/>
  <c r="G38" i="4"/>
  <c r="G40" i="4"/>
  <c r="G41" i="4"/>
  <c r="G42" i="4"/>
  <c r="G43" i="4"/>
  <c r="G44" i="4"/>
  <c r="G45" i="4"/>
  <c r="G46" i="4"/>
  <c r="G47" i="4"/>
  <c r="G49" i="4"/>
  <c r="G50" i="4"/>
  <c r="G54" i="4"/>
  <c r="G55" i="4"/>
  <c r="G56" i="4"/>
  <c r="G57" i="4"/>
  <c r="G58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5" i="4"/>
  <c r="G76" i="4"/>
  <c r="G78" i="4"/>
  <c r="G79" i="4"/>
  <c r="G80" i="4"/>
  <c r="GZ92" i="5" s="1"/>
  <c r="G82" i="4"/>
  <c r="G9" i="4"/>
  <c r="G88" i="4"/>
  <c r="D88" i="4"/>
  <c r="E88" i="4"/>
  <c r="F88" i="4"/>
  <c r="C88" i="4"/>
  <c r="G18" i="4" l="1"/>
  <c r="GZ84" i="5"/>
  <c r="C84" i="5"/>
  <c r="GZ88" i="5"/>
  <c r="GZ89" i="5"/>
  <c r="C87" i="5"/>
  <c r="GZ87" i="5"/>
  <c r="C63" i="5"/>
  <c r="GZ63" i="5"/>
  <c r="C27" i="5"/>
  <c r="GZ27" i="5"/>
  <c r="A81" i="6"/>
  <c r="A48" i="5"/>
  <c r="C21" i="5"/>
  <c r="GZ21" i="5"/>
  <c r="C20" i="5"/>
  <c r="GZ20" i="5"/>
  <c r="C19" i="5"/>
  <c r="GZ19" i="5"/>
  <c r="C14" i="5"/>
  <c r="GZ14" i="5"/>
  <c r="C97" i="5"/>
  <c r="C93" i="5"/>
  <c r="GZ93" i="5"/>
  <c r="C91" i="5"/>
  <c r="GZ91" i="5"/>
  <c r="C90" i="5"/>
  <c r="GZ90" i="5"/>
  <c r="C89" i="5"/>
  <c r="C85" i="5"/>
  <c r="GZ85" i="5"/>
  <c r="C82" i="5"/>
  <c r="GZ82" i="5"/>
  <c r="C81" i="5"/>
  <c r="GZ81" i="5"/>
  <c r="C80" i="5"/>
  <c r="GZ80" i="5"/>
  <c r="C79" i="5"/>
  <c r="GZ79" i="5"/>
  <c r="C78" i="5"/>
  <c r="GZ78" i="5"/>
  <c r="C77" i="5"/>
  <c r="GZ77" i="5"/>
  <c r="C76" i="5"/>
  <c r="GZ76" i="5"/>
  <c r="C75" i="5"/>
  <c r="GZ75" i="5"/>
  <c r="C74" i="5"/>
  <c r="GZ74" i="5"/>
  <c r="C73" i="5"/>
  <c r="GZ73" i="5"/>
  <c r="C71" i="5"/>
  <c r="GZ71" i="5"/>
  <c r="C69" i="5"/>
  <c r="GZ69" i="5"/>
  <c r="C67" i="5"/>
  <c r="GZ67" i="5"/>
  <c r="C66" i="5"/>
  <c r="GZ66" i="5"/>
  <c r="C65" i="5"/>
  <c r="GZ65" i="5"/>
  <c r="C64" i="5"/>
  <c r="GZ64" i="5"/>
  <c r="C62" i="5"/>
  <c r="GZ62" i="5"/>
  <c r="C57" i="5"/>
  <c r="GZ57" i="5"/>
  <c r="C56" i="5"/>
  <c r="GZ56" i="5"/>
  <c r="C54" i="5"/>
  <c r="GZ54" i="5"/>
  <c r="C53" i="5"/>
  <c r="GZ53" i="5"/>
  <c r="C52" i="5"/>
  <c r="GZ52" i="5"/>
  <c r="C51" i="5"/>
  <c r="GZ51" i="5"/>
  <c r="C50" i="5"/>
  <c r="GZ50" i="5"/>
  <c r="C49" i="5"/>
  <c r="GZ49" i="5"/>
  <c r="C61" i="5"/>
  <c r="GZ61" i="5"/>
  <c r="C48" i="5"/>
  <c r="GZ48" i="5"/>
  <c r="C47" i="5"/>
  <c r="GZ47" i="5"/>
  <c r="C45" i="5"/>
  <c r="GZ45" i="5"/>
  <c r="C42" i="5"/>
  <c r="GZ42" i="5"/>
  <c r="C43" i="5"/>
  <c r="GZ43" i="5"/>
  <c r="C41" i="5"/>
  <c r="GZ41" i="5"/>
  <c r="C40" i="5"/>
  <c r="GZ40" i="5"/>
  <c r="C39" i="5"/>
  <c r="GZ39" i="5"/>
  <c r="C38" i="5"/>
  <c r="GZ38" i="5"/>
  <c r="C36" i="5"/>
  <c r="GZ36" i="5"/>
  <c r="C35" i="5"/>
  <c r="GZ35" i="5"/>
  <c r="C34" i="5"/>
  <c r="GZ34" i="5"/>
  <c r="C33" i="5"/>
  <c r="GZ33" i="5"/>
  <c r="C32" i="5"/>
  <c r="GZ32" i="5"/>
  <c r="C31" i="5"/>
  <c r="GZ31" i="5"/>
  <c r="C30" i="5"/>
  <c r="GZ30" i="5"/>
  <c r="C29" i="5"/>
  <c r="GZ29" i="5"/>
  <c r="C28" i="5"/>
  <c r="GZ28" i="5"/>
  <c r="C26" i="5"/>
  <c r="GZ26" i="5"/>
  <c r="C25" i="5"/>
  <c r="GZ25" i="5"/>
  <c r="C24" i="5"/>
  <c r="GZ24" i="5"/>
  <c r="C22" i="5"/>
  <c r="GZ22" i="5"/>
  <c r="C18" i="5"/>
  <c r="GZ18" i="5"/>
  <c r="C17" i="5"/>
  <c r="GZ17" i="5"/>
  <c r="C16" i="5"/>
  <c r="GZ16" i="5"/>
  <c r="C15" i="5"/>
  <c r="GZ15" i="5"/>
  <c r="C13" i="5"/>
  <c r="GZ13" i="5"/>
  <c r="C11" i="5"/>
  <c r="GZ11" i="5"/>
  <c r="C9" i="5"/>
  <c r="GZ9" i="5"/>
  <c r="G83" i="4"/>
  <c r="DU8" i="4"/>
  <c r="E8" i="4" s="1"/>
  <c r="GA24" i="4"/>
  <c r="CA8" i="4"/>
  <c r="D8" i="4" s="1"/>
  <c r="GA92" i="4"/>
  <c r="I92" i="4" s="1"/>
  <c r="DU9" i="4"/>
  <c r="E6" i="2" s="1"/>
  <c r="DU11" i="4"/>
  <c r="E8" i="2" s="1"/>
  <c r="DU19" i="4"/>
  <c r="E16" i="2" s="1"/>
  <c r="GA23" i="4"/>
  <c r="CA24" i="4"/>
  <c r="DU32" i="4"/>
  <c r="E29" i="2" s="1"/>
  <c r="DU36" i="4"/>
  <c r="E32" i="2" s="1"/>
  <c r="GA38" i="4"/>
  <c r="DU60" i="4"/>
  <c r="E56" i="2" s="1"/>
  <c r="DU23" i="4"/>
  <c r="E20" i="2" s="1"/>
  <c r="CA25" i="4"/>
  <c r="CA91" i="4"/>
  <c r="CA10" i="4"/>
  <c r="DU12" i="4"/>
  <c r="E9" i="2" s="1"/>
  <c r="DU13" i="4"/>
  <c r="E10" i="2" s="1"/>
  <c r="DU15" i="4"/>
  <c r="E12" i="2" s="1"/>
  <c r="GA19" i="4"/>
  <c r="DU26" i="4"/>
  <c r="E23" i="2" s="1"/>
  <c r="CA43" i="4"/>
  <c r="GA56" i="4"/>
  <c r="GA57" i="4"/>
  <c r="DU67" i="4"/>
  <c r="E63" i="2" s="1"/>
  <c r="GA71" i="4"/>
  <c r="H83" i="4"/>
  <c r="CA90" i="4"/>
  <c r="CA92" i="4"/>
  <c r="DU89" i="4"/>
  <c r="DU92" i="4"/>
  <c r="GA90" i="4"/>
  <c r="I90" i="4" s="1"/>
  <c r="DU40" i="4"/>
  <c r="E36" i="2" s="1"/>
  <c r="DU41" i="4"/>
  <c r="E37" i="2" s="1"/>
  <c r="GA55" i="4"/>
  <c r="GA69" i="4"/>
  <c r="CA89" i="4"/>
  <c r="GA89" i="4"/>
  <c r="I89" i="4" s="1"/>
  <c r="CA40" i="4"/>
  <c r="GA42" i="4"/>
  <c r="GA50" i="4"/>
  <c r="CA54" i="4"/>
  <c r="DU56" i="4"/>
  <c r="E52" i="2" s="1"/>
  <c r="GA67" i="4"/>
  <c r="GA76" i="4"/>
  <c r="DU90" i="4"/>
  <c r="GO90" i="4" l="1"/>
  <c r="Z6" i="10"/>
  <c r="AC6" i="10" s="1"/>
  <c r="AD6" i="10" s="1"/>
  <c r="GO92" i="4"/>
  <c r="Z8" i="10"/>
  <c r="AC8" i="10" s="1"/>
  <c r="AD8" i="10" s="1"/>
  <c r="GO89" i="4"/>
  <c r="GP89" i="4" s="1"/>
  <c r="Z5" i="10"/>
  <c r="I5" i="10"/>
  <c r="I8" i="10"/>
  <c r="R8" i="10" s="1"/>
  <c r="I7" i="10"/>
  <c r="I6" i="10"/>
  <c r="A82" i="6"/>
  <c r="A49" i="5"/>
  <c r="GA91" i="4"/>
  <c r="I91" i="4" s="1"/>
  <c r="GO91" i="4" l="1"/>
  <c r="Z7" i="10"/>
  <c r="AC7" i="10" s="1"/>
  <c r="AD7" i="10" s="1"/>
  <c r="GP92" i="4"/>
  <c r="GP90" i="4"/>
  <c r="S8" i="10"/>
  <c r="S20" i="10" s="1"/>
  <c r="AC5" i="10"/>
  <c r="A83" i="6"/>
  <c r="A50" i="5"/>
  <c r="GP91" i="4" l="1"/>
  <c r="GP94" i="4" s="1"/>
  <c r="I94" i="4"/>
  <c r="Z12" i="10"/>
  <c r="AD5" i="10"/>
  <c r="AC12" i="10"/>
  <c r="A84" i="6"/>
  <c r="A51" i="5"/>
  <c r="A85" i="6" l="1"/>
  <c r="A52" i="5"/>
  <c r="A86" i="6" l="1"/>
  <c r="A53" i="5"/>
  <c r="A87" i="6" l="1"/>
  <c r="A54" i="5"/>
  <c r="A88" i="6" l="1"/>
  <c r="A55" i="5"/>
  <c r="A89" i="6" l="1"/>
  <c r="A56" i="5"/>
  <c r="A90" i="6" l="1"/>
  <c r="A57" i="5"/>
  <c r="A91" i="6" l="1"/>
  <c r="A58" i="5"/>
  <c r="A92" i="6" l="1"/>
  <c r="A59" i="5"/>
  <c r="A93" i="6" l="1"/>
  <c r="A60" i="5"/>
  <c r="A61" i="5" s="1"/>
  <c r="A20" i="4"/>
  <c r="A17" i="2" s="1"/>
  <c r="A94" i="6" l="1"/>
  <c r="A62" i="5"/>
  <c r="A21" i="4"/>
  <c r="A18" i="2" s="1"/>
  <c r="A95" i="6" l="1"/>
  <c r="A63" i="5"/>
  <c r="A22" i="4"/>
  <c r="A19" i="2" s="1"/>
  <c r="A96" i="6" l="1"/>
  <c r="A64" i="5"/>
  <c r="A23" i="4"/>
  <c r="A20" i="2" s="1"/>
  <c r="A97" i="6" l="1"/>
  <c r="A65" i="5"/>
  <c r="A24" i="4"/>
  <c r="A21" i="2" s="1"/>
  <c r="A98" i="6" l="1"/>
  <c r="A66" i="5"/>
  <c r="A25" i="4"/>
  <c r="A22" i="2" l="1"/>
  <c r="A26" i="4"/>
  <c r="A23" i="2" s="1"/>
  <c r="A99" i="6"/>
  <c r="A67" i="5"/>
  <c r="A68" i="5" s="1"/>
  <c r="A100" i="6" l="1"/>
  <c r="A101" i="6" s="1"/>
  <c r="A102" i="6" s="1"/>
  <c r="A27" i="4"/>
  <c r="A24" i="2" s="1"/>
  <c r="A69" i="5" l="1"/>
  <c r="A28" i="4"/>
  <c r="A25" i="2" s="1"/>
  <c r="A70" i="5" l="1"/>
  <c r="A71" i="5" s="1"/>
  <c r="A29" i="4"/>
  <c r="A26" i="2" s="1"/>
  <c r="A73" i="5" l="1"/>
  <c r="A30" i="4"/>
  <c r="A27" i="2" s="1"/>
  <c r="A74" i="5" l="1"/>
  <c r="A75" i="5" s="1"/>
  <c r="A76" i="5" s="1"/>
  <c r="A31" i="4"/>
  <c r="A28" i="2" s="1"/>
  <c r="A32" i="4" l="1"/>
  <c r="A29" i="2" s="1"/>
  <c r="A33" i="4" l="1"/>
  <c r="A30" i="2" s="1"/>
  <c r="FU59" i="1"/>
  <c r="A34" i="4" l="1"/>
  <c r="A31" i="2" l="1"/>
  <c r="A35" i="4"/>
  <c r="A36" i="4" s="1"/>
  <c r="A77" i="5"/>
  <c r="A38" i="4" l="1"/>
  <c r="A34" i="2" s="1"/>
  <c r="A32" i="2"/>
  <c r="A78" i="5"/>
  <c r="A79" i="5" l="1"/>
  <c r="FU63" i="1"/>
  <c r="A80" i="5" l="1"/>
  <c r="A81" i="5" l="1"/>
  <c r="A39" i="4"/>
  <c r="A35" i="2" s="1"/>
  <c r="A82" i="5" l="1"/>
  <c r="A83" i="5" s="1"/>
  <c r="A40" i="4"/>
  <c r="A36" i="2" s="1"/>
  <c r="A84" i="5" l="1"/>
  <c r="A85" i="5" s="1"/>
  <c r="A41" i="4"/>
  <c r="A37" i="2" s="1"/>
  <c r="A42" i="4" l="1"/>
  <c r="A38" i="2" s="1"/>
  <c r="GP67" i="1"/>
  <c r="GP70" i="1"/>
  <c r="GQ70" i="1" s="1"/>
  <c r="GR67" i="1"/>
  <c r="GU67" i="1"/>
  <c r="GQ67" i="1" l="1"/>
  <c r="A86" i="5"/>
  <c r="A87" i="5" s="1"/>
  <c r="A43" i="4"/>
  <c r="A39" i="2" s="1"/>
  <c r="A88" i="5" l="1"/>
  <c r="A44" i="4"/>
  <c r="A40" i="2" s="1"/>
  <c r="GP68" i="1"/>
  <c r="GQ68" i="1" s="1"/>
  <c r="A45" i="4" l="1"/>
  <c r="A41" i="2" s="1"/>
  <c r="A89" i="5" l="1"/>
  <c r="A46" i="4"/>
  <c r="A42" i="2" s="1"/>
  <c r="A90" i="5" l="1"/>
  <c r="A47" i="4"/>
  <c r="A48" i="4" l="1"/>
  <c r="A44" i="2" s="1"/>
  <c r="A43" i="2"/>
  <c r="A91" i="5"/>
  <c r="A49" i="4" l="1"/>
  <c r="A45" i="2" s="1"/>
  <c r="A92" i="5"/>
  <c r="FU28" i="1"/>
  <c r="A50" i="4" l="1"/>
  <c r="A46" i="2" s="1"/>
  <c r="A93" i="5"/>
  <c r="A94" i="5" s="1"/>
  <c r="A51" i="4" l="1"/>
  <c r="A47" i="2" s="1"/>
  <c r="A95" i="5"/>
  <c r="A96" i="5" s="1"/>
  <c r="A97" i="5" s="1"/>
  <c r="A52" i="4" l="1"/>
  <c r="A48" i="2" s="1"/>
  <c r="L80" i="2"/>
  <c r="N80" i="2" s="1"/>
  <c r="L81" i="2"/>
  <c r="N81" i="2" s="1"/>
  <c r="A53" i="4" l="1"/>
  <c r="GP66" i="1"/>
  <c r="GQ66" i="1" s="1"/>
  <c r="A54" i="4" l="1"/>
  <c r="A50" i="2" s="1"/>
  <c r="A49" i="2"/>
  <c r="I18" i="1"/>
  <c r="O43" i="2" l="1"/>
  <c r="N43" i="2"/>
  <c r="O28" i="2"/>
  <c r="N28" i="2"/>
  <c r="DS59" i="1" l="1"/>
  <c r="GP28" i="1" l="1"/>
  <c r="GQ28" i="1" s="1"/>
  <c r="GR28" i="1"/>
  <c r="DS28" i="1"/>
  <c r="BJ28" i="1"/>
  <c r="G28" i="1"/>
  <c r="C28" i="4" s="1"/>
  <c r="GR28" i="4" s="1"/>
  <c r="D25" i="2" s="1"/>
  <c r="GU28" i="1"/>
  <c r="GO80" i="1"/>
  <c r="GS28" i="1" l="1"/>
  <c r="DS63" i="1" l="1"/>
  <c r="DS61" i="1" l="1"/>
  <c r="G44" i="1" l="1"/>
  <c r="C45" i="4" s="1"/>
  <c r="GR45" i="4" s="1"/>
  <c r="D41" i="2" s="1"/>
  <c r="G40" i="1"/>
  <c r="C41" i="4" s="1"/>
  <c r="GR41" i="4" s="1"/>
  <c r="D37" i="2" s="1"/>
  <c r="C64" i="4"/>
  <c r="GR64" i="4" s="1"/>
  <c r="D60" i="2" s="1"/>
  <c r="GM111" i="6" l="1"/>
  <c r="HC108" i="5"/>
  <c r="HC107" i="5"/>
  <c r="GM113" i="6" l="1"/>
  <c r="GM112" i="6"/>
  <c r="HC106" i="5"/>
  <c r="HC110" i="5" s="1"/>
  <c r="GT80" i="1"/>
  <c r="GP8" i="1"/>
  <c r="GM115" i="6" l="1"/>
  <c r="DS40" i="1" l="1"/>
  <c r="GP40" i="1"/>
  <c r="GQ40" i="1" s="1"/>
  <c r="GR40" i="1"/>
  <c r="GS40" i="1"/>
  <c r="GU40" i="1"/>
  <c r="BJ40" i="1"/>
  <c r="BJ63" i="1" l="1"/>
  <c r="GP63" i="1"/>
  <c r="GQ63" i="1" s="1"/>
  <c r="GR63" i="1"/>
  <c r="GS63" i="1"/>
  <c r="GU63" i="1"/>
  <c r="GU59" i="1" l="1"/>
  <c r="GR59" i="1"/>
  <c r="GP59" i="1"/>
  <c r="BJ59" i="1"/>
  <c r="G59" i="1"/>
  <c r="C60" i="4" s="1"/>
  <c r="GR60" i="4" s="1"/>
  <c r="D56" i="2" s="1"/>
  <c r="GQ59" i="1" l="1"/>
  <c r="GS59" i="1"/>
  <c r="DS35" i="1"/>
  <c r="DS8" i="1" l="1"/>
  <c r="DS9" i="1"/>
  <c r="G9" i="1" l="1"/>
  <c r="C9" i="4" s="1"/>
  <c r="GR9" i="4" s="1"/>
  <c r="D6" i="2" s="1"/>
  <c r="BJ48" i="1"/>
  <c r="GR42" i="1"/>
  <c r="GR34" i="1"/>
  <c r="GR15" i="1"/>
  <c r="GR9" i="1"/>
  <c r="GP33" i="1"/>
  <c r="GQ33" i="1" s="1"/>
  <c r="GR56" i="1"/>
  <c r="GR26" i="1"/>
  <c r="GR24" i="1"/>
  <c r="GR22" i="1"/>
  <c r="BJ38" i="1"/>
  <c r="O20" i="2"/>
  <c r="N20" i="2"/>
  <c r="O21" i="2"/>
  <c r="N21" i="2"/>
  <c r="O22" i="2"/>
  <c r="N22" i="2"/>
  <c r="O23" i="2"/>
  <c r="N23" i="2"/>
  <c r="O24" i="2"/>
  <c r="N24" i="2"/>
  <c r="O25" i="2"/>
  <c r="N25" i="2"/>
  <c r="O26" i="2"/>
  <c r="N26" i="2"/>
  <c r="O27" i="2"/>
  <c r="N27" i="2"/>
  <c r="O29" i="2"/>
  <c r="N29" i="2"/>
  <c r="O30" i="2"/>
  <c r="N30" i="2"/>
  <c r="O31" i="2"/>
  <c r="N31" i="2"/>
  <c r="O34" i="2"/>
  <c r="N34" i="2"/>
  <c r="O35" i="2"/>
  <c r="N35" i="2"/>
  <c r="O36" i="2"/>
  <c r="N36" i="2"/>
  <c r="O37" i="2"/>
  <c r="N37" i="2"/>
  <c r="O38" i="2"/>
  <c r="N38" i="2"/>
  <c r="O40" i="2"/>
  <c r="N40" i="2"/>
  <c r="O41" i="2"/>
  <c r="N41" i="2"/>
  <c r="O42" i="2"/>
  <c r="N42" i="2"/>
  <c r="O44" i="2"/>
  <c r="N44" i="2"/>
  <c r="O45" i="2"/>
  <c r="N45" i="2"/>
  <c r="O46" i="2"/>
  <c r="N46" i="2"/>
  <c r="O47" i="2"/>
  <c r="N47" i="2"/>
  <c r="O71" i="2"/>
  <c r="N71" i="2"/>
  <c r="O73" i="2"/>
  <c r="N73" i="2"/>
  <c r="O75" i="2"/>
  <c r="N75" i="2"/>
  <c r="GP16" i="1"/>
  <c r="GQ16" i="1" s="1"/>
  <c r="GP38" i="1"/>
  <c r="GR87" i="1"/>
  <c r="GR88" i="1"/>
  <c r="GR86" i="1"/>
  <c r="GU10" i="1"/>
  <c r="GU11" i="1"/>
  <c r="GU12" i="1"/>
  <c r="GU13" i="1"/>
  <c r="GU14" i="1"/>
  <c r="GU15" i="1"/>
  <c r="GU16" i="1"/>
  <c r="GU17" i="1"/>
  <c r="GU19" i="1"/>
  <c r="GU20" i="1"/>
  <c r="GU21" i="1"/>
  <c r="GU22" i="1"/>
  <c r="GU23" i="1"/>
  <c r="GU24" i="1"/>
  <c r="GU25" i="1"/>
  <c r="GU26" i="1"/>
  <c r="GU27" i="1"/>
  <c r="GU29" i="1"/>
  <c r="GU30" i="1"/>
  <c r="GU31" i="1"/>
  <c r="GU32" i="1"/>
  <c r="GU33" i="1"/>
  <c r="GU34" i="1"/>
  <c r="GU35" i="1"/>
  <c r="GU38" i="1"/>
  <c r="GU39" i="1"/>
  <c r="GU41" i="1"/>
  <c r="GU42" i="1"/>
  <c r="GU44" i="1"/>
  <c r="GU43" i="1"/>
  <c r="GU45" i="1"/>
  <c r="GU46" i="1"/>
  <c r="GU48" i="1"/>
  <c r="GU49" i="1"/>
  <c r="GU47" i="1"/>
  <c r="GU50" i="1"/>
  <c r="GU54" i="1"/>
  <c r="GU56" i="1"/>
  <c r="GU61" i="1"/>
  <c r="GU62" i="1"/>
  <c r="GU64" i="1"/>
  <c r="GU66" i="1"/>
  <c r="GU68" i="1"/>
  <c r="GU70" i="1"/>
  <c r="GU9" i="1"/>
  <c r="GR11" i="1"/>
  <c r="GR12" i="1"/>
  <c r="GR13" i="1"/>
  <c r="GR14" i="1"/>
  <c r="GR16" i="1"/>
  <c r="GR17" i="1"/>
  <c r="GR19" i="1"/>
  <c r="GR21" i="1"/>
  <c r="GR27" i="1"/>
  <c r="GR29" i="1"/>
  <c r="GR30" i="1"/>
  <c r="GR32" i="1"/>
  <c r="GR33" i="1"/>
  <c r="GR35" i="1"/>
  <c r="GR38" i="1"/>
  <c r="GR44" i="1"/>
  <c r="GR43" i="1"/>
  <c r="GR45" i="1"/>
  <c r="GR49" i="1"/>
  <c r="GR62" i="1"/>
  <c r="GR64" i="1"/>
  <c r="GR70" i="1"/>
  <c r="GS5" i="1"/>
  <c r="GS85" i="1" s="1"/>
  <c r="GR7" i="1"/>
  <c r="GP64" i="1"/>
  <c r="GQ64" i="1" s="1"/>
  <c r="GP62" i="1"/>
  <c r="GQ62" i="1" s="1"/>
  <c r="GP49" i="1"/>
  <c r="GQ49" i="1" s="1"/>
  <c r="GP45" i="1"/>
  <c r="GQ45" i="1" s="1"/>
  <c r="GP43" i="1"/>
  <c r="GP44" i="1"/>
  <c r="GP31" i="1"/>
  <c r="GQ31" i="1" s="1"/>
  <c r="GP23" i="1"/>
  <c r="GP22" i="1"/>
  <c r="GP15" i="1"/>
  <c r="GP14" i="1"/>
  <c r="GQ14" i="1" s="1"/>
  <c r="GP13" i="1"/>
  <c r="GQ13" i="1" s="1"/>
  <c r="FU90" i="1"/>
  <c r="FU88" i="1"/>
  <c r="I88" i="1" s="1"/>
  <c r="FU87" i="1"/>
  <c r="FU86" i="1"/>
  <c r="FU10" i="1"/>
  <c r="FU11" i="1"/>
  <c r="FU12" i="1"/>
  <c r="FU13" i="1"/>
  <c r="FU14" i="1"/>
  <c r="FU15" i="1"/>
  <c r="FU16" i="1"/>
  <c r="FU17" i="1"/>
  <c r="FU19" i="1"/>
  <c r="FU20" i="1"/>
  <c r="FU21" i="1"/>
  <c r="FU22" i="1"/>
  <c r="FU23" i="1"/>
  <c r="FU24" i="1"/>
  <c r="FU25" i="1"/>
  <c r="FU26" i="1"/>
  <c r="FU27" i="1"/>
  <c r="FU29" i="1"/>
  <c r="FU30" i="1"/>
  <c r="FU31" i="1"/>
  <c r="FU32" i="1"/>
  <c r="FU33" i="1"/>
  <c r="FU34" i="1"/>
  <c r="FU35" i="1"/>
  <c r="FU38" i="1"/>
  <c r="FU39" i="1"/>
  <c r="FU41" i="1"/>
  <c r="FU42" i="1"/>
  <c r="FU44" i="1"/>
  <c r="FU43" i="1"/>
  <c r="FU45" i="1"/>
  <c r="FU46" i="1"/>
  <c r="FU48" i="1"/>
  <c r="FU49" i="1"/>
  <c r="FU47" i="1"/>
  <c r="FU50" i="1"/>
  <c r="FU54" i="1"/>
  <c r="FU56" i="1"/>
  <c r="FU61" i="1"/>
  <c r="FU62" i="1"/>
  <c r="FU64" i="1"/>
  <c r="FU66" i="1"/>
  <c r="FU67" i="1"/>
  <c r="FU68" i="1"/>
  <c r="FU70" i="1"/>
  <c r="FU8" i="1"/>
  <c r="DS86" i="1"/>
  <c r="DS87" i="1"/>
  <c r="G6" i="10" s="1"/>
  <c r="DS88" i="1"/>
  <c r="DS90" i="1"/>
  <c r="G9" i="10" s="1"/>
  <c r="DS10" i="1"/>
  <c r="DS11" i="1"/>
  <c r="DS12" i="1"/>
  <c r="DS13" i="1"/>
  <c r="DS14" i="1"/>
  <c r="DS15" i="1"/>
  <c r="DS16" i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8" i="1"/>
  <c r="DS39" i="1"/>
  <c r="DS41" i="1"/>
  <c r="DS42" i="1"/>
  <c r="DS44" i="1"/>
  <c r="DS43" i="1"/>
  <c r="DS45" i="1"/>
  <c r="DS46" i="1"/>
  <c r="DS48" i="1"/>
  <c r="DS49" i="1"/>
  <c r="DS47" i="1"/>
  <c r="DS50" i="1"/>
  <c r="DS54" i="1"/>
  <c r="DS56" i="1"/>
  <c r="DS62" i="1"/>
  <c r="DS64" i="1"/>
  <c r="DS66" i="1"/>
  <c r="DS67" i="1"/>
  <c r="DS68" i="1"/>
  <c r="DS70" i="1"/>
  <c r="BJ31" i="1"/>
  <c r="BJ44" i="1"/>
  <c r="BJ43" i="1"/>
  <c r="BJ45" i="1"/>
  <c r="BJ49" i="1"/>
  <c r="BJ62" i="1"/>
  <c r="BJ64" i="1"/>
  <c r="BJ67" i="1"/>
  <c r="BJ68" i="1"/>
  <c r="BJ70" i="1"/>
  <c r="C85" i="1"/>
  <c r="H91" i="1"/>
  <c r="G90" i="1"/>
  <c r="C93" i="4" s="1"/>
  <c r="GR93" i="4" s="1"/>
  <c r="G88" i="1"/>
  <c r="C91" i="4" s="1"/>
  <c r="GR91" i="4" s="1"/>
  <c r="G87" i="1"/>
  <c r="C90" i="4" s="1"/>
  <c r="GR90" i="4" s="1"/>
  <c r="G86" i="1"/>
  <c r="C89" i="4" s="1"/>
  <c r="GR89" i="4" s="1"/>
  <c r="F85" i="1"/>
  <c r="E85" i="1"/>
  <c r="F80" i="1"/>
  <c r="C71" i="4"/>
  <c r="GR71" i="4" s="1"/>
  <c r="D67" i="2" s="1"/>
  <c r="G68" i="1"/>
  <c r="C69" i="4" s="1"/>
  <c r="GR69" i="4" s="1"/>
  <c r="D65" i="2" s="1"/>
  <c r="G67" i="1"/>
  <c r="C68" i="4" s="1"/>
  <c r="GR68" i="4" s="1"/>
  <c r="D64" i="2" s="1"/>
  <c r="C67" i="4"/>
  <c r="GR67" i="4" s="1"/>
  <c r="D63" i="2" s="1"/>
  <c r="C65" i="4"/>
  <c r="GR65" i="4" s="1"/>
  <c r="D61" i="2" s="1"/>
  <c r="C63" i="4"/>
  <c r="GR63" i="4" s="1"/>
  <c r="D59" i="2" s="1"/>
  <c r="C62" i="4"/>
  <c r="GR62" i="4" s="1"/>
  <c r="D58" i="2" s="1"/>
  <c r="C57" i="4"/>
  <c r="GR57" i="4" s="1"/>
  <c r="D53" i="2" s="1"/>
  <c r="C55" i="4"/>
  <c r="GR55" i="4" s="1"/>
  <c r="D51" i="2" s="1"/>
  <c r="G50" i="1"/>
  <c r="C51" i="4" s="1"/>
  <c r="GR51" i="4" s="1"/>
  <c r="D47" i="2" s="1"/>
  <c r="G47" i="1"/>
  <c r="C48" i="4" s="1"/>
  <c r="GR48" i="4" s="1"/>
  <c r="D44" i="2" s="1"/>
  <c r="G49" i="1"/>
  <c r="C50" i="4" s="1"/>
  <c r="GR50" i="4" s="1"/>
  <c r="D46" i="2" s="1"/>
  <c r="G48" i="1"/>
  <c r="C49" i="4" s="1"/>
  <c r="GR49" i="4" s="1"/>
  <c r="D45" i="2" s="1"/>
  <c r="G46" i="1"/>
  <c r="C47" i="4" s="1"/>
  <c r="GR47" i="4" s="1"/>
  <c r="D43" i="2" s="1"/>
  <c r="G45" i="1"/>
  <c r="C46" i="4" s="1"/>
  <c r="GR46" i="4" s="1"/>
  <c r="D42" i="2" s="1"/>
  <c r="G43" i="1"/>
  <c r="C44" i="4" s="1"/>
  <c r="GR44" i="4" s="1"/>
  <c r="D40" i="2" s="1"/>
  <c r="GS44" i="1"/>
  <c r="G42" i="1"/>
  <c r="C43" i="4" s="1"/>
  <c r="GR43" i="4" s="1"/>
  <c r="D39" i="2" s="1"/>
  <c r="G41" i="1"/>
  <c r="C42" i="4" s="1"/>
  <c r="GR42" i="4" s="1"/>
  <c r="D38" i="2" s="1"/>
  <c r="G39" i="1"/>
  <c r="C40" i="4" s="1"/>
  <c r="GR40" i="4" s="1"/>
  <c r="D36" i="2" s="1"/>
  <c r="G38" i="1"/>
  <c r="C39" i="4" s="1"/>
  <c r="GR39" i="4" s="1"/>
  <c r="D35" i="2" s="1"/>
  <c r="G35" i="1"/>
  <c r="C36" i="4" s="1"/>
  <c r="GR36" i="4" s="1"/>
  <c r="D32" i="2" s="1"/>
  <c r="G34" i="1"/>
  <c r="C34" i="4" s="1"/>
  <c r="GR34" i="4" s="1"/>
  <c r="D31" i="2" s="1"/>
  <c r="G33" i="1"/>
  <c r="C33" i="4" s="1"/>
  <c r="GR33" i="4" s="1"/>
  <c r="D30" i="2" s="1"/>
  <c r="G32" i="1"/>
  <c r="C32" i="4" s="1"/>
  <c r="GR32" i="4" s="1"/>
  <c r="D29" i="2" s="1"/>
  <c r="G31" i="1"/>
  <c r="C31" i="4" s="1"/>
  <c r="GR31" i="4" s="1"/>
  <c r="D28" i="2" s="1"/>
  <c r="G30" i="1"/>
  <c r="C30" i="4" s="1"/>
  <c r="GR30" i="4" s="1"/>
  <c r="D27" i="2" s="1"/>
  <c r="G29" i="1"/>
  <c r="C29" i="4" s="1"/>
  <c r="GR29" i="4" s="1"/>
  <c r="D26" i="2" s="1"/>
  <c r="G27" i="1"/>
  <c r="C27" i="4" s="1"/>
  <c r="GR27" i="4" s="1"/>
  <c r="D24" i="2" s="1"/>
  <c r="G26" i="1"/>
  <c r="C26" i="4" s="1"/>
  <c r="GR26" i="4" s="1"/>
  <c r="D23" i="2" s="1"/>
  <c r="G25" i="1"/>
  <c r="C25" i="4" s="1"/>
  <c r="GR25" i="4" s="1"/>
  <c r="D22" i="2" s="1"/>
  <c r="G24" i="1"/>
  <c r="C24" i="4" s="1"/>
  <c r="GR24" i="4" s="1"/>
  <c r="D21" i="2" s="1"/>
  <c r="G23" i="1"/>
  <c r="C23" i="4" s="1"/>
  <c r="GR23" i="4" s="1"/>
  <c r="D20" i="2" s="1"/>
  <c r="G22" i="1"/>
  <c r="C22" i="4" s="1"/>
  <c r="GR22" i="4" s="1"/>
  <c r="D19" i="2" s="1"/>
  <c r="G21" i="1"/>
  <c r="C21" i="4" s="1"/>
  <c r="GR21" i="4" s="1"/>
  <c r="D18" i="2" s="1"/>
  <c r="G20" i="1"/>
  <c r="C20" i="4" s="1"/>
  <c r="GR20" i="4" s="1"/>
  <c r="D17" i="2" s="1"/>
  <c r="E80" i="1"/>
  <c r="G17" i="1"/>
  <c r="C17" i="4" s="1"/>
  <c r="GR17" i="4" s="1"/>
  <c r="D14" i="2" s="1"/>
  <c r="G16" i="1"/>
  <c r="C16" i="4" s="1"/>
  <c r="GR16" i="4" s="1"/>
  <c r="D13" i="2" s="1"/>
  <c r="G15" i="1"/>
  <c r="C15" i="4" s="1"/>
  <c r="GR15" i="4" s="1"/>
  <c r="D12" i="2" s="1"/>
  <c r="G14" i="1"/>
  <c r="C14" i="4" s="1"/>
  <c r="GR14" i="4" s="1"/>
  <c r="D11" i="2" s="1"/>
  <c r="G13" i="1"/>
  <c r="C13" i="4" s="1"/>
  <c r="GR13" i="4" s="1"/>
  <c r="D10" i="2" s="1"/>
  <c r="G12" i="1"/>
  <c r="C12" i="4" s="1"/>
  <c r="GR12" i="4" s="1"/>
  <c r="D9" i="2" s="1"/>
  <c r="G11" i="1"/>
  <c r="C11" i="4" s="1"/>
  <c r="GR11" i="4" s="1"/>
  <c r="D8" i="2" s="1"/>
  <c r="G10" i="1"/>
  <c r="C10" i="4" s="1"/>
  <c r="GR10" i="4" s="1"/>
  <c r="D7" i="2" s="1"/>
  <c r="A10" i="1"/>
  <c r="GR94" i="4" l="1"/>
  <c r="I90" i="1"/>
  <c r="H9" i="10"/>
  <c r="H5" i="10"/>
  <c r="I86" i="1"/>
  <c r="H6" i="10"/>
  <c r="I87" i="1"/>
  <c r="H7" i="10"/>
  <c r="GQ43" i="1"/>
  <c r="G5" i="10"/>
  <c r="G7" i="10"/>
  <c r="GW14" i="1"/>
  <c r="GW16" i="1"/>
  <c r="GQ38" i="1"/>
  <c r="GZ105" i="5"/>
  <c r="GZ106" i="5"/>
  <c r="GZ107" i="5"/>
  <c r="GZ108" i="5"/>
  <c r="GS86" i="1"/>
  <c r="GS87" i="1"/>
  <c r="GS67" i="1"/>
  <c r="GS88" i="1"/>
  <c r="GS90" i="1"/>
  <c r="GS15" i="1"/>
  <c r="GS29" i="1"/>
  <c r="GS34" i="1"/>
  <c r="GS42" i="1"/>
  <c r="GS49" i="1"/>
  <c r="GS61" i="1"/>
  <c r="GS70" i="1"/>
  <c r="GS16" i="1"/>
  <c r="GS25" i="1"/>
  <c r="GS33" i="1"/>
  <c r="GS39" i="1"/>
  <c r="GS56" i="1"/>
  <c r="GS13" i="1"/>
  <c r="GS22" i="1"/>
  <c r="GS26" i="1"/>
  <c r="GS31" i="1"/>
  <c r="GS43" i="1"/>
  <c r="GS48" i="1"/>
  <c r="GS47" i="1"/>
  <c r="GS11" i="1"/>
  <c r="GS20" i="1"/>
  <c r="GS24" i="1"/>
  <c r="GS32" i="1"/>
  <c r="GS38" i="1"/>
  <c r="GS46" i="1"/>
  <c r="GS54" i="1"/>
  <c r="GS12" i="1"/>
  <c r="GS17" i="1"/>
  <c r="GS21" i="1"/>
  <c r="GS30" i="1"/>
  <c r="GS35" i="1"/>
  <c r="GS62" i="1"/>
  <c r="GS66" i="1"/>
  <c r="GS10" i="1"/>
  <c r="GS14" i="1"/>
  <c r="GS23" i="1"/>
  <c r="GS27" i="1"/>
  <c r="GS41" i="1"/>
  <c r="GS45" i="1"/>
  <c r="GS50" i="1"/>
  <c r="GS64" i="1"/>
  <c r="GS68" i="1"/>
  <c r="GS9" i="1"/>
  <c r="GQ44" i="1"/>
  <c r="BJ87" i="1"/>
  <c r="BJ9" i="1"/>
  <c r="BJ33" i="1"/>
  <c r="BJ88" i="1"/>
  <c r="BJ56" i="1"/>
  <c r="BJ50" i="1"/>
  <c r="BJ39" i="1"/>
  <c r="BJ30" i="1"/>
  <c r="BJ35" i="1"/>
  <c r="BJ47" i="1"/>
  <c r="GP48" i="1"/>
  <c r="GQ48" i="1" s="1"/>
  <c r="GP39" i="1"/>
  <c r="GQ39" i="1" s="1"/>
  <c r="BJ46" i="1"/>
  <c r="GP56" i="1"/>
  <c r="GQ56" i="1" s="1"/>
  <c r="GP50" i="1"/>
  <c r="GQ50" i="1" s="1"/>
  <c r="BJ41" i="1"/>
  <c r="BJ90" i="1"/>
  <c r="BJ29" i="1"/>
  <c r="BJ34" i="1"/>
  <c r="BJ42" i="1"/>
  <c r="BJ54" i="1"/>
  <c r="BJ32" i="1"/>
  <c r="BJ86" i="1"/>
  <c r="GR20" i="1"/>
  <c r="GR39" i="1"/>
  <c r="GR41" i="1"/>
  <c r="GR61" i="1"/>
  <c r="GR66" i="1"/>
  <c r="A11" i="1"/>
  <c r="GR10" i="1"/>
  <c r="GR25" i="1"/>
  <c r="GR54" i="1"/>
  <c r="GP86" i="1"/>
  <c r="GP35" i="1"/>
  <c r="GQ35" i="1" s="1"/>
  <c r="GP47" i="1"/>
  <c r="GP46" i="1"/>
  <c r="GQ46" i="1" s="1"/>
  <c r="GP34" i="1"/>
  <c r="GP30" i="1"/>
  <c r="GQ30" i="1" s="1"/>
  <c r="GR46" i="1"/>
  <c r="GP9" i="1"/>
  <c r="GQ9" i="1" s="1"/>
  <c r="GP10" i="1"/>
  <c r="GQ10" i="1" s="1"/>
  <c r="GP11" i="1"/>
  <c r="GR90" i="1"/>
  <c r="GR91" i="1" s="1"/>
  <c r="GR31" i="1"/>
  <c r="GP17" i="1"/>
  <c r="GQ17" i="1" s="1"/>
  <c r="GP21" i="1"/>
  <c r="GQ21" i="1" s="1"/>
  <c r="GQ22" i="1"/>
  <c r="GP24" i="1"/>
  <c r="GP25" i="1"/>
  <c r="GQ25" i="1" s="1"/>
  <c r="GR47" i="1"/>
  <c r="GR48" i="1"/>
  <c r="GQ15" i="1"/>
  <c r="GP32" i="1"/>
  <c r="GQ32" i="1" s="1"/>
  <c r="GR50" i="1"/>
  <c r="GQ23" i="1"/>
  <c r="GP19" i="1"/>
  <c r="GQ19" i="1" s="1"/>
  <c r="GP90" i="1"/>
  <c r="GQ90" i="1" s="1"/>
  <c r="GR68" i="1"/>
  <c r="GR23" i="1"/>
  <c r="GP88" i="1"/>
  <c r="GP12" i="1"/>
  <c r="GQ12" i="1" s="1"/>
  <c r="GP41" i="1"/>
  <c r="GP20" i="1"/>
  <c r="GP29" i="1"/>
  <c r="GP54" i="1"/>
  <c r="GQ54" i="1" s="1"/>
  <c r="GP26" i="1"/>
  <c r="GP27" i="1"/>
  <c r="GP42" i="1"/>
  <c r="GP61" i="1"/>
  <c r="GP87" i="1"/>
  <c r="G19" i="1"/>
  <c r="C19" i="4" s="1"/>
  <c r="GR19" i="4" s="1"/>
  <c r="D16" i="2" s="1"/>
  <c r="GQ24" i="1" l="1"/>
  <c r="GQ26" i="1"/>
  <c r="GQ29" i="1"/>
  <c r="GQ34" i="1"/>
  <c r="GR80" i="1"/>
  <c r="GQ61" i="1"/>
  <c r="GQ41" i="1"/>
  <c r="GQ42" i="1"/>
  <c r="GQ47" i="1"/>
  <c r="GQ20" i="1"/>
  <c r="GW15" i="1"/>
  <c r="GQ27" i="1"/>
  <c r="GQ11" i="1"/>
  <c r="GQ88" i="1"/>
  <c r="F7" i="10"/>
  <c r="GQ86" i="1"/>
  <c r="F5" i="10"/>
  <c r="S5" i="10" s="1"/>
  <c r="GQ87" i="1"/>
  <c r="F6" i="10"/>
  <c r="F9" i="10"/>
  <c r="A12" i="1"/>
  <c r="GS91" i="1"/>
  <c r="GS19" i="1"/>
  <c r="GP80" i="1"/>
  <c r="I91" i="1" l="1"/>
  <c r="R9" i="10"/>
  <c r="S9" i="10"/>
  <c r="S6" i="10"/>
  <c r="R6" i="10"/>
  <c r="R7" i="10"/>
  <c r="S7" i="10"/>
  <c r="R5" i="10"/>
  <c r="A13" i="1"/>
  <c r="GQ91" i="1"/>
  <c r="GQ80" i="1"/>
  <c r="R19" i="10" l="1"/>
  <c r="A14" i="1"/>
  <c r="N19" i="2"/>
  <c r="O19" i="2"/>
  <c r="N17" i="2"/>
  <c r="O17" i="2"/>
  <c r="N16" i="2"/>
  <c r="O16" i="2"/>
  <c r="N14" i="2"/>
  <c r="O14" i="2"/>
  <c r="N13" i="2"/>
  <c r="O13" i="2"/>
  <c r="N12" i="2"/>
  <c r="O12" i="2"/>
  <c r="N11" i="2"/>
  <c r="O11" i="2"/>
  <c r="N10" i="2"/>
  <c r="O10" i="2"/>
  <c r="N9" i="2"/>
  <c r="O9" i="2"/>
  <c r="N8" i="2"/>
  <c r="O8" i="2"/>
  <c r="N7" i="2"/>
  <c r="O7" i="2"/>
  <c r="N6" i="2"/>
  <c r="O6" i="2"/>
  <c r="BJ27" i="1"/>
  <c r="BJ25" i="1"/>
  <c r="BJ24" i="1"/>
  <c r="BJ22" i="1"/>
  <c r="BJ21" i="1"/>
  <c r="BJ20" i="1"/>
  <c r="BJ19" i="1"/>
  <c r="BJ15" i="1"/>
  <c r="BJ13" i="1"/>
  <c r="A15" i="1" l="1"/>
  <c r="N78" i="2"/>
  <c r="E8" i="1"/>
  <c r="BJ10" i="1"/>
  <c r="BJ11" i="1"/>
  <c r="BJ26" i="1"/>
  <c r="FU9" i="1"/>
  <c r="F8" i="1"/>
  <c r="BJ23" i="1"/>
  <c r="BJ16" i="1"/>
  <c r="BJ14" i="1"/>
  <c r="D8" i="1"/>
  <c r="BJ12" i="1"/>
  <c r="BJ17" i="1"/>
  <c r="A16" i="1" l="1"/>
  <c r="N82" i="2"/>
  <c r="N93" i="2"/>
  <c r="A17" i="1" l="1"/>
  <c r="A55" i="4"/>
  <c r="A51" i="2" s="1"/>
  <c r="A19" i="1" l="1"/>
  <c r="A56" i="4"/>
  <c r="A57" i="4" s="1"/>
  <c r="A52" i="2" l="1"/>
  <c r="A20" i="1"/>
  <c r="A21" i="1" l="1"/>
  <c r="A53" i="2" l="1"/>
  <c r="A58" i="4"/>
  <c r="A22" i="1"/>
  <c r="A60" i="4" l="1"/>
  <c r="A56" i="2" s="1"/>
  <c r="A54" i="2"/>
  <c r="A23" i="1"/>
  <c r="A24" i="1" l="1"/>
  <c r="A61" i="4"/>
  <c r="A57" i="2" s="1"/>
  <c r="A25" i="1" l="1"/>
  <c r="A62" i="4"/>
  <c r="A58" i="2" s="1"/>
  <c r="A26" i="1" l="1"/>
  <c r="A63" i="4"/>
  <c r="A59" i="2" s="1"/>
  <c r="A27" i="1" l="1"/>
  <c r="A64" i="4"/>
  <c r="A60" i="2" s="1"/>
  <c r="A28" i="1" l="1"/>
  <c r="A65" i="4"/>
  <c r="A61" i="2" s="1"/>
  <c r="A29" i="1" l="1"/>
  <c r="A66" i="4"/>
  <c r="A62" i="2" s="1"/>
  <c r="A30" i="1" l="1"/>
  <c r="A67" i="4"/>
  <c r="A63" i="2" s="1"/>
  <c r="A31" i="1" l="1"/>
  <c r="A68" i="4"/>
  <c r="A64" i="2" s="1"/>
  <c r="A32" i="1" l="1"/>
  <c r="A69" i="4"/>
  <c r="A70" i="4" l="1"/>
  <c r="A66" i="2" s="1"/>
  <c r="A65" i="2"/>
  <c r="A33" i="1"/>
  <c r="A71" i="4" l="1"/>
  <c r="A67" i="2" s="1"/>
  <c r="A34" i="1"/>
  <c r="A72" i="4" l="1"/>
  <c r="A68" i="2" s="1"/>
  <c r="A35" i="1"/>
  <c r="A73" i="4" l="1"/>
  <c r="A74" i="4" s="1"/>
  <c r="A75" i="4" s="1"/>
  <c r="A76" i="4" s="1"/>
  <c r="A77" i="4" s="1"/>
  <c r="A78" i="4" s="1"/>
  <c r="A37" i="1"/>
  <c r="A69" i="2" l="1"/>
  <c r="A70" i="2"/>
  <c r="A71" i="2"/>
  <c r="A38" i="1"/>
  <c r="A74" i="2" l="1"/>
  <c r="A39" i="1"/>
  <c r="A79" i="4" l="1"/>
  <c r="A75" i="2" s="1"/>
  <c r="A72" i="2"/>
  <c r="A73" i="2"/>
  <c r="A40" i="1"/>
  <c r="A80" i="4" l="1"/>
  <c r="A76" i="2" s="1"/>
  <c r="A41" i="1"/>
  <c r="A81" i="4" l="1"/>
  <c r="A77" i="2" s="1"/>
  <c r="A42" i="1"/>
  <c r="GP83" i="4"/>
  <c r="GQ38" i="4"/>
  <c r="I83" i="4"/>
  <c r="A82" i="4" l="1"/>
  <c r="A43" i="1"/>
  <c r="GQ83" i="4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s="1"/>
  <c r="A55" i="1" s="1"/>
  <c r="A56" i="1" s="1"/>
  <c r="A57" i="1" l="1"/>
  <c r="A59" i="1" l="1"/>
  <c r="A60" i="1" l="1"/>
  <c r="A61" i="1" l="1"/>
  <c r="A62" i="1" l="1"/>
  <c r="A63" i="1" l="1"/>
  <c r="A64" i="1" l="1"/>
  <c r="A65" i="1" l="1"/>
  <c r="A66" i="1" l="1"/>
  <c r="A67" i="1" l="1"/>
  <c r="A68" i="1" l="1"/>
  <c r="A69" i="1" l="1"/>
  <c r="A70" i="1" l="1"/>
  <c r="A71" i="1" l="1"/>
  <c r="A72" i="1" l="1"/>
  <c r="A73" i="1" l="1"/>
  <c r="A74" i="1" l="1"/>
  <c r="A75" i="1" l="1"/>
  <c r="A76" i="1" l="1"/>
  <c r="A77" i="1" l="1"/>
  <c r="A78" i="1" l="1"/>
  <c r="A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90" authorId="0" shapeId="0" xr:uid="{954E9B2A-2218-4370-B9CA-829924473AC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Формула!</t>
        </r>
      </text>
    </comment>
    <comment ref="I91" authorId="0" shapeId="0" xr:uid="{61DA3A5C-B0F8-43A7-B96A-3988431F6BB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Формула!</t>
        </r>
      </text>
    </comment>
    <comment ref="I92" authorId="0" shapeId="0" xr:uid="{8A2D31D8-2F6B-4408-AF5E-C9414A512E88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формула!</t>
        </r>
      </text>
    </comment>
    <comment ref="I93" authorId="0" shapeId="0" xr:uid="{79D57FB8-42AE-4817-824F-4E3E0D4B444A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Формула!</t>
        </r>
      </text>
    </comment>
  </commentList>
</comments>
</file>

<file path=xl/sharedStrings.xml><?xml version="1.0" encoding="utf-8"?>
<sst xmlns="http://schemas.openxmlformats.org/spreadsheetml/2006/main" count="1378" uniqueCount="637">
  <si>
    <t>№ п/п</t>
  </si>
  <si>
    <t>сырье</t>
  </si>
  <si>
    <t>Полоцк КХП</t>
  </si>
  <si>
    <t>вит В2</t>
  </si>
  <si>
    <t>вит В6</t>
  </si>
  <si>
    <t>вит В12</t>
  </si>
  <si>
    <t>вит В5 (ниацин)</t>
  </si>
  <si>
    <t>калий йод</t>
  </si>
  <si>
    <t>кобальт у/к</t>
  </si>
  <si>
    <t>медный купорос</t>
  </si>
  <si>
    <t>селенит натрия</t>
  </si>
  <si>
    <t>сера</t>
  </si>
  <si>
    <t>сульфат железа</t>
  </si>
  <si>
    <t>сульфат марганца</t>
  </si>
  <si>
    <t>монокальцийфосфат (МКФ)</t>
  </si>
  <si>
    <t>фосфат дефторированный (ДФФ)</t>
  </si>
  <si>
    <t>Метионин</t>
  </si>
  <si>
    <t>вит В3, Нутравит В5 (кальпан)</t>
  </si>
  <si>
    <t>Оксикап</t>
  </si>
  <si>
    <t>БиоПлюс YC</t>
  </si>
  <si>
    <t>Меносвит</t>
  </si>
  <si>
    <t>Новихол</t>
  </si>
  <si>
    <t>Новират плюс</t>
  </si>
  <si>
    <t>Пулкокс С</t>
  </si>
  <si>
    <t>КонСепт Форте</t>
  </si>
  <si>
    <t>вит В1 (тиамин)</t>
  </si>
  <si>
    <t>вит Д3, нутравит Д3</t>
  </si>
  <si>
    <t>Гидрокарбонат натрия Е500 (сода)</t>
  </si>
  <si>
    <t>Полифат А600</t>
  </si>
  <si>
    <t>Аскорбиновая к-та (вит С)</t>
  </si>
  <si>
    <t>вит Е, токомикс 500</t>
  </si>
  <si>
    <t>Микосорб</t>
  </si>
  <si>
    <t>и-сак</t>
  </si>
  <si>
    <t>Актиген</t>
  </si>
  <si>
    <t>Биогром Энерджи</t>
  </si>
  <si>
    <t>Гепатрон</t>
  </si>
  <si>
    <t xml:space="preserve">Декстроза </t>
  </si>
  <si>
    <t>декабрь</t>
  </si>
  <si>
    <t xml:space="preserve">Запас на ОТЧЕТНУЮ дату </t>
  </si>
  <si>
    <t>Остаток на Полоцке после произв-ва</t>
  </si>
  <si>
    <t xml:space="preserve">Соль пищ выварочн сорт экстра </t>
  </si>
  <si>
    <t>МЕГАсодиум</t>
  </si>
  <si>
    <t>январь</t>
  </si>
  <si>
    <t>февраль</t>
  </si>
  <si>
    <t>ИТОГО</t>
  </si>
  <si>
    <t>март</t>
  </si>
  <si>
    <t>кальций хлористый пищ Фудикс</t>
  </si>
  <si>
    <t>кальция пропионат</t>
  </si>
  <si>
    <t>цинковый купорос+ сульфат цинка</t>
  </si>
  <si>
    <t>Выработка, т</t>
  </si>
  <si>
    <t>дата выработки/планирования</t>
  </si>
  <si>
    <t>число</t>
  </si>
  <si>
    <t>планировать закупку</t>
  </si>
  <si>
    <t xml:space="preserve">перевезти с Липковской или закупить </t>
  </si>
  <si>
    <t>отр.  число</t>
  </si>
  <si>
    <t>СРОЧНО ЗАКУПАТЬ!!!!</t>
  </si>
  <si>
    <t>окись магния, порошок магнезитовый</t>
  </si>
  <si>
    <t>№ плц</t>
  </si>
  <si>
    <t>наимен рецепта</t>
  </si>
  <si>
    <t>дата</t>
  </si>
  <si>
    <t>планируемые на выработку рецепты</t>
  </si>
  <si>
    <t>поставленные на выработку рецепты</t>
  </si>
  <si>
    <t>выработанные рецепты в указанную дату</t>
  </si>
  <si>
    <t>планировать закупку, держать на контроле</t>
  </si>
  <si>
    <t>Дойное</t>
  </si>
  <si>
    <t>МЕШКИ</t>
  </si>
  <si>
    <t>Полоцк</t>
  </si>
  <si>
    <t>Липковская</t>
  </si>
  <si>
    <t>Планируемый остаток</t>
  </si>
  <si>
    <t>Остаток на начало месяца</t>
  </si>
  <si>
    <t>вит Вс (В9, фолиевая к-та)</t>
  </si>
  <si>
    <t>МКТ2 560*900*140  1ый сух ОРАНЖЕВЫЕ</t>
  </si>
  <si>
    <t>МКТ2 560*900*140  2ой сух БИРЮЗОВЫЕ</t>
  </si>
  <si>
    <t>МТЛК (о) 56*90*13 (Украина)  Дойное ЗЕЛЕНЫЕ</t>
  </si>
  <si>
    <t>п. - партия</t>
  </si>
  <si>
    <t>ИТОГО МЕШКИ</t>
  </si>
  <si>
    <t>Стретч-пленка (кг)</t>
  </si>
  <si>
    <t>Стретч-пленка (кг) Ручная обмотка</t>
  </si>
  <si>
    <t xml:space="preserve">Потребность на </t>
  </si>
  <si>
    <t>Потребность в закупке на</t>
  </si>
  <si>
    <t>Ориентировочная цена</t>
  </si>
  <si>
    <t>Ориентировочная стоимость с НДС</t>
  </si>
  <si>
    <t>Запас на Липковской на нач. мес.</t>
  </si>
  <si>
    <t>РАСХОД ЗА  ПРЕДЫДУЩИЙ МЕСЯЦ</t>
  </si>
  <si>
    <t>МКТ2 560*900*140 (ОРАНЖЕВЫЙ, ОБЩИЙ)</t>
  </si>
  <si>
    <t>СтартАп, Калф, Хайфер, птица</t>
  </si>
  <si>
    <t>мониторим остатки и планируем закупку</t>
  </si>
  <si>
    <t>ждем поставку/поставка от поставщиков РФ</t>
  </si>
  <si>
    <t>СРЕДНЕМЕСЯЧНЫЙ РАСХОД   за текущий квартал</t>
  </si>
  <si>
    <t>РАСХОД ЗА  предыдущий месяц</t>
  </si>
  <si>
    <t>ПЛАН</t>
  </si>
  <si>
    <t>ФАКТ</t>
  </si>
  <si>
    <t xml:space="preserve">Итого к закупке </t>
  </si>
  <si>
    <t xml:space="preserve">Остаток ЗА ОТЧЕТНУЮ дату </t>
  </si>
  <si>
    <r>
      <t>Расход за мес. (</t>
    </r>
    <r>
      <rPr>
        <b/>
        <sz val="11"/>
        <color rgb="FFFF0000"/>
        <rFont val="Calibri"/>
        <family val="2"/>
        <charset val="204"/>
      </rPr>
      <t>оперативный</t>
    </r>
    <r>
      <rPr>
        <sz val="11"/>
        <color rgb="FFFF0000"/>
        <rFont val="Calibri"/>
        <family val="2"/>
        <charset val="204"/>
      </rPr>
      <t>)</t>
    </r>
  </si>
  <si>
    <r>
      <t>Расход за текущий мес. (</t>
    </r>
    <r>
      <rPr>
        <b/>
        <sz val="11"/>
        <color rgb="FFFF0000"/>
        <rFont val="Calibri"/>
        <family val="2"/>
        <charset val="204"/>
      </rPr>
      <t>оперативный</t>
    </r>
    <r>
      <rPr>
        <sz val="11"/>
        <color rgb="FFFF0000"/>
        <rFont val="Calibri"/>
        <family val="2"/>
        <charset val="204"/>
      </rPr>
      <t>)</t>
    </r>
  </si>
  <si>
    <t>остатки, которые надо закрыть</t>
  </si>
  <si>
    <t>Люманце</t>
  </si>
  <si>
    <t>Трикальцийфосфат</t>
  </si>
  <si>
    <t>ДП60-3 1й сух, Свитязянка</t>
  </si>
  <si>
    <t>Биоплекс цинк</t>
  </si>
  <si>
    <t>Биоплекс марганец</t>
  </si>
  <si>
    <t>Фекорд -2012-Ф гр.2</t>
  </si>
  <si>
    <t xml:space="preserve">Фитазим С (гр. 3), акт 10000 ед/г </t>
  </si>
  <si>
    <t>апрель</t>
  </si>
  <si>
    <t>май</t>
  </si>
  <si>
    <t>июнь</t>
  </si>
  <si>
    <t>среднемесячный расход  за предыдущий квартал</t>
  </si>
  <si>
    <t>ДПКР-2 Хайфер, Восх.заря</t>
  </si>
  <si>
    <t>на пересчет рецепта</t>
  </si>
  <si>
    <t>Биоплекс медь</t>
  </si>
  <si>
    <t>остаток на</t>
  </si>
  <si>
    <t>Токсинфайбер</t>
  </si>
  <si>
    <t>Сел-плекс 2300 (Сел-плекс )</t>
  </si>
  <si>
    <t>мука известняковая</t>
  </si>
  <si>
    <t>Луктаром Молочно-Ванильный</t>
  </si>
  <si>
    <t>вит Н (биотин) (бипекс Н2)</t>
  </si>
  <si>
    <t>йодат кальция</t>
  </si>
  <si>
    <t>ДП60-3 2й сух, Свитязянка</t>
  </si>
  <si>
    <t>ДП60-3 дойное, Полесская нива</t>
  </si>
  <si>
    <t>ДП60-3 2й сух, Бакуново</t>
  </si>
  <si>
    <t>Биопромис Хром пиколинат</t>
  </si>
  <si>
    <t>МеноХерб</t>
  </si>
  <si>
    <t>ДП60-3, дойное, Восх.заря</t>
  </si>
  <si>
    <t>ДПКР-2, Хайфер, Восх.заря</t>
  </si>
  <si>
    <t>Фекорд -2012-Ф гр.1</t>
  </si>
  <si>
    <t>Биогром Холин</t>
  </si>
  <si>
    <t>июль</t>
  </si>
  <si>
    <t>август</t>
  </si>
  <si>
    <t>сентябрь</t>
  </si>
  <si>
    <t>ожидаемый остаток</t>
  </si>
  <si>
    <t>ДП60-3, 2й сух, Восх.заря</t>
  </si>
  <si>
    <t>Отгрузка</t>
  </si>
  <si>
    <t>Сыворотка молочная деминерал.</t>
  </si>
  <si>
    <t>ДП60-3, новотел, Осовецкий</t>
  </si>
  <si>
    <t>октябрь</t>
  </si>
  <si>
    <t>ноябрь</t>
  </si>
  <si>
    <t>Наименование</t>
  </si>
  <si>
    <t>ДП60-3, дойное, Минский, Бакуново</t>
  </si>
  <si>
    <t>МеноМет</t>
  </si>
  <si>
    <t>Энерфат</t>
  </si>
  <si>
    <t>сульфат магния Кизерит</t>
  </si>
  <si>
    <t>сульфат магния б/водный, магний с/кисл.</t>
  </si>
  <si>
    <t>ДПКР-2, Хайфер, ФХ Юлиан</t>
  </si>
  <si>
    <t>ДПКР-1, Мумуша в к/к Восх.заря</t>
  </si>
  <si>
    <t>итого расход с начала года</t>
  </si>
  <si>
    <t>Биопромис Селен Пауэр</t>
  </si>
  <si>
    <t>Заявка за закупку сырья</t>
  </si>
  <si>
    <t>ДПКР-2, Калф, Восх.заря</t>
  </si>
  <si>
    <t>ДП60-3, дойное, Городилово</t>
  </si>
  <si>
    <t>ДП60-3/40/плц-233</t>
  </si>
  <si>
    <t>ДПКР-2, Казахстан</t>
  </si>
  <si>
    <t xml:space="preserve">2 декада </t>
  </si>
  <si>
    <t xml:space="preserve">3 декада </t>
  </si>
  <si>
    <t xml:space="preserve">ИТОГО </t>
  </si>
  <si>
    <t>Корм. концентрат ЭКСТРА ФИД Ф</t>
  </si>
  <si>
    <t>Корм.концентрат  Ультра Фид Ф</t>
  </si>
  <si>
    <t>ДП60-3 новотел, Восх.заря</t>
  </si>
  <si>
    <t>ДП60-3 новотел, Межлесское</t>
  </si>
  <si>
    <t>Селениум Ист 3000</t>
  </si>
  <si>
    <t>ДП60-3 2й сух, Восх.заря</t>
  </si>
  <si>
    <t>Био-Мос</t>
  </si>
  <si>
    <t>отруби</t>
  </si>
  <si>
    <t>% мехпот.</t>
  </si>
  <si>
    <t>ДП60-3 дойное, ФХ Юлиан</t>
  </si>
  <si>
    <t>ПКР-2 Газовик-Сипаково, БИРЖА</t>
  </si>
  <si>
    <t>к/корм</t>
  </si>
  <si>
    <t>жмых льяной</t>
  </si>
  <si>
    <t>Береза</t>
  </si>
  <si>
    <t>Мацкевичи</t>
  </si>
  <si>
    <t>ИТОГО ПОЛОЦК:</t>
  </si>
  <si>
    <t>ВСЕГО:</t>
  </si>
  <si>
    <t>Файбрамакс</t>
  </si>
  <si>
    <t>ДП60-3 1й сух, склад</t>
  </si>
  <si>
    <t>2027-2028</t>
  </si>
  <si>
    <t>годность</t>
  </si>
  <si>
    <t>ДП60-3  2й сух, Припять-2009</t>
  </si>
  <si>
    <t>ДП60-3  2й сух, Свитязянка</t>
  </si>
  <si>
    <t>расход за</t>
  </si>
  <si>
    <t>ДПКР-1 Мумуша в к/к Сестричество</t>
  </si>
  <si>
    <t>ДП60-3 новотел, Дубно</t>
  </si>
  <si>
    <t>ДП60-3 2й сух, Дубно</t>
  </si>
  <si>
    <t>ДП60-3 1й сух, Дубно</t>
  </si>
  <si>
    <t>Хромсодержащие дрожжи</t>
  </si>
  <si>
    <t>Диоксид кремния Ковелос У2</t>
  </si>
  <si>
    <t>ДП60-3 2й сух, Казахстан</t>
  </si>
  <si>
    <t>ДП60-3 дойное, Казахстан</t>
  </si>
  <si>
    <t>ДП60-3 СтартАп, Решающий</t>
  </si>
  <si>
    <t>ДПКР-2, в к/к ФХ Юлиан</t>
  </si>
  <si>
    <t>ДП60-3 дойное, в к/к Сестричество</t>
  </si>
  <si>
    <t>ДП60-3 Антистресс,         1 мая</t>
  </si>
  <si>
    <t>ДП60-3 2й сух, Решающий</t>
  </si>
  <si>
    <t>ДП60-3 дойное, Городилово</t>
  </si>
  <si>
    <t>ДП60-3 дойное, 1 Мая</t>
  </si>
  <si>
    <t>ДП60-3 новотел, Савушкино</t>
  </si>
  <si>
    <t>ДП60-3 дойное, Остромечево</t>
  </si>
  <si>
    <t>Новотел</t>
  </si>
  <si>
    <t>Январь</t>
  </si>
  <si>
    <t>Май</t>
  </si>
  <si>
    <t>ДП60-3 2й сух, Припять-2009, БИРЖА</t>
  </si>
  <si>
    <t>ДП60-3 Антистресс Мумуша, Бакуново</t>
  </si>
  <si>
    <t>ДП60-3, дойное, Савушкина пуща</t>
  </si>
  <si>
    <t>ДП60-3, дойное, АгроСолы, БИРЖА</t>
  </si>
  <si>
    <t>ДП60-3 Антистресс, Лебедева</t>
  </si>
  <si>
    <t>Диоксид кремния Экстрасил</t>
  </si>
  <si>
    <t>ДПКР-2 Хайфер, ФХ Юлиан</t>
  </si>
  <si>
    <t>ДП60-3 мастит, Путь новый</t>
  </si>
  <si>
    <t>Виусид-Вет</t>
  </si>
  <si>
    <t>ДП60-3 Антистресс Мумуша, Остромечево</t>
  </si>
  <si>
    <t>Премикс П60 1% для КРС (хром)</t>
  </si>
  <si>
    <t>Премикс П60-3 (плц-212, биохром)</t>
  </si>
  <si>
    <t>ДПКР-1, Больтюша в к/к Лебедева</t>
  </si>
  <si>
    <t>ДП60-3 новотел, Лебедева</t>
  </si>
  <si>
    <t>МКТ2 560*900*140  СИНИЕ</t>
  </si>
  <si>
    <t>1й  сух</t>
  </si>
  <si>
    <t xml:space="preserve">2й сух </t>
  </si>
  <si>
    <t>Карбонат калия  гранул</t>
  </si>
  <si>
    <t>Карбонат калия (поташ)</t>
  </si>
  <si>
    <t>Первый сух</t>
  </si>
  <si>
    <t xml:space="preserve">Второй сух </t>
  </si>
  <si>
    <t>ОБЩИЕ</t>
  </si>
  <si>
    <t>ПОЛОЦК</t>
  </si>
  <si>
    <t>Июнь</t>
  </si>
  <si>
    <t>КДК-1</t>
  </si>
  <si>
    <t>МУМУША</t>
  </si>
  <si>
    <t xml:space="preserve">Бумажные </t>
  </si>
  <si>
    <t>Мумуша-2</t>
  </si>
  <si>
    <t>КДК-1 МУМУША</t>
  </si>
  <si>
    <t>ДП60-3 Антистресс Мумуша, Несвиж. островки</t>
  </si>
  <si>
    <t>ДП60-3 1й сух, Шапчицы агро</t>
  </si>
  <si>
    <t>КАЗАХСТАН</t>
  </si>
  <si>
    <t>Июль</t>
  </si>
  <si>
    <t>ДП60-3  новотел, Свитязянка</t>
  </si>
  <si>
    <t xml:space="preserve">ДПКР-2 3% в к/к </t>
  </si>
  <si>
    <t>ДП60-3 дойное мумуша, Дубрава-агро</t>
  </si>
  <si>
    <t>ДП60-3 Антистресс, Мумуша , Дубрава-агро</t>
  </si>
  <si>
    <t>вит А 1000000</t>
  </si>
  <si>
    <t>Колевит вит Д3</t>
  </si>
  <si>
    <t>Апсавит вит А1000</t>
  </si>
  <si>
    <t>ДП60-3 дойное, Остромечево БИРЖА</t>
  </si>
  <si>
    <t>ДП60-3  новотел, ФХ Юлиан</t>
  </si>
  <si>
    <t>ДП60-3 Биохром, Унибокс</t>
  </si>
  <si>
    <t>ДП60-3  новотел, Бакуново</t>
  </si>
  <si>
    <t>ДП60-3, новотел  0-30 дней после отела, Казахстан</t>
  </si>
  <si>
    <t>ДП60-3 2й сух АС, Журавлиное, БИРЖА</t>
  </si>
  <si>
    <t>ДП60-3 новотел, АгроМилк БИРЖА</t>
  </si>
  <si>
    <t>ДП60-3 1й сух, АгроМилк БИРЖА</t>
  </si>
  <si>
    <t>ДП60-3 2й сух, АгроМилк БИРЖА</t>
  </si>
  <si>
    <t>ДПКР-2 Калф, Восх.заря</t>
  </si>
  <si>
    <t>Остаток на начало месяца / остаток на конец месяца</t>
  </si>
  <si>
    <t>5000 / 5000</t>
  </si>
  <si>
    <t>0 / 0</t>
  </si>
  <si>
    <t>ДП60-3   1й сух, Восх.заря</t>
  </si>
  <si>
    <t>ДП60-3 дойное биохром, Восх.заря</t>
  </si>
  <si>
    <t>ДП60-3   2й сух, Восх.заря</t>
  </si>
  <si>
    <t>ДП60-3 АС,             с-з Минский</t>
  </si>
  <si>
    <t>Дрожжевые клетки Saccharomyces</t>
  </si>
  <si>
    <t>Август</t>
  </si>
  <si>
    <t>Сентябрь</t>
  </si>
  <si>
    <t>ДП60-3 1й сух, Осовецкий</t>
  </si>
  <si>
    <t>ДП60-3 2й сух,  Осовецкий</t>
  </si>
  <si>
    <t>ДП60-3 новотел,  Осовецкий</t>
  </si>
  <si>
    <t>ДП60-3 2й сух,  Решающий</t>
  </si>
  <si>
    <t>ДП60-3 СтартАп,  Решающий</t>
  </si>
  <si>
    <t>ДП60-3   1й сух, Савушкино</t>
  </si>
  <si>
    <t>ДП60-3   2й сух, Савушкино</t>
  </si>
  <si>
    <t>ДП60-3   НОВОТЕЛ, Савушкино</t>
  </si>
  <si>
    <t>ВСЕГО :</t>
  </si>
  <si>
    <t>ДПКР-1 1% в ЗЦМ КАЗАХСТАН</t>
  </si>
  <si>
    <t>ДПКР-1/20/плц-16</t>
  </si>
  <si>
    <t>Эсид-Пак</t>
  </si>
  <si>
    <t>ДП60-3 новотел, Свитязянка</t>
  </si>
  <si>
    <t>ДПКР-1 Мумуша в к/к  Восх.заря</t>
  </si>
  <si>
    <t>ДП60-3 1й сух, ФХ Юлиан, склад</t>
  </si>
  <si>
    <t>ДП60-3, мастит, Путь новый</t>
  </si>
  <si>
    <t>ДП60-3 новотел, ФХ Юлиан</t>
  </si>
  <si>
    <t>ДП60-3 2й сух, ФХ Юлиан</t>
  </si>
  <si>
    <t>ДП60-3 2й сух, Деньщикова</t>
  </si>
  <si>
    <t>ДП60-3, дойное, Гирки, БИРЖА</t>
  </si>
  <si>
    <t>ДП60-3 2й сух, Полесская нива</t>
  </si>
  <si>
    <t>ДП60-3, дойное, с-з Минский / Бакуново</t>
  </si>
  <si>
    <t>ДП60-3 новотел, Орешковичи</t>
  </si>
  <si>
    <t>ДП60-3 2й сух, Орешковичи</t>
  </si>
  <si>
    <t>расход за текущий месяц на</t>
  </si>
  <si>
    <t>ДПКР-1 Больтюша в к/к  Лебедева</t>
  </si>
  <si>
    <t>ДПКР-2 КАЛФ, Восх.заря</t>
  </si>
  <si>
    <t>ДП60-3, новотел, Восх.заря</t>
  </si>
  <si>
    <t>ДП60-3 1й сух, Савушкино</t>
  </si>
  <si>
    <t>ДП60-3   Антистресс, Мумуша, Дубрава</t>
  </si>
  <si>
    <t>ДП60-3  дойное, Мумуша, Дубрава</t>
  </si>
  <si>
    <t>ДП60-3   НОВОТЕЛ, Лебедева Ветка</t>
  </si>
  <si>
    <t>ДП60-3 1й сух, Решающий</t>
  </si>
  <si>
    <t>ДП60-3, дойное, в к/к Сестричество</t>
  </si>
  <si>
    <t>ДПКР-2 3%             в к/к  ФХ Юлиан</t>
  </si>
  <si>
    <t>ДП60-3   2й сух, Бакуново</t>
  </si>
  <si>
    <t>ДП60-3   Антистресс, Мумуша, Лебедева</t>
  </si>
  <si>
    <t>ДП60-3 дойное, КАЗАХСТАН</t>
  </si>
  <si>
    <t>ДП60-3 новотел, КАЗАХСТАН</t>
  </si>
  <si>
    <t xml:space="preserve">67,5 / </t>
  </si>
  <si>
    <t>ДП60-3   дойное, 1 Мая</t>
  </si>
  <si>
    <t>ДП60-3   2й сух Мумуша АС, Журавлиное, БИРЖА</t>
  </si>
  <si>
    <t>ДП60-3   дойное Мумуша, С-з Минский, БИРЖА</t>
  </si>
  <si>
    <t>ДП60-3   НОВОТЕЛ, Бакуново</t>
  </si>
  <si>
    <t>ДП60-3   2й сух, Лебедева Ветка, 1 Мая</t>
  </si>
  <si>
    <t>ДП60-3   дойное, Осовецкий</t>
  </si>
  <si>
    <t>ДП60-3   дойное, АгроСолы</t>
  </si>
  <si>
    <t>ДП60-3  дойное Мумуша, Дубрава, БИРЖА</t>
  </si>
  <si>
    <t>ДП60-3   дойное, Лебедева Ветка</t>
  </si>
  <si>
    <t>ДП60-3   дойное, Бвкуново</t>
  </si>
  <si>
    <t>ДПКР-1 Мумуша, Городилово</t>
  </si>
  <si>
    <t>ДП60-3   НОВОТЕЛ, ФХ Юлиан</t>
  </si>
  <si>
    <t>ДП60-3   дойное, ФХ Юлиан</t>
  </si>
  <si>
    <t>МиТаргет (Метионин защищённый)</t>
  </si>
  <si>
    <t>ДП60-3   дойное, Гирки, БИРЖА</t>
  </si>
  <si>
    <t>ДП60-3   дойное Мумуша, С-з Минский</t>
  </si>
  <si>
    <t>ДП60-3   дойное, Полесская нива</t>
  </si>
  <si>
    <t>ДП60-3 2й сух, Осовецкий</t>
  </si>
  <si>
    <t>ДП60-3 новотел, Осовецкий</t>
  </si>
  <si>
    <t>ДП60-3 2й сух, Савушкино</t>
  </si>
  <si>
    <t>ДП60-3 Анионные соли, Родина Я.Коласа</t>
  </si>
  <si>
    <t>ДП60-3  для снижения соматических клеток, Снитово-Агро</t>
  </si>
  <si>
    <t>ДП60-3/320/плц-35</t>
  </si>
  <si>
    <t>7100 / 2100</t>
  </si>
  <si>
    <t>15850 / 15850</t>
  </si>
  <si>
    <t xml:space="preserve"> 5074 /  4722</t>
  </si>
  <si>
    <t>6384 / 5768</t>
  </si>
  <si>
    <t>3132 / 5228</t>
  </si>
  <si>
    <t>4052 / 3232</t>
  </si>
  <si>
    <t>2504 / 1920</t>
  </si>
  <si>
    <t>ДП60-3  2й сух Мумуша, Припять-2009, БИРЖА</t>
  </si>
  <si>
    <t>ДПКР-2 Сипаково, Биржа</t>
  </si>
  <si>
    <t>ДП60-3   дойное, Киселевцы</t>
  </si>
  <si>
    <t>ДП60-3  2й сух Киселевцы</t>
  </si>
  <si>
    <t>ДП60-3 1й сух, Решающий, склад</t>
  </si>
  <si>
    <t>ДПКР-2 Хайфер, склад</t>
  </si>
  <si>
    <t>ДП60-3 2й сух, Новодворское-агро</t>
  </si>
  <si>
    <t>ДП60-3 2й сух</t>
  </si>
  <si>
    <t>ДП60-3/20/плц-35</t>
  </si>
  <si>
    <t>ДПКР-2 в к/к ФХ Юлиан</t>
  </si>
  <si>
    <t>ДПКР-1 Больтюша в к/к Путь новый, Жилихово</t>
  </si>
  <si>
    <t>ДП60-3  дойное Мумуша, Лебедева, БИРЖА</t>
  </si>
  <si>
    <t>ДП60-3, дойное, Осовецкий</t>
  </si>
  <si>
    <t>ДП60-3, дойное в к/к Сестричество</t>
  </si>
  <si>
    <t>расход с начала года на дату отчета</t>
  </si>
  <si>
    <t>Расход за 9 месяцев</t>
  </si>
  <si>
    <t>ср/мес за 9 мес</t>
  </si>
  <si>
    <t>потребность на год</t>
  </si>
  <si>
    <t>в 2024 посталено</t>
  </si>
  <si>
    <t>в 2025 посталено</t>
  </si>
  <si>
    <t>ДП60-3, дойное, 1 Мая</t>
  </si>
  <si>
    <t>ДП60-3  дойное Мумуша, с-з Минский</t>
  </si>
  <si>
    <t>ДП60-3  с пробиотиком, Кривая гряда</t>
  </si>
  <si>
    <t>ДП60-3, дойное, Киселевцы</t>
  </si>
  <si>
    <t>ДП60-3, дойное, Бакуново, склад</t>
  </si>
  <si>
    <t>ДП60-3 1й сух, Савушкино, склад</t>
  </si>
  <si>
    <t>ДП60-3  дойное, ФХ Юлиан</t>
  </si>
  <si>
    <t>ДПКР-1 Мумуша в к/к Восх.заря, ФХ Юлиан</t>
  </si>
  <si>
    <t>ДП60-3  2й сух, Савушкино</t>
  </si>
  <si>
    <t>ДП60-3   дойное, АгроСолы, БИРЖА</t>
  </si>
  <si>
    <t>ДПКР-1 Больтюша в к/к Путь новый</t>
  </si>
  <si>
    <t>ДП60-3   НОВОТЕЛ, Свитязянка</t>
  </si>
  <si>
    <t>ДП60-3   1й сух, Свитязянка</t>
  </si>
  <si>
    <t>ДП60-3   2й сух, Свитязянка</t>
  </si>
  <si>
    <t>ДП60-3   НОВОТЕЛ, Савушкина пуща</t>
  </si>
  <si>
    <t>ДП60-3  2й сух, Савушкина пуща</t>
  </si>
  <si>
    <t>ДП60-3   НОВОТЕЛ, Межлесское</t>
  </si>
  <si>
    <t>ДПКР-2, Калф, Васх.заря</t>
  </si>
  <si>
    <t>ДП60-3 2й сух Мумуша, Журавлиное, БИРЖА</t>
  </si>
  <si>
    <t>ДП60-3 2й сух Мумуша, Припять-2009, БИРЖА</t>
  </si>
  <si>
    <t>ДП60-3 2й сух, Бакуново, 1 Мая</t>
  </si>
  <si>
    <t>Запас на Липковской на нач. мес. / конц мес.</t>
  </si>
  <si>
    <t>Октябрь</t>
  </si>
  <si>
    <t>ДП60-3 1й сух, Лебедева Ветка</t>
  </si>
  <si>
    <t>ДП60-3 2й сух, Лебедева Ветка</t>
  </si>
  <si>
    <t>ДП60-3 1й сух, Бакуново</t>
  </si>
  <si>
    <t>ДП60-3   дойное, Савушкина пуща</t>
  </si>
  <si>
    <t>ДПКР-2, Калф, Доброволец, БИРЖА</t>
  </si>
  <si>
    <t>ДП60-3  дойное Мумуша, с-з Минский, БИРЖА</t>
  </si>
  <si>
    <t>ДП60-3/40/плц-117</t>
  </si>
  <si>
    <t>ДП60-3/40/плц-127</t>
  </si>
  <si>
    <t>ДП60-3/40/плц-135</t>
  </si>
  <si>
    <t>ДП60-3   дойное, Киселёвцы</t>
  </si>
  <si>
    <t>ДП60-3   дойное Мумуша, Дубрава-Агро, БИРЖА</t>
  </si>
  <si>
    <t>ДП60-3   дойное, Восх. Заря</t>
  </si>
  <si>
    <t>ДП60-3   2й сух, Восх. Заря</t>
  </si>
  <si>
    <t>ДП60-3   новотел, Восх. Заря</t>
  </si>
  <si>
    <t>ДП60-3   1й сух, Восх. Заря</t>
  </si>
  <si>
    <t>ДП60-3  дойное Мумуша (ДейриБаланс), Макарово, БИРЖА</t>
  </si>
  <si>
    <t>ДП60-3 1й сух, Савушкина пуща</t>
  </si>
  <si>
    <t>Ноябрь</t>
  </si>
  <si>
    <t xml:space="preserve">0 / </t>
  </si>
  <si>
    <t xml:space="preserve">1 декада </t>
  </si>
  <si>
    <t>На СветлогорскХимволокно</t>
  </si>
  <si>
    <t xml:space="preserve">П/проп. ламинир. с печатью </t>
  </si>
  <si>
    <t>№ логотипа</t>
  </si>
  <si>
    <t>Липро</t>
  </si>
  <si>
    <t>ДП60-3 1й сух, КАЗАХСТАН</t>
  </si>
  <si>
    <t>ДП60-3, 2й сух, Бакуново, склад</t>
  </si>
  <si>
    <t>ДПКР-2 в к/к Сестричество</t>
  </si>
  <si>
    <t>ДПКР-1, Мумуша в к/к Сестричество</t>
  </si>
  <si>
    <t>ДПКР-2 Хайфер</t>
  </si>
  <si>
    <t>ДП60-3   дойное, Восх.заря</t>
  </si>
  <si>
    <t>ДП60-3   2й сух, ФХ Юлиан</t>
  </si>
  <si>
    <t>ДП60-3 1й сух, Савушкина пуща, ФХ Юлиан</t>
  </si>
  <si>
    <t>ДП60-3   НОВОТЕЛ, Восх.заря</t>
  </si>
  <si>
    <t>ДПКР-2, КАЗАХСТАН</t>
  </si>
  <si>
    <t>ДП60-3 1й сух, Шапчицы</t>
  </si>
  <si>
    <t>Другие склады и реализация</t>
  </si>
  <si>
    <t>ХолиТаргет (для реализации)</t>
  </si>
  <si>
    <t>МиТаргет (для реализации)</t>
  </si>
  <si>
    <t>ПКР-2 Газовик-Сипаково, Биржа</t>
  </si>
  <si>
    <t>ДП60-3 НОВОТЕЛ, Лебедева</t>
  </si>
  <si>
    <t>ДП60-3  с пробиотиком Кривая гряда</t>
  </si>
  <si>
    <t>ДП60-3   2й сух, Киселёвцы</t>
  </si>
  <si>
    <t>ДП60-3 1й сух, 1 Мая</t>
  </si>
  <si>
    <t>5000 /  0</t>
  </si>
  <si>
    <t>10850 / 5850</t>
  </si>
  <si>
    <t>0 / 5000</t>
  </si>
  <si>
    <t>ДП60-3   дойное, С-з Минский, БИРЖА</t>
  </si>
  <si>
    <t>ДП60-3   АС, 1 Мая</t>
  </si>
  <si>
    <t>ДП60-3   НОВОТЕЛ, Орешковичи</t>
  </si>
  <si>
    <t>ДП60-3   1й сух, ФХ Юлиан</t>
  </si>
  <si>
    <t>вит А 1000</t>
  </si>
  <si>
    <t>вит Д3 500</t>
  </si>
  <si>
    <t>вит Е 50%</t>
  </si>
  <si>
    <t>вит В6 (пиридоксин)</t>
  </si>
  <si>
    <t xml:space="preserve">вит Н (биотин) </t>
  </si>
  <si>
    <t>Стретч-пленка для паллетообмотчика (кг)</t>
  </si>
  <si>
    <t>первый сухостой</t>
  </si>
  <si>
    <t>ОБЩИЙ</t>
  </si>
  <si>
    <t>МКТ2 560*900*140 (ОРАНЖЕВЫЙ, ОБЩИЙ): СтартАп, Антистресс, Антимастит, Калф, Хайфер и др.</t>
  </si>
  <si>
    <t>второй сухостой</t>
  </si>
  <si>
    <t>1й сух</t>
  </si>
  <si>
    <t>2й сух</t>
  </si>
  <si>
    <t>дойное</t>
  </si>
  <si>
    <t>общий</t>
  </si>
  <si>
    <t>Сохим</t>
  </si>
  <si>
    <t>КДК-1 Мумуша</t>
  </si>
  <si>
    <t>Мешки полипропиленовые</t>
  </si>
  <si>
    <t>Наличие на площадках:</t>
  </si>
  <si>
    <t>ДП60-3   дойное Мумуша, Лебедева Ветка</t>
  </si>
  <si>
    <t>ДП60-3   НОВОТЕЛ, АгроМилк, БИРЖА</t>
  </si>
  <si>
    <t>ДП60-3   2й сух, АгроМилк, БИРЖА</t>
  </si>
  <si>
    <t>ДП60-3   1й сух, АгроМилк, БИРЖА</t>
  </si>
  <si>
    <t>Олеобиотик</t>
  </si>
  <si>
    <t>ДП60-3, дойное, Бакуново</t>
  </si>
  <si>
    <t>ДП60-3, дойное, АгроСолы</t>
  </si>
  <si>
    <t>Мешок бумажный КДК-2</t>
  </si>
  <si>
    <t>ламинированный</t>
  </si>
  <si>
    <t xml:space="preserve"> 4118  / 8514</t>
  </si>
  <si>
    <t>4770 / 3788</t>
  </si>
  <si>
    <t>3396 / 5900</t>
  </si>
  <si>
    <t>6840 / 5948</t>
  </si>
  <si>
    <t>6028 / 4804</t>
  </si>
  <si>
    <t>110 / 192,5</t>
  </si>
  <si>
    <t>ДП60-3   дойное Мумуша, Агро-Детковичи, БИРЖА</t>
  </si>
  <si>
    <t>Оптиген</t>
  </si>
  <si>
    <t>Жмых льняной Мацкевичи</t>
  </si>
  <si>
    <t>Соевое масло Мацкевичи (ФрешПроБаланс)</t>
  </si>
  <si>
    <t>ДП60-3  2й сух, Савушкина пуща, Савушкино</t>
  </si>
  <si>
    <t>ДП60-3   дойное Мумуша (ДейриБаланс), Макарово-агро, БИРЖА</t>
  </si>
  <si>
    <t>ДП60-3   НОВОТЕЛ, Городилово</t>
  </si>
  <si>
    <t>Декабрь</t>
  </si>
  <si>
    <t>Остаток на</t>
  </si>
  <si>
    <t>Ср/мес расход 2026 г.</t>
  </si>
  <si>
    <t>ср/мес за 2025 г.</t>
  </si>
  <si>
    <t>Запас в мес по ср/мес расх. за 2025 г</t>
  </si>
  <si>
    <t>I-158 (дойное)</t>
  </si>
  <si>
    <t>I-121 (Общие)</t>
  </si>
  <si>
    <t>I-124/1 (Мумуша)</t>
  </si>
  <si>
    <t>ДП60-3   2й сух, Зеленевичи</t>
  </si>
  <si>
    <t>ДП60-3   НОВОТЕЛ,  Зеленевичи</t>
  </si>
  <si>
    <t>ДП60-3   1й сух, Зеленевичи</t>
  </si>
  <si>
    <t>ДП60-3  мастит, Видомлянское</t>
  </si>
  <si>
    <t>ДП60-3   дойное 1 Мая</t>
  </si>
  <si>
    <t>ДП60-3   дойное Мумуша, Зеленевичи</t>
  </si>
  <si>
    <t>ДП60-3   дойное Мумуша, с-з Минский</t>
  </si>
  <si>
    <t>ДП60-3   1й сух 1 Мая</t>
  </si>
  <si>
    <t>ДП60-3   1й сух, Шапчицы</t>
  </si>
  <si>
    <t>ДП60-3   2й сух, Осовецкий</t>
  </si>
  <si>
    <t>ДП60-3   НОВОТЕЛ, Осовецкий</t>
  </si>
  <si>
    <t>ДП60-3   1й сух, Осовецкий</t>
  </si>
  <si>
    <t>ДПКР-2, в к/к</t>
  </si>
  <si>
    <t>51 А</t>
  </si>
  <si>
    <t>ДП60-3   1й сух, Утес</t>
  </si>
  <si>
    <t>ДП60-3   2й сух, Утес</t>
  </si>
  <si>
    <t xml:space="preserve">Расход мешков  </t>
  </si>
  <si>
    <t>ИТОГО:</t>
  </si>
  <si>
    <t>ОРАНЖЕВЫЕ</t>
  </si>
  <si>
    <t xml:space="preserve"> БИРЮЗОВЫЕ</t>
  </si>
  <si>
    <t>ЗЕЛЕНЫЕ</t>
  </si>
  <si>
    <t xml:space="preserve"> ОРАНЖЕВЫЕ</t>
  </si>
  <si>
    <t>СИНИЕ                         (с июня 2025)</t>
  </si>
  <si>
    <t>Мумуша-2               (с ноября 2025)</t>
  </si>
  <si>
    <t>ДП60-3   1й сух, Полесская нива</t>
  </si>
  <si>
    <t>ДП60-3  2й сух, Журавлиное, БИРЖА</t>
  </si>
  <si>
    <t>ДП60-3   дойное, Бакуново</t>
  </si>
  <si>
    <t>ДП60-3   дойное, Агросолы</t>
  </si>
  <si>
    <t>ДП60-3   2й сух, Киселевцы</t>
  </si>
  <si>
    <t>ДП60-3   2й сух Мумуша, Припять-2009, БИРЖА</t>
  </si>
  <si>
    <t>Оптима 100</t>
  </si>
  <si>
    <t>ДП60-3   дойное Мумуша, Минский</t>
  </si>
  <si>
    <t>ДП60-3  1й сух, Шапчицы</t>
  </si>
  <si>
    <t>ДП60-3  ЭНЕРГЕТИК</t>
  </si>
  <si>
    <t>Сыворотка</t>
  </si>
  <si>
    <t>Концентрат СЖК</t>
  </si>
  <si>
    <t>отруби/мука пшеничная</t>
  </si>
  <si>
    <t>ДП60-3  НОВОТЕЛ, Свитязянка</t>
  </si>
  <si>
    <t>ДП60-3  1й сух, Свитязянка</t>
  </si>
  <si>
    <t>ДП60-3 2й сух, КАЗАХСТАН</t>
  </si>
  <si>
    <t>Нупро</t>
  </si>
  <si>
    <t>ДП60-3 НОВОТЕЛ, ФХ Юлиан</t>
  </si>
  <si>
    <t>ДП60-3 1й сух, ФХ Юлиан</t>
  </si>
  <si>
    <t>ДП60-3 1й сух, Минский</t>
  </si>
  <si>
    <t>ПКР-2, Газовик-Сипаково, БИРЖА</t>
  </si>
  <si>
    <t>запас в месяцах</t>
  </si>
  <si>
    <t>Запас  на нач. мес.</t>
  </si>
  <si>
    <t>ДП60-3   1й сух, С-з Минский</t>
  </si>
  <si>
    <t>ДП60-3  2й сух,  С-з Минский</t>
  </si>
  <si>
    <t>ДП60-3   НОВОТЕЛ,  С-з Минский</t>
  </si>
  <si>
    <t>ДП60-3   транзит, в к/к Сестричество</t>
  </si>
  <si>
    <t>ДП60-3 Мумуша, дойное (ДейриБаланс) Макарово, БИРЖА</t>
  </si>
  <si>
    <t>ДП60-3   дойное, с-з Минский</t>
  </si>
  <si>
    <t>ДПКР-2, Орешковичи</t>
  </si>
  <si>
    <t>нет бумажных мешков</t>
  </si>
  <si>
    <t>Остаток на 02.03.26</t>
  </si>
  <si>
    <t xml:space="preserve">Оперативный </t>
  </si>
  <si>
    <t>за февраль</t>
  </si>
  <si>
    <t>5 т Глобал по 2,15 бронь</t>
  </si>
  <si>
    <t>ХИ  3 т спецификация</t>
  </si>
  <si>
    <t>ХИ  5 т спецификация</t>
  </si>
  <si>
    <t>ХИ  10 т спецификация</t>
  </si>
  <si>
    <t>Выработка премиксов</t>
  </si>
  <si>
    <t>Ср/месячный расход</t>
  </si>
  <si>
    <t>ДП60-3   Анионные соли, Киселевцы</t>
  </si>
  <si>
    <t>в пути</t>
  </si>
  <si>
    <t>Остаток на Липковской или</t>
  </si>
  <si>
    <t>ДП60-3   2й сух, Видомлянское</t>
  </si>
  <si>
    <t>ДП60-3   дойное, Агро-Солы</t>
  </si>
  <si>
    <t>ДП60-3  2й сух, Припять-2009, БИРЖА</t>
  </si>
  <si>
    <t>Менаро сливки</t>
  </si>
  <si>
    <t>ДП60-3   1й сух, Савушкина пуща</t>
  </si>
  <si>
    <t>ДП60-3   2й сух, Лебедева Ветка</t>
  </si>
  <si>
    <t>ДП60-3  2й сух, ФХ Юлиан</t>
  </si>
  <si>
    <t>ДПКР-1 Мумуша в к/к КАЗАХСТАН</t>
  </si>
  <si>
    <t>ДП60-3   НОВОТЕЛ, КАЗАХСТАН</t>
  </si>
  <si>
    <t>ДП60-3   дойное МУМУША, Видомлянское</t>
  </si>
  <si>
    <t>ДП60-3   1й сух, 1 Мая</t>
  </si>
  <si>
    <t>ДП60-3   дойное, Савушкина пуща (склад)</t>
  </si>
  <si>
    <t>ДП60-3   дойное Мумуша, Лебедева Ветка, БИРЖА</t>
  </si>
  <si>
    <t>ДП60-3 1й сух, Лебедева Ветка, БИРЖА</t>
  </si>
  <si>
    <t>ДП60-3   2й сух, Лебедева Ветка, БИРЖА</t>
  </si>
  <si>
    <t>ДП60-3  Биохром, ФХ Юлиан</t>
  </si>
  <si>
    <t>нет регистрации</t>
  </si>
  <si>
    <t>ДП60-3   НОВОТЕЛ, Неверовичи</t>
  </si>
  <si>
    <t>ДП60-3   1й сух, Неверовичи</t>
  </si>
  <si>
    <t>Февраль</t>
  </si>
  <si>
    <t>Расход за 2025 г.</t>
  </si>
  <si>
    <t>среднемесячный расход на площадках по производству комбикормов  (Береза, Мацкевичи)</t>
  </si>
  <si>
    <t>ДПКР-2, в к/к ФХ Юлиан, Сестричество</t>
  </si>
  <si>
    <t>ДП60-3  2й сух АС, Журавлиное, БИРЖА</t>
  </si>
  <si>
    <t>ДП60-3   дойное Мумуша, Дубрава-Агро</t>
  </si>
  <si>
    <t>ДП60-3  2й сух, Орешковичи</t>
  </si>
  <si>
    <t>Стретч-пленка для пал/обмотчика У (кг)</t>
  </si>
  <si>
    <t>Март</t>
  </si>
  <si>
    <t>Х</t>
  </si>
  <si>
    <t>среднемесячный расход на производжственных площадках (Полоцк, Береза, Мацкевичи)</t>
  </si>
  <si>
    <t>ДП60-3  НОВОТЕЛ, Орешковичи</t>
  </si>
  <si>
    <t>ДП60-3   дойное Мумуша, ДейриБаланс, Макарово-Агро, БИРЖА</t>
  </si>
  <si>
    <t>ДП60-3   дойное Мумуша, Видомлянское</t>
  </si>
  <si>
    <t>ПКР-2, Красный боец, ТЕНДЕР</t>
  </si>
  <si>
    <t>ДП60-3, ЭНЕРГЕТИК</t>
  </si>
  <si>
    <t>отруби/мука пшен</t>
  </si>
  <si>
    <t>ДП60-3, дойное, Полесская нива</t>
  </si>
  <si>
    <t>ДП60-3 сухостой, Красный боец, ТЕНДЕР</t>
  </si>
  <si>
    <t>ДП60-3 АС, Киселевцы</t>
  </si>
  <si>
    <t>ДП60-3 АС, 1 Мая</t>
  </si>
  <si>
    <t>Среднемесячный расход за                 1 кварт. 2026 г.</t>
  </si>
  <si>
    <t>май-июнь</t>
  </si>
  <si>
    <t>П60-3, Красный боец, ТЕНДЕР</t>
  </si>
  <si>
    <t>ост. на отч.дату</t>
  </si>
  <si>
    <t>приход</t>
  </si>
  <si>
    <t>ХолиТаргет</t>
  </si>
  <si>
    <t>ПКР-2, Гаховик-Сипаково, БИРЖА</t>
  </si>
  <si>
    <t>ДП60-3   ТРАНЗИТ, в к/к Сестричество</t>
  </si>
  <si>
    <t>ДП60-3   дойное, в к/к Сестричество</t>
  </si>
  <si>
    <t>ДП60-3   НОВОТЕЛ, АгроСолы</t>
  </si>
  <si>
    <t>ДП60-3, 1%, Малюшичи</t>
  </si>
  <si>
    <t>ПКР-2, КАЗАХСТАН</t>
  </si>
  <si>
    <t>ДП60-3 АС, Путь новый</t>
  </si>
  <si>
    <t>ДП60-3 Антистресс в КК</t>
  </si>
  <si>
    <t>ПРЕМИКСЫ</t>
  </si>
  <si>
    <t>Миалакто</t>
  </si>
  <si>
    <t>ДП60-3, Биохром, ФХ Юлиан</t>
  </si>
  <si>
    <t>ДП60-3   дойное Осовецкий</t>
  </si>
  <si>
    <t>на 23.04.26</t>
  </si>
  <si>
    <t>ДП60-3 Антистресс 1 Мая</t>
  </si>
  <si>
    <t>ДП60-3   НОВОТЕЛ, Красноармейская ПФ</t>
  </si>
  <si>
    <t>ДП60-3  дойное, Бакуново</t>
  </si>
  <si>
    <t>ДП60-3  Биохром, 1%</t>
  </si>
  <si>
    <t>хххх</t>
  </si>
  <si>
    <t>ДП60-3  НОВОТЕЛ, Савушкина пуща</t>
  </si>
  <si>
    <t>ДП60-3  1й сух, Савушкина пуща</t>
  </si>
  <si>
    <t>ДП60-3  1й сух, 1 Мая</t>
  </si>
  <si>
    <t>ДП60-3  дойное, Савушкина Пуща</t>
  </si>
  <si>
    <t>ДП60-3  АС,      1 мая</t>
  </si>
  <si>
    <t>ДПКР-2,        Калф, Восх.заря</t>
  </si>
  <si>
    <t>ДП60-3           Антистресс, 1 мая</t>
  </si>
  <si>
    <t>ДП60-3           Дойное             1 мая</t>
  </si>
  <si>
    <t>ДП60-3           пп про 1й сух,                      Восх. Заря</t>
  </si>
  <si>
    <t>ДП60-3   пп про Дойное, Восх.заря</t>
  </si>
  <si>
    <t>ДП60-3           пп про 1й сух,                      Покровский</t>
  </si>
  <si>
    <t>ДП60-3           пп про 2й сух,          Восх. Заря</t>
  </si>
  <si>
    <t>ДП60-3 про-s Новотел, Восх.заря</t>
  </si>
  <si>
    <t>ДП60-3           транзит,                      Видомлянское</t>
  </si>
  <si>
    <t>ДП60-3           2й сух, Мум, Припять-2009, биржа</t>
  </si>
  <si>
    <t>ДП60-3  Биохром,               ФХ Юлиан</t>
  </si>
  <si>
    <t>сульфат железа+моносульфер</t>
  </si>
  <si>
    <t>ДП60-3  дойное, Макарово-Агро (ДейриБаланс)</t>
  </si>
  <si>
    <t>ДП60-3  Антистресс, 1 Мая</t>
  </si>
  <si>
    <t>ДП60-3  АС, Малюшичи</t>
  </si>
  <si>
    <t>ДП60-3  НОВОТЕЛ, Савушкино</t>
  </si>
  <si>
    <t>ДП60-3  дойное, Киселевцы</t>
  </si>
  <si>
    <t>ДП60-3  2й сух, Киселевцы</t>
  </si>
  <si>
    <t>ДП60-3  АС, Киселевцы</t>
  </si>
  <si>
    <t>ДП60-3   1й сух ФХ Юлиан</t>
  </si>
  <si>
    <t>ДП60-3   1й сух Шапчицы</t>
  </si>
  <si>
    <t>ДП60-3   НОВОТЕЛ ФХ Юлиан</t>
  </si>
  <si>
    <t>ДП60-3  2й сух, Утес</t>
  </si>
  <si>
    <t>ДП60-3  Антистресс, Осовецкий</t>
  </si>
  <si>
    <t>ДП60-3  2й сух ФХ Юлиан</t>
  </si>
  <si>
    <t>ДП60-3  Антистресс,      1 мая</t>
  </si>
  <si>
    <t>ДП60-3 , Малюшичи</t>
  </si>
  <si>
    <t>Сахар</t>
  </si>
  <si>
    <t>ДП60-3  дойное,      1 мая</t>
  </si>
  <si>
    <t>ДП60-3  1й сух,      1 мая</t>
  </si>
  <si>
    <t>ДП60-3  дойное,  Бакуново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</si>
</sst>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00"/>
    <numFmt numFmtId="165" formatCode="_-* #,##0.000_-;\-* #,##0.000_-;_-* &quot;-&quot;??_-;_-@_-"/>
    <numFmt numFmtId="166" formatCode="_-* #,##0_-;\-* #,##0_-;_-* &quot;-&quot;??_-;_-@_-"/>
    <numFmt numFmtId="167" formatCode="0.000"/>
    <numFmt numFmtId="168" formatCode="#,##0.0"/>
    <numFmt numFmtId="169" formatCode="_-* #,##0.000\ _₽_-;\-* #,##0.000\ _₽_-;_-* &quot;-&quot;???\ _₽_-;_-@_-"/>
    <numFmt numFmtId="170" formatCode="_-* #,##0.0_-;\-* #,##0.0_-;_-* &quot;-&quot;??_-;_-@_-"/>
    <numFmt numFmtId="171" formatCode="_-* #,##0\ _₽_-;\-* #,##0\ _₽_-;_-* &quot;-&quot;???\ _₽_-;_-@_-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CC"/>
      <name val="Calibri"/>
      <family val="2"/>
      <charset val="204"/>
    </font>
    <font>
      <b/>
      <sz val="11"/>
      <name val="Calibri"/>
      <family val="2"/>
      <charset val="204"/>
    </font>
    <font>
      <sz val="11"/>
      <color theme="0"/>
      <name val="Calibri"/>
      <family val="2"/>
      <charset val="204"/>
    </font>
    <font>
      <sz val="10"/>
      <name val="Calibri"/>
      <family val="2"/>
      <charset val="204"/>
    </font>
    <font>
      <sz val="11"/>
      <color rgb="FFFF0066"/>
      <name val="Calibri"/>
      <family val="2"/>
      <charset val="204"/>
    </font>
    <font>
      <sz val="11"/>
      <color rgb="FF0000CC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rgb="FF0000CC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CC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name val="Calibri"/>
      <family val="2"/>
    </font>
    <font>
      <sz val="11"/>
      <color rgb="FFFF0066"/>
      <name val="Calibri"/>
      <family val="2"/>
    </font>
    <font>
      <sz val="11"/>
      <color rgb="FFFF0066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CC"/>
      <name val="Calibri"/>
      <family val="2"/>
    </font>
    <font>
      <b/>
      <sz val="11"/>
      <color rgb="FF0000CC"/>
      <name val="Calibri"/>
      <family val="2"/>
      <charset val="204"/>
      <scheme val="minor"/>
    </font>
    <font>
      <sz val="1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charset val="204"/>
      <scheme val="minor"/>
    </font>
    <font>
      <sz val="10"/>
      <color rgb="FFFF0000"/>
      <name val="Calibri"/>
      <family val="2"/>
    </font>
    <font>
      <sz val="12"/>
      <color theme="1"/>
      <name val="Calibri"/>
      <family val="2"/>
      <scheme val="minor"/>
    </font>
    <font>
      <sz val="11"/>
      <color rgb="FFFF6600"/>
      <name val="Calibri"/>
      <family val="2"/>
    </font>
    <font>
      <sz val="11"/>
      <color rgb="FFFF6600"/>
      <name val="Calibri"/>
      <family val="2"/>
      <scheme val="minor"/>
    </font>
    <font>
      <i/>
      <sz val="11"/>
      <color rgb="FFFF0000"/>
      <name val="Calibri"/>
      <family val="2"/>
      <charset val="204"/>
      <scheme val="minor"/>
    </font>
    <font>
      <i/>
      <sz val="11"/>
      <color rgb="FF0000CC"/>
      <name val="Calibri"/>
      <family val="2"/>
      <charset val="204"/>
      <scheme val="minor"/>
    </font>
    <font>
      <i/>
      <sz val="11"/>
      <color rgb="FFFF6600"/>
      <name val="Calibri"/>
      <family val="2"/>
      <scheme val="minor"/>
    </font>
    <font>
      <i/>
      <sz val="11"/>
      <color theme="5" tint="-0.249977111117893"/>
      <name val="Calibri"/>
      <family val="2"/>
      <charset val="204"/>
    </font>
    <font>
      <i/>
      <sz val="11"/>
      <color theme="0"/>
      <name val="Calibri"/>
      <family val="2"/>
      <charset val="204"/>
    </font>
    <font>
      <i/>
      <sz val="11"/>
      <color rgb="FF0000CC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0000CC"/>
      <name val="Calibri"/>
      <family val="2"/>
      <scheme val="minor"/>
    </font>
    <font>
      <sz val="13"/>
      <color rgb="FFFF3300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name val="Calibri"/>
      <family val="2"/>
    </font>
    <font>
      <sz val="13"/>
      <color rgb="FF0000CC"/>
      <name val="Calibri"/>
      <family val="2"/>
    </font>
    <font>
      <sz val="13"/>
      <color rgb="FFFF0000"/>
      <name val="Calibri"/>
      <family val="2"/>
    </font>
    <font>
      <sz val="13"/>
      <color theme="0"/>
      <name val="Calibri"/>
      <family val="2"/>
    </font>
    <font>
      <i/>
      <sz val="11"/>
      <color rgb="FF0000CC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0000CC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  <font>
      <i/>
      <sz val="11"/>
      <color rgb="FFFF3300"/>
      <name val="Calibri"/>
      <family val="2"/>
      <charset val="20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19C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67">
    <xf numFmtId="0" fontId="0" fillId="0" borderId="0" xfId="0"/>
    <xf numFmtId="0" fontId="8" fillId="0" borderId="0" xfId="0" applyFont="1" applyAlignment="1">
      <alignment horizontal="left" vertical="center"/>
    </xf>
    <xf numFmtId="4" fontId="7" fillId="2" borderId="0" xfId="1" applyNumberFormat="1" applyFont="1" applyFill="1" applyAlignment="1">
      <alignment horizontal="center" vertical="center"/>
    </xf>
    <xf numFmtId="4" fontId="14" fillId="9" borderId="5" xfId="1" applyNumberFormat="1" applyFont="1" applyFill="1" applyBorder="1" applyAlignment="1">
      <alignment horizontal="center" vertical="center" wrapText="1"/>
    </xf>
    <xf numFmtId="4" fontId="14" fillId="11" borderId="5" xfId="1" applyNumberFormat="1" applyFont="1" applyFill="1" applyBorder="1" applyAlignment="1">
      <alignment horizontal="center" vertical="center" wrapText="1"/>
    </xf>
    <xf numFmtId="4" fontId="14" fillId="8" borderId="5" xfId="1" applyNumberFormat="1" applyFont="1" applyFill="1" applyBorder="1" applyAlignment="1">
      <alignment horizontal="center" vertical="center" wrapText="1"/>
    </xf>
    <xf numFmtId="166" fontId="10" fillId="3" borderId="1" xfId="1" applyNumberFormat="1" applyFont="1" applyFill="1" applyBorder="1" applyAlignment="1">
      <alignment horizontal="right" vertical="center" wrapText="1"/>
    </xf>
    <xf numFmtId="165" fontId="11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166" fontId="12" fillId="3" borderId="1" xfId="1" applyNumberFormat="1" applyFont="1" applyFill="1" applyBorder="1" applyAlignment="1">
      <alignment horizontal="right" vertical="center" wrapText="1"/>
    </xf>
    <xf numFmtId="165" fontId="13" fillId="2" borderId="1" xfId="1" applyNumberFormat="1" applyFont="1" applyFill="1" applyBorder="1" applyAlignment="1">
      <alignment horizontal="center" vertical="center" wrapText="1"/>
    </xf>
    <xf numFmtId="14" fontId="7" fillId="2" borderId="1" xfId="1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center" vertical="center" wrapText="1"/>
    </xf>
    <xf numFmtId="14" fontId="8" fillId="2" borderId="1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7" fillId="2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7" fillId="2" borderId="0" xfId="1" applyNumberFormat="1" applyFont="1" applyFill="1" applyAlignment="1">
      <alignment horizontal="center" vertical="center"/>
    </xf>
    <xf numFmtId="4" fontId="21" fillId="11" borderId="5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4" fontId="18" fillId="2" borderId="0" xfId="1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4" fontId="21" fillId="8" borderId="5" xfId="1" applyNumberFormat="1" applyFont="1" applyFill="1" applyBorder="1" applyAlignment="1">
      <alignment horizontal="center" vertical="center" wrapText="1"/>
    </xf>
    <xf numFmtId="165" fontId="17" fillId="2" borderId="5" xfId="1" applyNumberFormat="1" applyFont="1" applyFill="1" applyBorder="1" applyAlignment="1">
      <alignment horizontal="center" vertical="center" wrapText="1"/>
    </xf>
    <xf numFmtId="165" fontId="17" fillId="2" borderId="1" xfId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" fontId="23" fillId="2" borderId="0" xfId="1" applyNumberFormat="1" applyFont="1" applyFill="1" applyAlignment="1">
      <alignment horizontal="center" vertical="center"/>
    </xf>
    <xf numFmtId="165" fontId="17" fillId="2" borderId="41" xfId="1" applyNumberFormat="1" applyFont="1" applyFill="1" applyBorder="1" applyAlignment="1">
      <alignment horizontal="center" vertical="center" wrapText="1"/>
    </xf>
    <xf numFmtId="166" fontId="17" fillId="2" borderId="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66" fontId="17" fillId="2" borderId="0" xfId="1" applyNumberFormat="1" applyFont="1" applyFill="1" applyAlignment="1">
      <alignment horizontal="center" vertical="center"/>
    </xf>
    <xf numFmtId="165" fontId="17" fillId="2" borderId="6" xfId="1" applyNumberFormat="1" applyFont="1" applyFill="1" applyBorder="1" applyAlignment="1">
      <alignment horizontal="center" vertical="center" wrapText="1"/>
    </xf>
    <xf numFmtId="165" fontId="17" fillId="2" borderId="7" xfId="1" applyNumberFormat="1" applyFont="1" applyFill="1" applyBorder="1" applyAlignment="1">
      <alignment horizontal="center" vertical="center" wrapText="1"/>
    </xf>
    <xf numFmtId="14" fontId="17" fillId="3" borderId="14" xfId="1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165" fontId="17" fillId="10" borderId="16" xfId="1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right" vertical="center"/>
    </xf>
    <xf numFmtId="165" fontId="19" fillId="0" borderId="0" xfId="1" applyNumberFormat="1" applyFont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left" vertical="center"/>
    </xf>
    <xf numFmtId="0" fontId="16" fillId="2" borderId="0" xfId="0" applyNumberFormat="1" applyFont="1" applyFill="1" applyAlignment="1">
      <alignment horizontal="center" vertical="center"/>
    </xf>
    <xf numFmtId="165" fontId="17" fillId="2" borderId="14" xfId="1" applyNumberFormat="1" applyFont="1" applyFill="1" applyBorder="1" applyAlignment="1">
      <alignment horizontal="center" vertical="center"/>
    </xf>
    <xf numFmtId="166" fontId="17" fillId="2" borderId="34" xfId="1" applyNumberFormat="1" applyFont="1" applyFill="1" applyBorder="1" applyAlignment="1">
      <alignment horizontal="center" vertical="center"/>
    </xf>
    <xf numFmtId="165" fontId="17" fillId="2" borderId="34" xfId="1" applyNumberFormat="1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wrapText="1"/>
    </xf>
    <xf numFmtId="165" fontId="17" fillId="2" borderId="37" xfId="1" applyNumberFormat="1" applyFont="1" applyFill="1" applyBorder="1" applyAlignment="1">
      <alignment horizontal="center" vertical="center"/>
    </xf>
    <xf numFmtId="4" fontId="21" fillId="9" borderId="8" xfId="1" applyNumberFormat="1" applyFont="1" applyFill="1" applyBorder="1" applyAlignment="1">
      <alignment horizontal="center" vertical="center" wrapText="1"/>
    </xf>
    <xf numFmtId="0" fontId="16" fillId="0" borderId="23" xfId="0" applyFont="1" applyBorder="1"/>
    <xf numFmtId="0" fontId="16" fillId="0" borderId="15" xfId="0" applyFont="1" applyBorder="1"/>
    <xf numFmtId="165" fontId="17" fillId="2" borderId="18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/>
    </xf>
    <xf numFmtId="43" fontId="7" fillId="0" borderId="0" xfId="1" applyFont="1" applyAlignment="1">
      <alignment vertical="center"/>
    </xf>
    <xf numFmtId="14" fontId="25" fillId="0" borderId="0" xfId="0" applyNumberFormat="1" applyFont="1" applyAlignment="1">
      <alignment horizontal="center" vertical="top"/>
    </xf>
    <xf numFmtId="165" fontId="17" fillId="10" borderId="16" xfId="1" applyNumberFormat="1" applyFont="1" applyFill="1" applyBorder="1" applyAlignment="1">
      <alignment horizontal="center" vertical="center" wrapText="1"/>
    </xf>
    <xf numFmtId="165" fontId="18" fillId="10" borderId="16" xfId="1" applyNumberFormat="1" applyFont="1" applyFill="1" applyBorder="1" applyAlignment="1">
      <alignment horizontal="center" vertical="center" wrapText="1"/>
    </xf>
    <xf numFmtId="0" fontId="17" fillId="10" borderId="16" xfId="1" applyNumberFormat="1" applyFont="1" applyFill="1" applyBorder="1" applyAlignment="1">
      <alignment horizontal="center" vertical="center" wrapText="1"/>
    </xf>
    <xf numFmtId="165" fontId="17" fillId="10" borderId="13" xfId="1" applyNumberFormat="1" applyFont="1" applyFill="1" applyBorder="1" applyAlignment="1">
      <alignment horizontal="center" vertical="center"/>
    </xf>
    <xf numFmtId="0" fontId="24" fillId="0" borderId="0" xfId="0" applyFont="1"/>
    <xf numFmtId="166" fontId="17" fillId="2" borderId="32" xfId="1" applyNumberFormat="1" applyFont="1" applyFill="1" applyBorder="1" applyAlignment="1">
      <alignment horizontal="center" vertical="center"/>
    </xf>
    <xf numFmtId="166" fontId="17" fillId="2" borderId="21" xfId="1" applyNumberFormat="1" applyFont="1" applyFill="1" applyBorder="1" applyAlignment="1">
      <alignment horizontal="center" vertical="center"/>
    </xf>
    <xf numFmtId="166" fontId="17" fillId="2" borderId="50" xfId="1" applyNumberFormat="1" applyFont="1" applyFill="1" applyBorder="1" applyAlignment="1">
      <alignment horizontal="center" vertical="center"/>
    </xf>
    <xf numFmtId="166" fontId="17" fillId="2" borderId="46" xfId="1" applyNumberFormat="1" applyFont="1" applyFill="1" applyBorder="1" applyAlignment="1">
      <alignment horizontal="center" vertical="center"/>
    </xf>
    <xf numFmtId="166" fontId="17" fillId="2" borderId="59" xfId="1" applyNumberFormat="1" applyFont="1" applyFill="1" applyBorder="1" applyAlignment="1">
      <alignment horizontal="center" vertical="center"/>
    </xf>
    <xf numFmtId="165" fontId="17" fillId="10" borderId="10" xfId="1" applyNumberFormat="1" applyFont="1" applyFill="1" applyBorder="1" applyAlignment="1">
      <alignment horizontal="center" vertical="center"/>
    </xf>
    <xf numFmtId="166" fontId="17" fillId="2" borderId="28" xfId="1" applyNumberFormat="1" applyFont="1" applyFill="1" applyBorder="1" applyAlignment="1">
      <alignment horizontal="center" vertical="center"/>
    </xf>
    <xf numFmtId="166" fontId="24" fillId="0" borderId="0" xfId="1" applyNumberFormat="1" applyFont="1" applyAlignment="1">
      <alignment horizontal="center" vertical="center"/>
    </xf>
    <xf numFmtId="166" fontId="17" fillId="2" borderId="52" xfId="1" applyNumberFormat="1" applyFont="1" applyFill="1" applyBorder="1" applyAlignment="1">
      <alignment horizontal="center" vertical="center"/>
    </xf>
    <xf numFmtId="0" fontId="17" fillId="14" borderId="29" xfId="0" applyFont="1" applyFill="1" applyBorder="1" applyAlignment="1">
      <alignment horizontal="center" vertical="center" wrapText="1"/>
    </xf>
    <xf numFmtId="166" fontId="17" fillId="2" borderId="57" xfId="1" applyNumberFormat="1" applyFont="1" applyFill="1" applyBorder="1" applyAlignment="1">
      <alignment horizontal="center" vertical="center"/>
    </xf>
    <xf numFmtId="0" fontId="17" fillId="13" borderId="29" xfId="0" applyFont="1" applyFill="1" applyBorder="1" applyAlignment="1">
      <alignment horizontal="center" vertical="center" wrapText="1"/>
    </xf>
    <xf numFmtId="166" fontId="17" fillId="2" borderId="9" xfId="1" applyNumberFormat="1" applyFont="1" applyFill="1" applyBorder="1" applyAlignment="1">
      <alignment horizontal="center" vertical="center"/>
    </xf>
    <xf numFmtId="166" fontId="17" fillId="2" borderId="2" xfId="1" applyNumberFormat="1" applyFont="1" applyFill="1" applyBorder="1" applyAlignment="1">
      <alignment horizontal="center" vertical="center"/>
    </xf>
    <xf numFmtId="166" fontId="7" fillId="0" borderId="0" xfId="1" applyNumberFormat="1" applyFont="1" applyAlignment="1">
      <alignment horizontal="left" vertical="center"/>
    </xf>
    <xf numFmtId="166" fontId="7" fillId="0" borderId="0" xfId="1" applyNumberFormat="1" applyFont="1" applyAlignment="1">
      <alignment horizontal="center" vertical="center"/>
    </xf>
    <xf numFmtId="165" fontId="17" fillId="2" borderId="31" xfId="1" applyNumberFormat="1" applyFont="1" applyFill="1" applyBorder="1" applyAlignment="1">
      <alignment horizontal="center" vertical="center"/>
    </xf>
    <xf numFmtId="4" fontId="23" fillId="2" borderId="39" xfId="1" applyNumberFormat="1" applyFont="1" applyFill="1" applyBorder="1" applyAlignment="1">
      <alignment horizontal="center" vertical="center"/>
    </xf>
    <xf numFmtId="4" fontId="23" fillId="16" borderId="39" xfId="1" applyNumberFormat="1" applyFont="1" applyFill="1" applyBorder="1" applyAlignment="1">
      <alignment horizontal="center" vertical="center"/>
    </xf>
    <xf numFmtId="165" fontId="17" fillId="2" borderId="35" xfId="1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16" fillId="0" borderId="36" xfId="0" applyFont="1" applyBorder="1"/>
    <xf numFmtId="0" fontId="16" fillId="0" borderId="37" xfId="0" applyFont="1" applyBorder="1"/>
    <xf numFmtId="0" fontId="16" fillId="0" borderId="38" xfId="0" applyFont="1" applyBorder="1"/>
    <xf numFmtId="166" fontId="7" fillId="2" borderId="1" xfId="1" applyNumberFormat="1" applyFont="1" applyFill="1" applyBorder="1" applyAlignment="1">
      <alignment horizontal="center" vertical="center"/>
    </xf>
    <xf numFmtId="43" fontId="7" fillId="2" borderId="1" xfId="1" applyFont="1" applyFill="1" applyBorder="1" applyAlignment="1">
      <alignment vertical="center"/>
    </xf>
    <xf numFmtId="0" fontId="16" fillId="0" borderId="0" xfId="0" applyFont="1"/>
    <xf numFmtId="14" fontId="17" fillId="3" borderId="34" xfId="1" applyNumberFormat="1" applyFont="1" applyFill="1" applyBorder="1" applyAlignment="1">
      <alignment horizontal="center" vertical="center" wrapText="1"/>
    </xf>
    <xf numFmtId="165" fontId="17" fillId="18" borderId="6" xfId="1" applyNumberFormat="1" applyFont="1" applyFill="1" applyBorder="1" applyAlignment="1">
      <alignment horizontal="center" vertical="center" wrapText="1"/>
    </xf>
    <xf numFmtId="165" fontId="17" fillId="18" borderId="5" xfId="1" applyNumberFormat="1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/>
    </xf>
    <xf numFmtId="164" fontId="17" fillId="2" borderId="18" xfId="0" applyNumberFormat="1" applyFont="1" applyFill="1" applyBorder="1" applyAlignment="1">
      <alignment horizontal="center" vertical="center" wrapText="1"/>
    </xf>
    <xf numFmtId="0" fontId="5" fillId="10" borderId="16" xfId="0" applyFont="1" applyFill="1" applyBorder="1"/>
    <xf numFmtId="0" fontId="5" fillId="5" borderId="16" xfId="0" applyFont="1" applyFill="1" applyBorder="1"/>
    <xf numFmtId="164" fontId="18" fillId="2" borderId="0" xfId="0" applyNumberFormat="1" applyFont="1" applyFill="1" applyBorder="1" applyAlignment="1">
      <alignment horizontal="center" vertical="center"/>
    </xf>
    <xf numFmtId="165" fontId="18" fillId="2" borderId="0" xfId="1" applyNumberFormat="1" applyFont="1" applyFill="1" applyAlignment="1">
      <alignment horizontal="center" vertical="center"/>
    </xf>
    <xf numFmtId="0" fontId="19" fillId="0" borderId="15" xfId="0" applyFont="1" applyBorder="1"/>
    <xf numFmtId="0" fontId="18" fillId="0" borderId="15" xfId="0" applyFont="1" applyBorder="1"/>
    <xf numFmtId="0" fontId="17" fillId="0" borderId="15" xfId="0" applyFont="1" applyBorder="1"/>
    <xf numFmtId="0" fontId="16" fillId="5" borderId="10" xfId="0" applyFont="1" applyFill="1" applyBorder="1" applyAlignment="1">
      <alignment horizontal="center" vertical="center"/>
    </xf>
    <xf numFmtId="166" fontId="17" fillId="3" borderId="26" xfId="1" applyNumberFormat="1" applyFont="1" applyFill="1" applyBorder="1" applyAlignment="1">
      <alignment horizontal="right" vertical="center" wrapText="1"/>
    </xf>
    <xf numFmtId="166" fontId="17" fillId="3" borderId="28" xfId="1" applyNumberFormat="1" applyFont="1" applyFill="1" applyBorder="1" applyAlignment="1">
      <alignment horizontal="right" vertical="center" wrapText="1"/>
    </xf>
    <xf numFmtId="166" fontId="17" fillId="3" borderId="52" xfId="1" applyNumberFormat="1" applyFont="1" applyFill="1" applyBorder="1" applyAlignment="1">
      <alignment horizontal="right" vertical="center" wrapText="1"/>
    </xf>
    <xf numFmtId="0" fontId="5" fillId="5" borderId="16" xfId="0" applyFont="1" applyFill="1" applyBorder="1" applyAlignment="1">
      <alignment horizontal="right"/>
    </xf>
    <xf numFmtId="165" fontId="5" fillId="5" borderId="16" xfId="1" applyNumberFormat="1" applyFont="1" applyFill="1" applyBorder="1" applyAlignment="1">
      <alignment horizontal="center"/>
    </xf>
    <xf numFmtId="0" fontId="19" fillId="0" borderId="56" xfId="0" applyFont="1" applyBorder="1" applyAlignment="1">
      <alignment horizontal="center" vertical="center"/>
    </xf>
    <xf numFmtId="0" fontId="17" fillId="2" borderId="7" xfId="0" applyNumberFormat="1" applyFont="1" applyFill="1" applyBorder="1" applyAlignment="1">
      <alignment horizontal="center" vertical="center"/>
    </xf>
    <xf numFmtId="0" fontId="17" fillId="2" borderId="18" xfId="0" applyNumberFormat="1" applyFont="1" applyFill="1" applyBorder="1" applyAlignment="1">
      <alignment horizontal="center" vertical="center" wrapText="1"/>
    </xf>
    <xf numFmtId="0" fontId="5" fillId="10" borderId="16" xfId="0" applyNumberFormat="1" applyFont="1" applyFill="1" applyBorder="1"/>
    <xf numFmtId="0" fontId="5" fillId="5" borderId="16" xfId="0" applyNumberFormat="1" applyFont="1" applyFill="1" applyBorder="1"/>
    <xf numFmtId="0" fontId="28" fillId="10" borderId="16" xfId="0" applyFont="1" applyFill="1" applyBorder="1"/>
    <xf numFmtId="0" fontId="28" fillId="5" borderId="16" xfId="0" applyFont="1" applyFill="1" applyBorder="1"/>
    <xf numFmtId="0" fontId="5" fillId="0" borderId="0" xfId="0" applyFont="1"/>
    <xf numFmtId="0" fontId="19" fillId="0" borderId="59" xfId="0" applyFont="1" applyBorder="1" applyAlignment="1">
      <alignment horizontal="center" vertical="center"/>
    </xf>
    <xf numFmtId="0" fontId="5" fillId="5" borderId="13" xfId="0" applyFont="1" applyFill="1" applyBorder="1"/>
    <xf numFmtId="164" fontId="29" fillId="0" borderId="0" xfId="0" applyNumberFormat="1" applyFont="1"/>
    <xf numFmtId="164" fontId="28" fillId="0" borderId="0" xfId="0" applyNumberFormat="1" applyFont="1"/>
    <xf numFmtId="0" fontId="27" fillId="0" borderId="0" xfId="0" applyFont="1" applyBorder="1"/>
    <xf numFmtId="0" fontId="5" fillId="2" borderId="0" xfId="0" applyFont="1" applyFill="1"/>
    <xf numFmtId="0" fontId="29" fillId="0" borderId="0" xfId="0" applyFont="1"/>
    <xf numFmtId="165" fontId="18" fillId="10" borderId="37" xfId="1" applyNumberFormat="1" applyFont="1" applyFill="1" applyBorder="1" applyAlignment="1">
      <alignment vertical="center"/>
    </xf>
    <xf numFmtId="166" fontId="17" fillId="2" borderId="42" xfId="1" applyNumberFormat="1" applyFont="1" applyFill="1" applyBorder="1" applyAlignment="1">
      <alignment horizontal="center" vertical="center"/>
    </xf>
    <xf numFmtId="3" fontId="17" fillId="2" borderId="0" xfId="0" applyNumberFormat="1" applyFont="1" applyFill="1" applyBorder="1" applyAlignment="1">
      <alignment horizontal="center" vertical="center"/>
    </xf>
    <xf numFmtId="168" fontId="17" fillId="2" borderId="38" xfId="0" applyNumberFormat="1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18" borderId="46" xfId="0" applyFont="1" applyFill="1" applyBorder="1" applyAlignment="1">
      <alignment horizontal="center" vertical="center"/>
    </xf>
    <xf numFmtId="0" fontId="16" fillId="18" borderId="46" xfId="0" applyFont="1" applyFill="1" applyBorder="1" applyAlignment="1">
      <alignment vertical="center"/>
    </xf>
    <xf numFmtId="0" fontId="16" fillId="18" borderId="1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</xf>
    <xf numFmtId="0" fontId="19" fillId="18" borderId="18" xfId="0" applyFont="1" applyFill="1" applyBorder="1" applyAlignment="1">
      <alignment horizontal="center" vertical="center"/>
    </xf>
    <xf numFmtId="165" fontId="5" fillId="10" borderId="10" xfId="1" applyNumberFormat="1" applyFont="1" applyFill="1" applyBorder="1" applyAlignment="1">
      <alignment horizontal="center"/>
    </xf>
    <xf numFmtId="165" fontId="19" fillId="10" borderId="10" xfId="1" applyNumberFormat="1" applyFont="1" applyFill="1" applyBorder="1" applyAlignment="1">
      <alignment horizontal="center" vertical="center" wrapText="1"/>
    </xf>
    <xf numFmtId="0" fontId="5" fillId="10" borderId="13" xfId="0" applyFont="1" applyFill="1" applyBorder="1"/>
    <xf numFmtId="165" fontId="17" fillId="2" borderId="51" xfId="1" applyNumberFormat="1" applyFont="1" applyFill="1" applyBorder="1" applyAlignment="1">
      <alignment horizontal="center" vertical="center" wrapText="1"/>
    </xf>
    <xf numFmtId="165" fontId="17" fillId="2" borderId="44" xfId="1" applyNumberFormat="1" applyFont="1" applyFill="1" applyBorder="1" applyAlignment="1">
      <alignment horizontal="center" vertical="center" wrapText="1"/>
    </xf>
    <xf numFmtId="165" fontId="17" fillId="10" borderId="13" xfId="1" applyNumberFormat="1" applyFont="1" applyFill="1" applyBorder="1" applyAlignment="1">
      <alignment horizontal="center" vertical="center" wrapText="1"/>
    </xf>
    <xf numFmtId="14" fontId="18" fillId="3" borderId="23" xfId="0" applyNumberFormat="1" applyFont="1" applyFill="1" applyBorder="1" applyAlignment="1">
      <alignment horizontal="center" vertical="center"/>
    </xf>
    <xf numFmtId="165" fontId="17" fillId="2" borderId="62" xfId="1" applyNumberFormat="1" applyFont="1" applyFill="1" applyBorder="1" applyAlignment="1">
      <alignment horizontal="center" vertical="center" wrapText="1"/>
    </xf>
    <xf numFmtId="164" fontId="17" fillId="2" borderId="56" xfId="0" applyNumberFormat="1" applyFont="1" applyFill="1" applyBorder="1" applyAlignment="1">
      <alignment horizontal="center" vertical="center" wrapText="1"/>
    </xf>
    <xf numFmtId="164" fontId="17" fillId="2" borderId="13" xfId="0" applyNumberFormat="1" applyFont="1" applyFill="1" applyBorder="1" applyAlignment="1">
      <alignment horizontal="center" vertical="center" wrapText="1"/>
    </xf>
    <xf numFmtId="164" fontId="17" fillId="18" borderId="18" xfId="0" applyNumberFormat="1" applyFont="1" applyFill="1" applyBorder="1" applyAlignment="1">
      <alignment horizontal="center" vertical="center" wrapText="1"/>
    </xf>
    <xf numFmtId="165" fontId="17" fillId="2" borderId="13" xfId="1" applyNumberFormat="1" applyFont="1" applyFill="1" applyBorder="1" applyAlignment="1">
      <alignment horizontal="center" vertical="center"/>
    </xf>
    <xf numFmtId="0" fontId="4" fillId="10" borderId="16" xfId="0" applyFont="1" applyFill="1" applyBorder="1"/>
    <xf numFmtId="165" fontId="16" fillId="10" borderId="16" xfId="1" applyNumberFormat="1" applyFont="1" applyFill="1" applyBorder="1" applyAlignment="1">
      <alignment horizontal="center" vertical="center" wrapText="1"/>
    </xf>
    <xf numFmtId="0" fontId="4" fillId="5" borderId="16" xfId="0" applyFont="1" applyFill="1" applyBorder="1"/>
    <xf numFmtId="0" fontId="5" fillId="5" borderId="10" xfId="0" applyFont="1" applyFill="1" applyBorder="1"/>
    <xf numFmtId="14" fontId="18" fillId="2" borderId="14" xfId="1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/>
    </xf>
    <xf numFmtId="165" fontId="18" fillId="10" borderId="36" xfId="1" applyNumberFormat="1" applyFont="1" applyFill="1" applyBorder="1" applyAlignment="1">
      <alignment vertical="center"/>
    </xf>
    <xf numFmtId="43" fontId="24" fillId="0" borderId="0" xfId="1" applyFont="1" applyAlignment="1">
      <alignment vertical="center"/>
    </xf>
    <xf numFmtId="43" fontId="24" fillId="2" borderId="5" xfId="1" applyFont="1" applyFill="1" applyBorder="1" applyAlignment="1">
      <alignment vertical="center"/>
    </xf>
    <xf numFmtId="0" fontId="5" fillId="10" borderId="30" xfId="0" applyFont="1" applyFill="1" applyBorder="1"/>
    <xf numFmtId="0" fontId="19" fillId="0" borderId="18" xfId="0" applyFont="1" applyBorder="1" applyAlignment="1">
      <alignment horizontal="center" vertical="center"/>
    </xf>
    <xf numFmtId="166" fontId="18" fillId="20" borderId="39" xfId="1" applyNumberFormat="1" applyFont="1" applyFill="1" applyBorder="1" applyAlignment="1">
      <alignment horizontal="center" vertical="center" wrapText="1"/>
    </xf>
    <xf numFmtId="165" fontId="18" fillId="20" borderId="18" xfId="1" applyNumberFormat="1" applyFont="1" applyFill="1" applyBorder="1" applyAlignment="1">
      <alignment horizontal="center" vertical="center" wrapText="1"/>
    </xf>
    <xf numFmtId="165" fontId="18" fillId="18" borderId="18" xfId="1" applyNumberFormat="1" applyFont="1" applyFill="1" applyBorder="1" applyAlignment="1">
      <alignment horizontal="center" vertical="center" wrapText="1"/>
    </xf>
    <xf numFmtId="165" fontId="18" fillId="20" borderId="13" xfId="1" applyNumberFormat="1" applyFont="1" applyFill="1" applyBorder="1" applyAlignment="1">
      <alignment horizontal="center" vertical="center" wrapText="1"/>
    </xf>
    <xf numFmtId="165" fontId="18" fillId="20" borderId="39" xfId="1" applyNumberFormat="1" applyFont="1" applyFill="1" applyBorder="1" applyAlignment="1">
      <alignment horizontal="center" vertical="center"/>
    </xf>
    <xf numFmtId="0" fontId="17" fillId="2" borderId="43" xfId="0" applyNumberFormat="1" applyFont="1" applyFill="1" applyBorder="1" applyAlignment="1">
      <alignment horizontal="center" vertical="center"/>
    </xf>
    <xf numFmtId="4" fontId="18" fillId="2" borderId="56" xfId="1" applyNumberFormat="1" applyFont="1" applyFill="1" applyBorder="1" applyAlignment="1">
      <alignment horizontal="center" vertical="center" wrapText="1"/>
    </xf>
    <xf numFmtId="165" fontId="17" fillId="2" borderId="40" xfId="1" applyNumberFormat="1" applyFont="1" applyFill="1" applyBorder="1" applyAlignment="1">
      <alignment horizontal="center" vertical="center" wrapText="1"/>
    </xf>
    <xf numFmtId="165" fontId="17" fillId="2" borderId="63" xfId="1" applyNumberFormat="1" applyFont="1" applyFill="1" applyBorder="1" applyAlignment="1">
      <alignment horizontal="center" vertical="center" wrapText="1"/>
    </xf>
    <xf numFmtId="166" fontId="17" fillId="3" borderId="25" xfId="1" applyNumberFormat="1" applyFont="1" applyFill="1" applyBorder="1" applyAlignment="1">
      <alignment horizontal="right" vertical="center" wrapText="1"/>
    </xf>
    <xf numFmtId="0" fontId="8" fillId="0" borderId="0" xfId="0" applyFont="1"/>
    <xf numFmtId="0" fontId="8" fillId="2" borderId="0" xfId="0" applyFont="1" applyFill="1"/>
    <xf numFmtId="0" fontId="0" fillId="2" borderId="0" xfId="0" applyFill="1"/>
    <xf numFmtId="165" fontId="17" fillId="18" borderId="40" xfId="1" applyNumberFormat="1" applyFont="1" applyFill="1" applyBorder="1" applyAlignment="1">
      <alignment horizontal="center" vertical="center" wrapText="1"/>
    </xf>
    <xf numFmtId="164" fontId="17" fillId="2" borderId="36" xfId="0" applyNumberFormat="1" applyFont="1" applyFill="1" applyBorder="1" applyAlignment="1">
      <alignment horizontal="center" vertical="top" wrapText="1"/>
    </xf>
    <xf numFmtId="164" fontId="18" fillId="2" borderId="36" xfId="0" applyNumberFormat="1" applyFont="1" applyFill="1" applyBorder="1" applyAlignment="1">
      <alignment horizontal="center" vertical="top" wrapText="1"/>
    </xf>
    <xf numFmtId="0" fontId="5" fillId="5" borderId="16" xfId="0" applyFont="1" applyFill="1" applyBorder="1" applyAlignment="1">
      <alignment vertical="top"/>
    </xf>
    <xf numFmtId="0" fontId="16" fillId="0" borderId="0" xfId="0" applyFont="1" applyAlignment="1">
      <alignment horizontal="center" vertical="top"/>
    </xf>
    <xf numFmtId="0" fontId="17" fillId="2" borderId="0" xfId="0" applyFont="1" applyFill="1" applyAlignment="1">
      <alignment horizontal="center" vertical="center"/>
    </xf>
    <xf numFmtId="0" fontId="28" fillId="0" borderId="0" xfId="0" applyFont="1"/>
    <xf numFmtId="165" fontId="17" fillId="2" borderId="1" xfId="1" applyNumberFormat="1" applyFont="1" applyFill="1" applyBorder="1" applyAlignment="1">
      <alignment horizontal="center" vertical="center" wrapText="1"/>
    </xf>
    <xf numFmtId="165" fontId="17" fillId="18" borderId="1" xfId="1" applyNumberFormat="1" applyFont="1" applyFill="1" applyBorder="1" applyAlignment="1">
      <alignment horizontal="center" vertical="center" wrapText="1"/>
    </xf>
    <xf numFmtId="165" fontId="17" fillId="2" borderId="21" xfId="1" applyNumberFormat="1" applyFont="1" applyFill="1" applyBorder="1" applyAlignment="1">
      <alignment horizontal="center" vertical="center" wrapText="1"/>
    </xf>
    <xf numFmtId="166" fontId="17" fillId="2" borderId="8" xfId="1" applyNumberFormat="1" applyFont="1" applyFill="1" applyBorder="1" applyAlignment="1">
      <alignment horizontal="center" vertical="center"/>
    </xf>
    <xf numFmtId="166" fontId="17" fillId="2" borderId="26" xfId="1" applyNumberFormat="1" applyFont="1" applyFill="1" applyBorder="1" applyAlignment="1">
      <alignment horizontal="center" vertical="center"/>
    </xf>
    <xf numFmtId="165" fontId="17" fillId="2" borderId="43" xfId="1" applyNumberFormat="1" applyFont="1" applyFill="1" applyBorder="1" applyAlignment="1">
      <alignment horizontal="center" vertical="center" wrapText="1"/>
    </xf>
    <xf numFmtId="166" fontId="17" fillId="2" borderId="48" xfId="1" applyNumberFormat="1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center" vertical="center"/>
    </xf>
    <xf numFmtId="165" fontId="18" fillId="20" borderId="46" xfId="1" applyNumberFormat="1" applyFont="1" applyFill="1" applyBorder="1" applyAlignment="1">
      <alignment horizontal="center" vertical="center" wrapText="1"/>
    </xf>
    <xf numFmtId="165" fontId="18" fillId="20" borderId="59" xfId="1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7" fillId="0" borderId="0" xfId="0" applyNumberFormat="1" applyFont="1" applyAlignment="1">
      <alignment horizontal="center" vertical="center"/>
    </xf>
    <xf numFmtId="0" fontId="16" fillId="0" borderId="15" xfId="0" applyNumberFormat="1" applyFont="1" applyBorder="1"/>
    <xf numFmtId="0" fontId="17" fillId="0" borderId="45" xfId="0" applyNumberFormat="1" applyFont="1" applyBorder="1" applyAlignment="1">
      <alignment horizontal="center" vertical="top"/>
    </xf>
    <xf numFmtId="0" fontId="17" fillId="0" borderId="5" xfId="0" applyNumberFormat="1" applyFont="1" applyBorder="1" applyAlignment="1">
      <alignment horizontal="center" vertical="center"/>
    </xf>
    <xf numFmtId="0" fontId="17" fillId="0" borderId="7" xfId="0" applyNumberFormat="1" applyFont="1" applyBorder="1" applyAlignment="1">
      <alignment horizontal="center" vertical="center"/>
    </xf>
    <xf numFmtId="0" fontId="17" fillId="0" borderId="44" xfId="0" applyNumberFormat="1" applyFont="1" applyBorder="1" applyAlignment="1">
      <alignment horizontal="center" vertical="center"/>
    </xf>
    <xf numFmtId="0" fontId="5" fillId="0" borderId="0" xfId="0" applyNumberFormat="1" applyFont="1"/>
    <xf numFmtId="0" fontId="17" fillId="0" borderId="37" xfId="0" applyNumberFormat="1" applyFont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17" fillId="0" borderId="21" xfId="0" applyNumberFormat="1" applyFont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vertical="top"/>
    </xf>
    <xf numFmtId="0" fontId="17" fillId="0" borderId="41" xfId="0" applyNumberFormat="1" applyFont="1" applyBorder="1" applyAlignment="1">
      <alignment horizontal="center" vertical="center"/>
    </xf>
    <xf numFmtId="0" fontId="17" fillId="0" borderId="43" xfId="0" applyNumberFormat="1" applyFont="1" applyBorder="1" applyAlignment="1">
      <alignment horizontal="center" vertical="center"/>
    </xf>
    <xf numFmtId="0" fontId="16" fillId="2" borderId="43" xfId="0" applyNumberFormat="1" applyFont="1" applyFill="1" applyBorder="1" applyAlignment="1">
      <alignment horizontal="center" vertical="center"/>
    </xf>
    <xf numFmtId="0" fontId="17" fillId="0" borderId="68" xfId="0" applyNumberFormat="1" applyFont="1" applyBorder="1" applyAlignment="1">
      <alignment horizontal="center" vertical="center"/>
    </xf>
    <xf numFmtId="0" fontId="17" fillId="0" borderId="43" xfId="0" applyNumberFormat="1" applyFont="1" applyFill="1" applyBorder="1" applyAlignment="1">
      <alignment horizontal="center" vertical="center"/>
    </xf>
    <xf numFmtId="0" fontId="17" fillId="0" borderId="4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24" fillId="2" borderId="1" xfId="1" applyNumberFormat="1" applyFont="1" applyFill="1" applyBorder="1" applyAlignment="1">
      <alignment horizontal="center" vertical="center"/>
    </xf>
    <xf numFmtId="0" fontId="16" fillId="18" borderId="70" xfId="0" applyFont="1" applyFill="1" applyBorder="1" applyAlignment="1">
      <alignment vertical="center"/>
    </xf>
    <xf numFmtId="0" fontId="17" fillId="13" borderId="17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center" wrapText="1"/>
    </xf>
    <xf numFmtId="166" fontId="17" fillId="2" borderId="49" xfId="1" applyNumberFormat="1" applyFont="1" applyFill="1" applyBorder="1" applyAlignment="1">
      <alignment horizontal="center" vertical="center"/>
    </xf>
    <xf numFmtId="4" fontId="19" fillId="6" borderId="6" xfId="1" applyNumberFormat="1" applyFont="1" applyFill="1" applyBorder="1" applyAlignment="1">
      <alignment horizontal="center" vertical="center" wrapText="1"/>
    </xf>
    <xf numFmtId="4" fontId="19" fillId="18" borderId="6" xfId="1" applyNumberFormat="1" applyFont="1" applyFill="1" applyBorder="1" applyAlignment="1">
      <alignment horizontal="center" vertical="center" wrapText="1"/>
    </xf>
    <xf numFmtId="4" fontId="19" fillId="6" borderId="26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166" fontId="33" fillId="2" borderId="0" xfId="1" applyNumberFormat="1" applyFont="1" applyFill="1" applyAlignment="1">
      <alignment horizontal="center" vertical="center"/>
    </xf>
    <xf numFmtId="166" fontId="33" fillId="2" borderId="19" xfId="1" applyNumberFormat="1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left" vertical="center"/>
    </xf>
    <xf numFmtId="0" fontId="33" fillId="2" borderId="37" xfId="0" applyFont="1" applyFill="1" applyBorder="1"/>
    <xf numFmtId="0" fontId="34" fillId="2" borderId="0" xfId="0" applyFont="1" applyFill="1"/>
    <xf numFmtId="166" fontId="17" fillId="2" borderId="18" xfId="1" applyNumberFormat="1" applyFont="1" applyFill="1" applyBorder="1" applyAlignment="1">
      <alignment horizontal="center" vertical="center"/>
    </xf>
    <xf numFmtId="165" fontId="17" fillId="3" borderId="39" xfId="1" applyNumberFormat="1" applyFont="1" applyFill="1" applyBorder="1" applyAlignment="1">
      <alignment horizontal="center" vertical="center"/>
    </xf>
    <xf numFmtId="4" fontId="18" fillId="3" borderId="39" xfId="1" applyNumberFormat="1" applyFont="1" applyFill="1" applyBorder="1" applyAlignment="1">
      <alignment horizontal="center" vertical="center" wrapText="1"/>
    </xf>
    <xf numFmtId="166" fontId="33" fillId="2" borderId="54" xfId="1" applyNumberFormat="1" applyFont="1" applyFill="1" applyBorder="1" applyAlignment="1">
      <alignment horizontal="center" vertical="center" wrapText="1"/>
    </xf>
    <xf numFmtId="166" fontId="33" fillId="2" borderId="55" xfId="1" applyNumberFormat="1" applyFont="1" applyFill="1" applyBorder="1" applyAlignment="1">
      <alignment horizontal="center" vertical="center" wrapText="1"/>
    </xf>
    <xf numFmtId="0" fontId="21" fillId="17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6" fillId="2" borderId="0" xfId="0" applyFont="1" applyFill="1"/>
    <xf numFmtId="0" fontId="19" fillId="2" borderId="1" xfId="0" applyFont="1" applyFill="1" applyBorder="1" applyAlignment="1">
      <alignment horizontal="left" vertical="center"/>
    </xf>
    <xf numFmtId="14" fontId="17" fillId="2" borderId="1" xfId="0" applyNumberFormat="1" applyFont="1" applyFill="1" applyBorder="1" applyAlignment="1">
      <alignment horizontal="left" vertical="center"/>
    </xf>
    <xf numFmtId="14" fontId="18" fillId="2" borderId="1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35" fillId="0" borderId="0" xfId="0" applyFont="1"/>
    <xf numFmtId="0" fontId="0" fillId="15" borderId="1" xfId="0" applyFill="1" applyBorder="1" applyAlignment="1">
      <alignment vertical="center"/>
    </xf>
    <xf numFmtId="0" fontId="24" fillId="0" borderId="0" xfId="0" applyNumberFormat="1" applyFont="1" applyAlignment="1">
      <alignment horizontal="center" vertical="center"/>
    </xf>
    <xf numFmtId="0" fontId="0" fillId="0" borderId="1" xfId="0" applyBorder="1"/>
    <xf numFmtId="0" fontId="16" fillId="0" borderId="0" xfId="0" applyFont="1" applyBorder="1" applyAlignment="1">
      <alignment horizontal="center" vertical="center"/>
    </xf>
    <xf numFmtId="4" fontId="18" fillId="2" borderId="46" xfId="1" applyNumberFormat="1" applyFont="1" applyFill="1" applyBorder="1" applyAlignment="1">
      <alignment horizontal="center" vertical="center" wrapText="1"/>
    </xf>
    <xf numFmtId="4" fontId="18" fillId="2" borderId="59" xfId="1" applyNumberFormat="1" applyFont="1" applyFill="1" applyBorder="1" applyAlignment="1">
      <alignment horizontal="center" vertical="center" wrapText="1"/>
    </xf>
    <xf numFmtId="0" fontId="17" fillId="2" borderId="5" xfId="0" applyNumberFormat="1" applyFont="1" applyFill="1" applyBorder="1" applyAlignment="1">
      <alignment horizontal="center" vertical="center"/>
    </xf>
    <xf numFmtId="164" fontId="34" fillId="2" borderId="0" xfId="0" applyNumberFormat="1" applyFont="1" applyFill="1"/>
    <xf numFmtId="165" fontId="32" fillId="2" borderId="0" xfId="1" applyNumberFormat="1" applyFont="1" applyFill="1" applyAlignment="1">
      <alignment horizontal="center" vertical="center"/>
    </xf>
    <xf numFmtId="166" fontId="32" fillId="3" borderId="28" xfId="1" applyNumberFormat="1" applyFont="1" applyFill="1" applyBorder="1" applyAlignment="1">
      <alignment horizontal="right" vertical="center" wrapText="1"/>
    </xf>
    <xf numFmtId="165" fontId="32" fillId="2" borderId="5" xfId="1" applyNumberFormat="1" applyFont="1" applyFill="1" applyBorder="1" applyAlignment="1">
      <alignment horizontal="center" vertical="center" wrapText="1"/>
    </xf>
    <xf numFmtId="166" fontId="32" fillId="2" borderId="2" xfId="1" applyNumberFormat="1" applyFont="1" applyFill="1" applyBorder="1" applyAlignment="1">
      <alignment horizontal="center" vertical="center"/>
    </xf>
    <xf numFmtId="166" fontId="32" fillId="2" borderId="34" xfId="1" applyNumberFormat="1" applyFont="1" applyFill="1" applyBorder="1" applyAlignment="1">
      <alignment horizontal="center" vertical="center"/>
    </xf>
    <xf numFmtId="165" fontId="32" fillId="2" borderId="34" xfId="1" applyNumberFormat="1" applyFont="1" applyFill="1" applyBorder="1" applyAlignment="1">
      <alignment horizontal="center" vertical="center"/>
    </xf>
    <xf numFmtId="165" fontId="38" fillId="3" borderId="21" xfId="1" applyNumberFormat="1" applyFont="1" applyFill="1" applyBorder="1" applyAlignment="1">
      <alignment horizontal="center" vertical="top" wrapText="1"/>
    </xf>
    <xf numFmtId="14" fontId="32" fillId="3" borderId="14" xfId="1" applyNumberFormat="1" applyFont="1" applyFill="1" applyBorder="1" applyAlignment="1">
      <alignment horizontal="center" vertical="center" wrapText="1"/>
    </xf>
    <xf numFmtId="165" fontId="18" fillId="20" borderId="56" xfId="1" applyNumberFormat="1" applyFont="1" applyFill="1" applyBorder="1" applyAlignment="1">
      <alignment horizontal="center" vertical="center" wrapText="1"/>
    </xf>
    <xf numFmtId="165" fontId="19" fillId="2" borderId="14" xfId="1" applyNumberFormat="1" applyFont="1" applyFill="1" applyBorder="1" applyAlignment="1">
      <alignment horizontal="center" vertical="center"/>
    </xf>
    <xf numFmtId="166" fontId="39" fillId="2" borderId="2" xfId="1" applyNumberFormat="1" applyFont="1" applyFill="1" applyBorder="1" applyAlignment="1">
      <alignment horizontal="center" vertical="center"/>
    </xf>
    <xf numFmtId="166" fontId="39" fillId="2" borderId="1" xfId="1" applyNumberFormat="1" applyFont="1" applyFill="1" applyBorder="1" applyAlignment="1">
      <alignment horizontal="center" vertical="center"/>
    </xf>
    <xf numFmtId="166" fontId="32" fillId="2" borderId="1" xfId="1" applyNumberFormat="1" applyFont="1" applyFill="1" applyBorder="1" applyAlignment="1">
      <alignment horizontal="center" vertical="center"/>
    </xf>
    <xf numFmtId="166" fontId="32" fillId="3" borderId="26" xfId="1" applyNumberFormat="1" applyFont="1" applyFill="1" applyBorder="1" applyAlignment="1">
      <alignment horizontal="right" vertical="center" wrapText="1"/>
    </xf>
    <xf numFmtId="165" fontId="32" fillId="2" borderId="51" xfId="1" applyNumberFormat="1" applyFont="1" applyFill="1" applyBorder="1" applyAlignment="1">
      <alignment horizontal="center" vertical="center"/>
    </xf>
    <xf numFmtId="166" fontId="17" fillId="2" borderId="33" xfId="1" applyNumberFormat="1" applyFont="1" applyFill="1" applyBorder="1" applyAlignment="1">
      <alignment horizontal="center" vertical="center"/>
    </xf>
    <xf numFmtId="166" fontId="32" fillId="2" borderId="14" xfId="1" applyNumberFormat="1" applyFont="1" applyFill="1" applyBorder="1" applyAlignment="1">
      <alignment horizontal="center" vertical="center"/>
    </xf>
    <xf numFmtId="165" fontId="17" fillId="18" borderId="41" xfId="1" applyNumberFormat="1" applyFont="1" applyFill="1" applyBorder="1" applyAlignment="1">
      <alignment horizontal="center" vertical="center" wrapText="1"/>
    </xf>
    <xf numFmtId="165" fontId="17" fillId="10" borderId="38" xfId="1" applyNumberFormat="1" applyFont="1" applyFill="1" applyBorder="1" applyAlignment="1">
      <alignment vertical="center"/>
    </xf>
    <xf numFmtId="165" fontId="17" fillId="2" borderId="42" xfId="1" applyNumberFormat="1" applyFont="1" applyFill="1" applyBorder="1" applyAlignment="1">
      <alignment horizontal="center" vertical="center"/>
    </xf>
    <xf numFmtId="165" fontId="17" fillId="2" borderId="7" xfId="1" applyNumberFormat="1" applyFont="1" applyFill="1" applyBorder="1" applyAlignment="1">
      <alignment horizontal="center" vertical="center"/>
    </xf>
    <xf numFmtId="166" fontId="17" fillId="2" borderId="7" xfId="1" applyNumberFormat="1" applyFont="1" applyFill="1" applyBorder="1" applyAlignment="1">
      <alignment horizontal="center" vertical="center"/>
    </xf>
    <xf numFmtId="165" fontId="17" fillId="10" borderId="37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horizontal="center" vertical="center"/>
    </xf>
    <xf numFmtId="165" fontId="17" fillId="2" borderId="2" xfId="1" applyNumberFormat="1" applyFont="1" applyFill="1" applyBorder="1" applyAlignment="1">
      <alignment horizontal="center" vertical="center"/>
    </xf>
    <xf numFmtId="0" fontId="16" fillId="2" borderId="70" xfId="0" applyFont="1" applyFill="1" applyBorder="1" applyAlignment="1">
      <alignment vertical="center"/>
    </xf>
    <xf numFmtId="165" fontId="17" fillId="2" borderId="28" xfId="1" applyNumberFormat="1" applyFont="1" applyFill="1" applyBorder="1" applyAlignment="1">
      <alignment horizontal="center" vertical="center"/>
    </xf>
    <xf numFmtId="165" fontId="17" fillId="2" borderId="42" xfId="1" applyNumberFormat="1" applyFont="1" applyFill="1" applyBorder="1" applyAlignment="1">
      <alignment horizontal="center" vertical="center" wrapText="1"/>
    </xf>
    <xf numFmtId="165" fontId="17" fillId="2" borderId="3" xfId="1" applyNumberFormat="1" applyFont="1" applyFill="1" applyBorder="1" applyAlignment="1">
      <alignment horizontal="center" vertical="center" wrapText="1"/>
    </xf>
    <xf numFmtId="165" fontId="17" fillId="2" borderId="2" xfId="1" applyNumberFormat="1" applyFont="1" applyFill="1" applyBorder="1" applyAlignment="1">
      <alignment horizontal="center" vertical="center" wrapText="1"/>
    </xf>
    <xf numFmtId="165" fontId="17" fillId="2" borderId="48" xfId="1" applyNumberFormat="1" applyFont="1" applyFill="1" applyBorder="1" applyAlignment="1">
      <alignment horizontal="center" vertical="center" wrapText="1"/>
    </xf>
    <xf numFmtId="165" fontId="17" fillId="2" borderId="33" xfId="1" applyNumberFormat="1" applyFont="1" applyFill="1" applyBorder="1" applyAlignment="1">
      <alignment horizontal="center" vertical="center" wrapText="1"/>
    </xf>
    <xf numFmtId="165" fontId="18" fillId="20" borderId="50" xfId="1" applyNumberFormat="1" applyFont="1" applyFill="1" applyBorder="1" applyAlignment="1">
      <alignment horizontal="center" vertical="center" wrapText="1"/>
    </xf>
    <xf numFmtId="0" fontId="17" fillId="0" borderId="50" xfId="0" applyFont="1" applyBorder="1" applyAlignment="1">
      <alignment horizontal="left" vertical="center"/>
    </xf>
    <xf numFmtId="166" fontId="32" fillId="2" borderId="43" xfId="1" applyNumberFormat="1" applyFont="1" applyFill="1" applyBorder="1" applyAlignment="1">
      <alignment horizontal="center" vertical="center"/>
    </xf>
    <xf numFmtId="0" fontId="17" fillId="0" borderId="70" xfId="0" applyFont="1" applyBorder="1" applyAlignment="1">
      <alignment horizontal="left" vertical="center"/>
    </xf>
    <xf numFmtId="0" fontId="17" fillId="4" borderId="70" xfId="0" applyFont="1" applyFill="1" applyBorder="1" applyAlignment="1">
      <alignment horizontal="left" vertical="center"/>
    </xf>
    <xf numFmtId="0" fontId="17" fillId="3" borderId="70" xfId="0" applyFont="1" applyFill="1" applyBorder="1" applyAlignment="1">
      <alignment horizontal="left" vertical="center"/>
    </xf>
    <xf numFmtId="0" fontId="17" fillId="0" borderId="70" xfId="0" applyFont="1" applyBorder="1" applyAlignment="1">
      <alignment vertical="center" wrapText="1"/>
    </xf>
    <xf numFmtId="0" fontId="17" fillId="0" borderId="70" xfId="0" applyFont="1" applyBorder="1" applyAlignment="1">
      <alignment wrapText="1"/>
    </xf>
    <xf numFmtId="0" fontId="17" fillId="2" borderId="70" xfId="0" applyFont="1" applyFill="1" applyBorder="1" applyAlignment="1">
      <alignment horizontal="left" vertical="center"/>
    </xf>
    <xf numFmtId="0" fontId="17" fillId="3" borderId="70" xfId="0" applyFont="1" applyFill="1" applyBorder="1" applyAlignment="1">
      <alignment wrapText="1"/>
    </xf>
    <xf numFmtId="0" fontId="17" fillId="2" borderId="70" xfId="0" applyFont="1" applyFill="1" applyBorder="1" applyAlignment="1">
      <alignment wrapText="1"/>
    </xf>
    <xf numFmtId="0" fontId="17" fillId="7" borderId="70" xfId="0" applyNumberFormat="1" applyFont="1" applyFill="1" applyBorder="1" applyAlignment="1">
      <alignment horizontal="left" vertical="center"/>
    </xf>
    <xf numFmtId="0" fontId="17" fillId="18" borderId="70" xfId="0" applyFont="1" applyFill="1" applyBorder="1" applyAlignment="1">
      <alignment horizontal="left" vertical="center"/>
    </xf>
    <xf numFmtId="0" fontId="17" fillId="0" borderId="70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41" xfId="0" applyNumberFormat="1" applyFont="1" applyFill="1" applyBorder="1" applyAlignment="1">
      <alignment horizontal="center" vertical="center"/>
    </xf>
    <xf numFmtId="165" fontId="19" fillId="0" borderId="10" xfId="1" applyNumberFormat="1" applyFont="1" applyBorder="1" applyAlignment="1">
      <alignment horizontal="left" vertical="center"/>
    </xf>
    <xf numFmtId="165" fontId="19" fillId="2" borderId="60" xfId="1" applyNumberFormat="1" applyFont="1" applyFill="1" applyBorder="1" applyAlignment="1">
      <alignment horizontal="center" vertical="center"/>
    </xf>
    <xf numFmtId="165" fontId="19" fillId="2" borderId="20" xfId="1" applyNumberFormat="1" applyFont="1" applyFill="1" applyBorder="1" applyAlignment="1">
      <alignment horizontal="center" vertical="center"/>
    </xf>
    <xf numFmtId="0" fontId="17" fillId="0" borderId="71" xfId="0" applyFont="1" applyBorder="1" applyAlignment="1">
      <alignment horizontal="left" vertical="center"/>
    </xf>
    <xf numFmtId="0" fontId="17" fillId="0" borderId="28" xfId="0" applyNumberFormat="1" applyFont="1" applyBorder="1" applyAlignment="1">
      <alignment horizontal="center" vertical="center"/>
    </xf>
    <xf numFmtId="0" fontId="17" fillId="0" borderId="47" xfId="0" applyNumberFormat="1" applyFont="1" applyBorder="1" applyAlignment="1">
      <alignment horizontal="center" vertical="center"/>
    </xf>
    <xf numFmtId="165" fontId="17" fillId="10" borderId="30" xfId="1" applyNumberFormat="1" applyFont="1" applyFill="1" applyBorder="1" applyAlignment="1">
      <alignment horizontal="center" vertical="center"/>
    </xf>
    <xf numFmtId="165" fontId="17" fillId="10" borderId="64" xfId="1" applyNumberFormat="1" applyFont="1" applyFill="1" applyBorder="1" applyAlignment="1">
      <alignment horizontal="center" vertical="center"/>
    </xf>
    <xf numFmtId="167" fontId="19" fillId="0" borderId="46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5" xfId="0" applyFont="1" applyBorder="1"/>
    <xf numFmtId="0" fontId="33" fillId="22" borderId="39" xfId="0" applyFont="1" applyFill="1" applyBorder="1" applyAlignment="1">
      <alignment horizontal="center" vertical="top" wrapText="1"/>
    </xf>
    <xf numFmtId="0" fontId="33" fillId="0" borderId="1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0" fontId="34" fillId="0" borderId="0" xfId="0" applyFont="1"/>
    <xf numFmtId="0" fontId="32" fillId="0" borderId="0" xfId="0" applyNumberFormat="1" applyFont="1" applyAlignment="1">
      <alignment horizontal="center" vertical="center"/>
    </xf>
    <xf numFmtId="0" fontId="32" fillId="0" borderId="15" xfId="0" applyNumberFormat="1" applyFont="1" applyBorder="1"/>
    <xf numFmtId="0" fontId="32" fillId="0" borderId="24" xfId="0" applyNumberFormat="1" applyFont="1" applyBorder="1" applyAlignment="1">
      <alignment horizontal="center" vertical="top"/>
    </xf>
    <xf numFmtId="0" fontId="32" fillId="0" borderId="43" xfId="0" applyNumberFormat="1" applyFont="1" applyBorder="1" applyAlignment="1">
      <alignment horizontal="center" vertical="center"/>
    </xf>
    <xf numFmtId="0" fontId="32" fillId="2" borderId="43" xfId="0" applyNumberFormat="1" applyFont="1" applyFill="1" applyBorder="1" applyAlignment="1">
      <alignment horizontal="center" vertical="center"/>
    </xf>
    <xf numFmtId="0" fontId="17" fillId="0" borderId="14" xfId="0" applyNumberFormat="1" applyFont="1" applyBorder="1" applyAlignment="1">
      <alignment horizontal="center" vertical="center"/>
    </xf>
    <xf numFmtId="165" fontId="32" fillId="2" borderId="14" xfId="1" applyNumberFormat="1" applyFont="1" applyFill="1" applyBorder="1" applyAlignment="1">
      <alignment horizontal="center" vertical="center"/>
    </xf>
    <xf numFmtId="165" fontId="39" fillId="2" borderId="0" xfId="1" applyNumberFormat="1" applyFont="1" applyFill="1" applyAlignment="1">
      <alignment horizontal="center" vertical="center"/>
    </xf>
    <xf numFmtId="0" fontId="7" fillId="0" borderId="0" xfId="0" applyFont="1"/>
    <xf numFmtId="0" fontId="18" fillId="23" borderId="0" xfId="0" applyFont="1" applyFill="1" applyAlignment="1">
      <alignment horizontal="center" vertical="center"/>
    </xf>
    <xf numFmtId="4" fontId="18" fillId="2" borderId="76" xfId="1" applyNumberFormat="1" applyFont="1" applyFill="1" applyBorder="1" applyAlignment="1">
      <alignment horizontal="center" vertical="center" wrapText="1"/>
    </xf>
    <xf numFmtId="4" fontId="18" fillId="2" borderId="54" xfId="1" applyNumberFormat="1" applyFont="1" applyFill="1" applyBorder="1" applyAlignment="1">
      <alignment horizontal="center" vertical="center" wrapText="1"/>
    </xf>
    <xf numFmtId="165" fontId="32" fillId="2" borderId="6" xfId="1" applyNumberFormat="1" applyFont="1" applyFill="1" applyBorder="1" applyAlignment="1">
      <alignment horizontal="center" vertical="center" wrapText="1"/>
    </xf>
    <xf numFmtId="14" fontId="36" fillId="3" borderId="22" xfId="0" applyNumberFormat="1" applyFont="1" applyFill="1" applyBorder="1" applyAlignment="1">
      <alignment horizontal="center" vertical="center"/>
    </xf>
    <xf numFmtId="164" fontId="24" fillId="0" borderId="0" xfId="0" applyNumberFormat="1" applyFont="1"/>
    <xf numFmtId="3" fontId="36" fillId="2" borderId="0" xfId="0" applyNumberFormat="1" applyFont="1" applyFill="1" applyBorder="1" applyAlignment="1">
      <alignment horizontal="center" vertical="center"/>
    </xf>
    <xf numFmtId="3" fontId="36" fillId="2" borderId="31" xfId="0" applyNumberFormat="1" applyFont="1" applyFill="1" applyBorder="1" applyAlignment="1">
      <alignment horizontal="center" vertical="center"/>
    </xf>
    <xf numFmtId="164" fontId="17" fillId="2" borderId="46" xfId="0" applyNumberFormat="1" applyFont="1" applyFill="1" applyBorder="1" applyAlignment="1">
      <alignment horizontal="center" vertical="center" wrapText="1"/>
    </xf>
    <xf numFmtId="165" fontId="32" fillId="2" borderId="2" xfId="1" applyNumberFormat="1" applyFont="1" applyFill="1" applyBorder="1" applyAlignment="1">
      <alignment horizontal="center" vertical="center" wrapText="1"/>
    </xf>
    <xf numFmtId="165" fontId="32" fillId="2" borderId="1" xfId="1" applyNumberFormat="1" applyFont="1" applyFill="1" applyBorder="1" applyAlignment="1">
      <alignment horizontal="center" vertical="center" wrapText="1"/>
    </xf>
    <xf numFmtId="165" fontId="17" fillId="2" borderId="46" xfId="1" applyNumberFormat="1" applyFont="1" applyFill="1" applyBorder="1" applyAlignment="1">
      <alignment horizontal="center" vertical="center"/>
    </xf>
    <xf numFmtId="165" fontId="17" fillId="2" borderId="72" xfId="1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left" vertical="center"/>
    </xf>
    <xf numFmtId="165" fontId="19" fillId="15" borderId="15" xfId="1" applyNumberFormat="1" applyFont="1" applyFill="1" applyBorder="1" applyAlignment="1">
      <alignment horizontal="center" vertical="center"/>
    </xf>
    <xf numFmtId="165" fontId="19" fillId="2" borderId="20" xfId="1" applyNumberFormat="1" applyFont="1" applyFill="1" applyBorder="1" applyAlignment="1">
      <alignment horizontal="center" vertical="center" wrapText="1"/>
    </xf>
    <xf numFmtId="165" fontId="19" fillId="2" borderId="10" xfId="1" applyNumberFormat="1" applyFont="1" applyFill="1" applyBorder="1" applyAlignment="1">
      <alignment horizontal="center" vertical="center" wrapText="1"/>
    </xf>
    <xf numFmtId="0" fontId="5" fillId="10" borderId="10" xfId="0" applyFont="1" applyFill="1" applyBorder="1"/>
    <xf numFmtId="165" fontId="17" fillId="2" borderId="28" xfId="1" applyNumberFormat="1" applyFont="1" applyFill="1" applyBorder="1" applyAlignment="1">
      <alignment horizontal="center" vertical="center" wrapText="1"/>
    </xf>
    <xf numFmtId="165" fontId="17" fillId="2" borderId="26" xfId="1" applyNumberFormat="1" applyFont="1" applyFill="1" applyBorder="1" applyAlignment="1">
      <alignment horizontal="center" vertical="center" wrapText="1"/>
    </xf>
    <xf numFmtId="165" fontId="32" fillId="2" borderId="28" xfId="1" applyNumberFormat="1" applyFont="1" applyFill="1" applyBorder="1" applyAlignment="1">
      <alignment horizontal="center" vertical="center" wrapText="1"/>
    </xf>
    <xf numFmtId="165" fontId="32" fillId="2" borderId="26" xfId="1" applyNumberFormat="1" applyFont="1" applyFill="1" applyBorder="1" applyAlignment="1">
      <alignment horizontal="center" vertical="center" wrapText="1"/>
    </xf>
    <xf numFmtId="165" fontId="17" fillId="10" borderId="10" xfId="1" applyNumberFormat="1" applyFont="1" applyFill="1" applyBorder="1" applyAlignment="1">
      <alignment horizontal="center" vertical="center" wrapText="1"/>
    </xf>
    <xf numFmtId="165" fontId="17" fillId="2" borderId="25" xfId="1" applyNumberFormat="1" applyFont="1" applyFill="1" applyBorder="1" applyAlignment="1">
      <alignment horizontal="center" vertical="center" wrapText="1"/>
    </xf>
    <xf numFmtId="165" fontId="17" fillId="2" borderId="52" xfId="1" applyNumberFormat="1" applyFont="1" applyFill="1" applyBorder="1" applyAlignment="1">
      <alignment horizontal="center" vertical="center" wrapText="1"/>
    </xf>
    <xf numFmtId="165" fontId="17" fillId="2" borderId="47" xfId="1" applyNumberFormat="1" applyFont="1" applyFill="1" applyBorder="1" applyAlignment="1">
      <alignment horizontal="center" vertical="center" wrapText="1"/>
    </xf>
    <xf numFmtId="165" fontId="32" fillId="2" borderId="44" xfId="1" applyNumberFormat="1" applyFont="1" applyFill="1" applyBorder="1" applyAlignment="1">
      <alignment horizontal="center" vertical="center" wrapText="1"/>
    </xf>
    <xf numFmtId="165" fontId="32" fillId="2" borderId="51" xfId="1" applyNumberFormat="1" applyFont="1" applyFill="1" applyBorder="1" applyAlignment="1">
      <alignment horizontal="center" vertical="center" wrapText="1"/>
    </xf>
    <xf numFmtId="165" fontId="17" fillId="2" borderId="3" xfId="1" applyNumberFormat="1" applyFont="1" applyFill="1" applyBorder="1" applyAlignment="1">
      <alignment horizontal="center" vertical="center"/>
    </xf>
    <xf numFmtId="165" fontId="17" fillId="18" borderId="42" xfId="1" applyNumberFormat="1" applyFont="1" applyFill="1" applyBorder="1" applyAlignment="1">
      <alignment horizontal="center" vertical="center" wrapText="1"/>
    </xf>
    <xf numFmtId="165" fontId="17" fillId="18" borderId="46" xfId="1" applyNumberFormat="1" applyFont="1" applyFill="1" applyBorder="1" applyAlignment="1">
      <alignment horizontal="center" vertical="center"/>
    </xf>
    <xf numFmtId="165" fontId="18" fillId="2" borderId="35" xfId="1" applyNumberFormat="1" applyFont="1" applyFill="1" applyBorder="1" applyAlignment="1">
      <alignment horizontal="center" vertical="center" wrapText="1"/>
    </xf>
    <xf numFmtId="166" fontId="17" fillId="2" borderId="39" xfId="1" applyNumberFormat="1" applyFont="1" applyFill="1" applyBorder="1" applyAlignment="1">
      <alignment horizontal="center" vertical="center"/>
    </xf>
    <xf numFmtId="3" fontId="36" fillId="24" borderId="40" xfId="0" applyNumberFormat="1" applyFont="1" applyFill="1" applyBorder="1" applyAlignment="1">
      <alignment horizontal="center" vertical="center"/>
    </xf>
    <xf numFmtId="3" fontId="36" fillId="24" borderId="29" xfId="0" applyNumberFormat="1" applyFont="1" applyFill="1" applyBorder="1" applyAlignment="1">
      <alignment horizontal="center" vertical="center"/>
    </xf>
    <xf numFmtId="3" fontId="36" fillId="24" borderId="42" xfId="0" applyNumberFormat="1" applyFont="1" applyFill="1" applyBorder="1" applyAlignment="1">
      <alignment horizontal="center" vertical="center"/>
    </xf>
    <xf numFmtId="3" fontId="36" fillId="24" borderId="48" xfId="0" applyNumberFormat="1" applyFont="1" applyFill="1" applyBorder="1" applyAlignment="1">
      <alignment horizontal="center" vertical="center"/>
    </xf>
    <xf numFmtId="165" fontId="32" fillId="2" borderId="3" xfId="1" applyNumberFormat="1" applyFont="1" applyFill="1" applyBorder="1" applyAlignment="1">
      <alignment horizontal="center" vertical="center" wrapText="1"/>
    </xf>
    <xf numFmtId="165" fontId="17" fillId="18" borderId="3" xfId="1" applyNumberFormat="1" applyFont="1" applyFill="1" applyBorder="1" applyAlignment="1">
      <alignment horizontal="center" vertical="center" wrapText="1"/>
    </xf>
    <xf numFmtId="165" fontId="17" fillId="18" borderId="2" xfId="1" applyNumberFormat="1" applyFont="1" applyFill="1" applyBorder="1" applyAlignment="1">
      <alignment horizontal="center" vertical="center" wrapText="1"/>
    </xf>
    <xf numFmtId="14" fontId="18" fillId="2" borderId="31" xfId="1" applyNumberFormat="1" applyFont="1" applyFill="1" applyBorder="1" applyAlignment="1">
      <alignment horizontal="center" vertical="center" wrapText="1"/>
    </xf>
    <xf numFmtId="14" fontId="18" fillId="2" borderId="34" xfId="1" applyNumberFormat="1" applyFont="1" applyFill="1" applyBorder="1" applyAlignment="1">
      <alignment horizontal="center" vertical="center" wrapText="1"/>
    </xf>
    <xf numFmtId="165" fontId="41" fillId="2" borderId="49" xfId="1" applyNumberFormat="1" applyFont="1" applyFill="1" applyBorder="1" applyAlignment="1">
      <alignment horizontal="center" vertical="top" wrapText="1"/>
    </xf>
    <xf numFmtId="14" fontId="39" fillId="2" borderId="19" xfId="1" applyNumberFormat="1" applyFont="1" applyFill="1" applyBorder="1" applyAlignment="1">
      <alignment horizontal="center" vertical="center" wrapText="1"/>
    </xf>
    <xf numFmtId="4" fontId="19" fillId="6" borderId="51" xfId="1" applyNumberFormat="1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165" fontId="32" fillId="2" borderId="41" xfId="1" applyNumberFormat="1" applyFont="1" applyFill="1" applyBorder="1" applyAlignment="1">
      <alignment horizontal="center" vertical="center" wrapText="1"/>
    </xf>
    <xf numFmtId="166" fontId="7" fillId="2" borderId="7" xfId="1" applyNumberFormat="1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2" borderId="70" xfId="0" applyFont="1" applyFill="1" applyBorder="1" applyAlignment="1">
      <alignment wrapText="1"/>
    </xf>
    <xf numFmtId="0" fontId="32" fillId="0" borderId="46" xfId="0" applyFont="1" applyBorder="1" applyAlignment="1">
      <alignment horizontal="center" vertical="center"/>
    </xf>
    <xf numFmtId="164" fontId="32" fillId="2" borderId="18" xfId="0" applyNumberFormat="1" applyFont="1" applyFill="1" applyBorder="1" applyAlignment="1">
      <alignment horizontal="center" vertical="center" wrapText="1"/>
    </xf>
    <xf numFmtId="0" fontId="8" fillId="10" borderId="16" xfId="0" applyFont="1" applyFill="1" applyBorder="1"/>
    <xf numFmtId="165" fontId="32" fillId="10" borderId="16" xfId="1" applyNumberFormat="1" applyFont="1" applyFill="1" applyBorder="1" applyAlignment="1">
      <alignment horizontal="center" vertical="center" wrapText="1"/>
    </xf>
    <xf numFmtId="0" fontId="8" fillId="5" borderId="16" xfId="0" applyFont="1" applyFill="1" applyBorder="1"/>
    <xf numFmtId="165" fontId="32" fillId="2" borderId="40" xfId="1" applyNumberFormat="1" applyFont="1" applyFill="1" applyBorder="1" applyAlignment="1">
      <alignment horizontal="center" vertical="center" wrapText="1"/>
    </xf>
    <xf numFmtId="165" fontId="32" fillId="2" borderId="42" xfId="1" applyNumberFormat="1" applyFont="1" applyFill="1" applyBorder="1" applyAlignment="1">
      <alignment horizontal="center" vertical="center" wrapText="1"/>
    </xf>
    <xf numFmtId="165" fontId="32" fillId="2" borderId="46" xfId="1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166" fontId="32" fillId="2" borderId="9" xfId="1" applyNumberFormat="1" applyFont="1" applyFill="1" applyBorder="1" applyAlignment="1">
      <alignment horizontal="center" vertical="center"/>
    </xf>
    <xf numFmtId="165" fontId="19" fillId="2" borderId="75" xfId="1" applyNumberFormat="1" applyFont="1" applyFill="1" applyBorder="1" applyAlignment="1">
      <alignment horizontal="center" vertical="center"/>
    </xf>
    <xf numFmtId="166" fontId="17" fillId="2" borderId="6" xfId="1" applyNumberFormat="1" applyFont="1" applyFill="1" applyBorder="1" applyAlignment="1">
      <alignment horizontal="center" vertical="center"/>
    </xf>
    <xf numFmtId="166" fontId="17" fillId="2" borderId="5" xfId="1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vertical="center" wrapText="1"/>
    </xf>
    <xf numFmtId="165" fontId="36" fillId="2" borderId="14" xfId="1" applyNumberFormat="1" applyFont="1" applyFill="1" applyBorder="1" applyAlignment="1">
      <alignment horizontal="center" vertical="center" wrapText="1"/>
    </xf>
    <xf numFmtId="165" fontId="38" fillId="2" borderId="48" xfId="1" applyNumberFormat="1" applyFont="1" applyFill="1" applyBorder="1" applyAlignment="1">
      <alignment horizontal="center" vertical="top" wrapText="1"/>
    </xf>
    <xf numFmtId="166" fontId="24" fillId="21" borderId="4" xfId="1" applyNumberFormat="1" applyFont="1" applyFill="1" applyBorder="1" applyAlignment="1">
      <alignment horizontal="center" vertical="center"/>
    </xf>
    <xf numFmtId="165" fontId="39" fillId="2" borderId="41" xfId="1" applyNumberFormat="1" applyFont="1" applyFill="1" applyBorder="1" applyAlignment="1">
      <alignment horizontal="center" vertical="center" wrapText="1"/>
    </xf>
    <xf numFmtId="165" fontId="38" fillId="2" borderId="21" xfId="1" applyNumberFormat="1" applyFont="1" applyFill="1" applyBorder="1" applyAlignment="1">
      <alignment horizontal="center" vertical="top" wrapText="1"/>
    </xf>
    <xf numFmtId="166" fontId="32" fillId="2" borderId="6" xfId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166" fontId="32" fillId="3" borderId="25" xfId="1" applyNumberFormat="1" applyFont="1" applyFill="1" applyBorder="1" applyAlignment="1">
      <alignment horizontal="right" vertical="center" wrapText="1"/>
    </xf>
    <xf numFmtId="165" fontId="32" fillId="2" borderId="63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19" fillId="2" borderId="10" xfId="1" applyNumberFormat="1" applyFont="1" applyFill="1" applyBorder="1" applyAlignment="1">
      <alignment horizontal="center" vertical="center" wrapText="1"/>
    </xf>
    <xf numFmtId="166" fontId="39" fillId="3" borderId="26" xfId="1" applyNumberFormat="1" applyFont="1" applyFill="1" applyBorder="1" applyAlignment="1">
      <alignment horizontal="right" vertical="center" wrapText="1"/>
    </xf>
    <xf numFmtId="165" fontId="41" fillId="2" borderId="32" xfId="1" applyNumberFormat="1" applyFont="1" applyFill="1" applyBorder="1" applyAlignment="1">
      <alignment horizontal="center" vertical="top" wrapText="1"/>
    </xf>
    <xf numFmtId="165" fontId="38" fillId="2" borderId="32" xfId="1" applyNumberFormat="1" applyFont="1" applyFill="1" applyBorder="1" applyAlignment="1">
      <alignment horizontal="center" vertical="top" wrapText="1"/>
    </xf>
    <xf numFmtId="165" fontId="38" fillId="3" borderId="32" xfId="1" applyNumberFormat="1" applyFont="1" applyFill="1" applyBorder="1" applyAlignment="1">
      <alignment horizontal="center" vertical="top" wrapText="1"/>
    </xf>
    <xf numFmtId="165" fontId="38" fillId="0" borderId="32" xfId="1" applyNumberFormat="1" applyFont="1" applyFill="1" applyBorder="1" applyAlignment="1">
      <alignment horizontal="center" vertical="top" wrapText="1"/>
    </xf>
    <xf numFmtId="0" fontId="42" fillId="0" borderId="0" xfId="0" applyFont="1"/>
    <xf numFmtId="0" fontId="16" fillId="2" borderId="1" xfId="0" applyFont="1" applyFill="1" applyBorder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12" borderId="23" xfId="0" applyFont="1" applyFill="1" applyBorder="1" applyAlignment="1">
      <alignment horizontal="center" vertical="center" wrapText="1"/>
    </xf>
    <xf numFmtId="0" fontId="17" fillId="12" borderId="47" xfId="0" applyFont="1" applyFill="1" applyBorder="1" applyAlignment="1">
      <alignment horizontal="left" vertical="center" wrapText="1"/>
    </xf>
    <xf numFmtId="0" fontId="17" fillId="13" borderId="68" xfId="0" applyFont="1" applyFill="1" applyBorder="1" applyAlignment="1">
      <alignment horizontal="left" vertical="center" wrapText="1"/>
    </xf>
    <xf numFmtId="0" fontId="17" fillId="14" borderId="43" xfId="0" applyFont="1" applyFill="1" applyBorder="1" applyAlignment="1">
      <alignment horizontal="left" vertical="center" wrapText="1"/>
    </xf>
    <xf numFmtId="0" fontId="17" fillId="2" borderId="34" xfId="0" applyFont="1" applyFill="1" applyBorder="1" applyAlignment="1">
      <alignment horizontal="left" vertical="center" wrapText="1"/>
    </xf>
    <xf numFmtId="0" fontId="17" fillId="2" borderId="39" xfId="0" applyFont="1" applyFill="1" applyBorder="1" applyAlignment="1">
      <alignment horizontal="center" vertical="center"/>
    </xf>
    <xf numFmtId="3" fontId="17" fillId="2" borderId="18" xfId="0" applyNumberFormat="1" applyFont="1" applyFill="1" applyBorder="1" applyAlignment="1">
      <alignment horizontal="center" vertical="center"/>
    </xf>
    <xf numFmtId="3" fontId="17" fillId="2" borderId="57" xfId="0" applyNumberFormat="1" applyFont="1" applyFill="1" applyBorder="1" applyAlignment="1">
      <alignment horizontal="center" vertical="center"/>
    </xf>
    <xf numFmtId="3" fontId="17" fillId="2" borderId="46" xfId="0" applyNumberFormat="1" applyFont="1" applyFill="1" applyBorder="1" applyAlignment="1">
      <alignment horizontal="center" vertical="center"/>
    </xf>
    <xf numFmtId="3" fontId="17" fillId="2" borderId="59" xfId="0" applyNumberFormat="1" applyFont="1" applyFill="1" applyBorder="1" applyAlignment="1">
      <alignment horizontal="center" vertical="center"/>
    </xf>
    <xf numFmtId="0" fontId="24" fillId="24" borderId="39" xfId="0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65" fontId="18" fillId="20" borderId="71" xfId="1" applyNumberFormat="1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5" fontId="18" fillId="20" borderId="70" xfId="1" applyNumberFormat="1" applyFont="1" applyFill="1" applyBorder="1" applyAlignment="1">
      <alignment horizontal="center" vertical="center" wrapText="1"/>
    </xf>
    <xf numFmtId="165" fontId="18" fillId="20" borderId="69" xfId="1" applyNumberFormat="1" applyFont="1" applyFill="1" applyBorder="1" applyAlignment="1">
      <alignment horizontal="center" vertical="center" wrapText="1"/>
    </xf>
    <xf numFmtId="165" fontId="17" fillId="16" borderId="10" xfId="1" applyNumberFormat="1" applyFont="1" applyFill="1" applyBorder="1" applyAlignment="1">
      <alignment horizontal="center" vertical="center"/>
    </xf>
    <xf numFmtId="165" fontId="17" fillId="16" borderId="13" xfId="1" applyNumberFormat="1" applyFont="1" applyFill="1" applyBorder="1" applyAlignment="1">
      <alignment horizontal="center" vertical="center"/>
    </xf>
    <xf numFmtId="165" fontId="17" fillId="20" borderId="71" xfId="1" applyNumberFormat="1" applyFont="1" applyFill="1" applyBorder="1" applyAlignment="1">
      <alignment horizontal="center" vertical="center"/>
    </xf>
    <xf numFmtId="165" fontId="17" fillId="20" borderId="69" xfId="1" applyNumberFormat="1" applyFont="1" applyFill="1" applyBorder="1" applyAlignment="1">
      <alignment horizontal="center" vertical="center"/>
    </xf>
    <xf numFmtId="165" fontId="17" fillId="5" borderId="10" xfId="1" applyNumberFormat="1" applyFont="1" applyFill="1" applyBorder="1" applyAlignment="1">
      <alignment horizontal="center" vertical="center"/>
    </xf>
    <xf numFmtId="165" fontId="17" fillId="5" borderId="13" xfId="1" applyNumberFormat="1" applyFont="1" applyFill="1" applyBorder="1" applyAlignment="1">
      <alignment horizontal="center" vertical="center"/>
    </xf>
    <xf numFmtId="165" fontId="18" fillId="20" borderId="74" xfId="1" applyNumberFormat="1" applyFont="1" applyFill="1" applyBorder="1" applyAlignment="1">
      <alignment horizontal="center" vertical="center" wrapText="1"/>
    </xf>
    <xf numFmtId="165" fontId="17" fillId="5" borderId="16" xfId="1" applyNumberFormat="1" applyFont="1" applyFill="1" applyBorder="1" applyAlignment="1">
      <alignment horizontal="center" vertical="center"/>
    </xf>
    <xf numFmtId="165" fontId="19" fillId="2" borderId="16" xfId="1" applyNumberFormat="1" applyFont="1" applyFill="1" applyBorder="1" applyAlignment="1">
      <alignment horizontal="center" vertical="center" wrapText="1"/>
    </xf>
    <xf numFmtId="14" fontId="18" fillId="2" borderId="51" xfId="1" applyNumberFormat="1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166" fontId="39" fillId="3" borderId="46" xfId="1" applyNumberFormat="1" applyFont="1" applyFill="1" applyBorder="1" applyAlignment="1">
      <alignment horizontal="right" vertical="center" wrapText="1"/>
    </xf>
    <xf numFmtId="165" fontId="41" fillId="2" borderId="59" xfId="1" applyNumberFormat="1" applyFont="1" applyFill="1" applyBorder="1" applyAlignment="1">
      <alignment horizontal="center" vertical="top" wrapText="1"/>
    </xf>
    <xf numFmtId="14" fontId="39" fillId="2" borderId="39" xfId="1" applyNumberFormat="1" applyFont="1" applyFill="1" applyBorder="1" applyAlignment="1">
      <alignment horizontal="center" vertical="center" wrapText="1"/>
    </xf>
    <xf numFmtId="165" fontId="39" fillId="2" borderId="46" xfId="1" applyNumberFormat="1" applyFont="1" applyFill="1" applyBorder="1" applyAlignment="1">
      <alignment horizontal="center" vertical="center" wrapText="1"/>
    </xf>
    <xf numFmtId="165" fontId="39" fillId="18" borderId="46" xfId="1" applyNumberFormat="1" applyFont="1" applyFill="1" applyBorder="1" applyAlignment="1">
      <alignment horizontal="center" vertical="center" wrapText="1"/>
    </xf>
    <xf numFmtId="0" fontId="39" fillId="2" borderId="46" xfId="1" applyNumberFormat="1" applyFont="1" applyFill="1" applyBorder="1" applyAlignment="1">
      <alignment horizontal="center" vertical="center" wrapText="1"/>
    </xf>
    <xf numFmtId="165" fontId="39" fillId="2" borderId="46" xfId="1" applyNumberFormat="1" applyFont="1" applyFill="1" applyBorder="1" applyAlignment="1">
      <alignment horizontal="center" vertical="center"/>
    </xf>
    <xf numFmtId="166" fontId="39" fillId="2" borderId="46" xfId="1" applyNumberFormat="1" applyFont="1" applyFill="1" applyBorder="1" applyAlignment="1">
      <alignment horizontal="center" vertical="center"/>
    </xf>
    <xf numFmtId="166" fontId="39" fillId="2" borderId="59" xfId="1" applyNumberFormat="1" applyFont="1" applyFill="1" applyBorder="1" applyAlignment="1">
      <alignment horizontal="center" vertical="center"/>
    </xf>
    <xf numFmtId="166" fontId="39" fillId="2" borderId="39" xfId="1" applyNumberFormat="1" applyFont="1" applyFill="1" applyBorder="1" applyAlignment="1">
      <alignment horizontal="center" vertical="center"/>
    </xf>
    <xf numFmtId="14" fontId="33" fillId="2" borderId="39" xfId="1" applyNumberFormat="1" applyFont="1" applyFill="1" applyBorder="1" applyAlignment="1">
      <alignment horizontal="center" vertical="center" wrapText="1"/>
    </xf>
    <xf numFmtId="166" fontId="33" fillId="2" borderId="76" xfId="1" applyNumberFormat="1" applyFont="1" applyFill="1" applyBorder="1" applyAlignment="1">
      <alignment horizontal="center" vertical="center" wrapText="1"/>
    </xf>
    <xf numFmtId="14" fontId="33" fillId="2" borderId="15" xfId="1" applyNumberFormat="1" applyFont="1" applyFill="1" applyBorder="1" applyAlignment="1">
      <alignment horizontal="center" vertical="center" wrapText="1"/>
    </xf>
    <xf numFmtId="4" fontId="17" fillId="2" borderId="46" xfId="1" applyNumberFormat="1" applyFont="1" applyFill="1" applyBorder="1" applyAlignment="1">
      <alignment horizontal="center" vertical="center" wrapText="1"/>
    </xf>
    <xf numFmtId="4" fontId="17" fillId="18" borderId="46" xfId="1" applyNumberFormat="1" applyFont="1" applyFill="1" applyBorder="1" applyAlignment="1">
      <alignment horizontal="center" vertical="center" wrapText="1"/>
    </xf>
    <xf numFmtId="4" fontId="17" fillId="2" borderId="59" xfId="1" applyNumberFormat="1" applyFont="1" applyFill="1" applyBorder="1" applyAlignment="1">
      <alignment horizontal="center" vertical="center" wrapText="1"/>
    </xf>
    <xf numFmtId="164" fontId="33" fillId="2" borderId="56" xfId="1" applyNumberFormat="1" applyFont="1" applyFill="1" applyBorder="1" applyAlignment="1">
      <alignment horizontal="center" vertical="center" wrapText="1"/>
    </xf>
    <xf numFmtId="164" fontId="33" fillId="2" borderId="18" xfId="1" applyNumberFormat="1" applyFont="1" applyFill="1" applyBorder="1" applyAlignment="1">
      <alignment horizontal="center" vertical="center" wrapText="1"/>
    </xf>
    <xf numFmtId="4" fontId="19" fillId="6" borderId="71" xfId="1" applyNumberFormat="1" applyFont="1" applyFill="1" applyBorder="1" applyAlignment="1">
      <alignment horizontal="center" vertical="center" wrapText="1"/>
    </xf>
    <xf numFmtId="4" fontId="19" fillId="6" borderId="50" xfId="1" applyNumberFormat="1" applyFont="1" applyFill="1" applyBorder="1" applyAlignment="1">
      <alignment horizontal="center" vertical="center" wrapText="1"/>
    </xf>
    <xf numFmtId="4" fontId="17" fillId="2" borderId="56" xfId="1" applyNumberFormat="1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left" vertical="center"/>
    </xf>
    <xf numFmtId="4" fontId="21" fillId="8" borderId="46" xfId="1" applyNumberFormat="1" applyFont="1" applyFill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left" vertical="center"/>
    </xf>
    <xf numFmtId="165" fontId="28" fillId="0" borderId="0" xfId="0" applyNumberFormat="1" applyFont="1"/>
    <xf numFmtId="0" fontId="3" fillId="0" borderId="0" xfId="0" applyFont="1" applyAlignment="1">
      <alignment horizontal="left"/>
    </xf>
    <xf numFmtId="169" fontId="28" fillId="0" borderId="0" xfId="0" applyNumberFormat="1" applyFont="1"/>
    <xf numFmtId="0" fontId="28" fillId="0" borderId="0" xfId="0" applyFont="1" applyAlignment="1">
      <alignment horizontal="center"/>
    </xf>
    <xf numFmtId="165" fontId="32" fillId="0" borderId="6" xfId="1" applyNumberFormat="1" applyFont="1" applyFill="1" applyBorder="1" applyAlignment="1">
      <alignment horizontal="center" vertical="center" wrapText="1"/>
    </xf>
    <xf numFmtId="167" fontId="19" fillId="0" borderId="56" xfId="0" applyNumberFormat="1" applyFont="1" applyBorder="1" applyAlignment="1">
      <alignment horizontal="center" vertical="center"/>
    </xf>
    <xf numFmtId="165" fontId="32" fillId="0" borderId="2" xfId="1" applyNumberFormat="1" applyFont="1" applyFill="1" applyBorder="1" applyAlignment="1">
      <alignment horizontal="center" vertical="center" wrapText="1"/>
    </xf>
    <xf numFmtId="165" fontId="17" fillId="0" borderId="0" xfId="1" applyNumberFormat="1" applyFont="1" applyFill="1" applyAlignment="1">
      <alignment horizontal="center" vertical="center"/>
    </xf>
    <xf numFmtId="165" fontId="18" fillId="20" borderId="67" xfId="1" applyNumberFormat="1" applyFont="1" applyFill="1" applyBorder="1" applyAlignment="1">
      <alignment horizontal="center" vertical="center" wrapText="1"/>
    </xf>
    <xf numFmtId="165" fontId="18" fillId="0" borderId="0" xfId="1" applyNumberFormat="1" applyFont="1" applyFill="1" applyAlignment="1">
      <alignment horizontal="center" vertical="center"/>
    </xf>
    <xf numFmtId="165" fontId="32" fillId="2" borderId="11" xfId="1" applyNumberFormat="1" applyFont="1" applyFill="1" applyBorder="1" applyAlignment="1">
      <alignment horizontal="center" vertical="center" wrapText="1"/>
    </xf>
    <xf numFmtId="165" fontId="17" fillId="18" borderId="11" xfId="1" applyNumberFormat="1" applyFont="1" applyFill="1" applyBorder="1" applyAlignment="1">
      <alignment horizontal="center" vertical="center" wrapText="1"/>
    </xf>
    <xf numFmtId="165" fontId="32" fillId="2" borderId="72" xfId="1" applyNumberFormat="1" applyFont="1" applyFill="1" applyBorder="1" applyAlignment="1">
      <alignment horizontal="center" vertical="center" wrapText="1"/>
    </xf>
    <xf numFmtId="165" fontId="32" fillId="2" borderId="78" xfId="1" applyNumberFormat="1" applyFont="1" applyFill="1" applyBorder="1" applyAlignment="1">
      <alignment horizontal="center" vertical="center" wrapText="1"/>
    </xf>
    <xf numFmtId="0" fontId="16" fillId="2" borderId="50" xfId="0" applyFont="1" applyFill="1" applyBorder="1" applyAlignment="1">
      <alignment horizontal="left" vertical="center"/>
    </xf>
    <xf numFmtId="0" fontId="16" fillId="2" borderId="41" xfId="0" applyNumberFormat="1" applyFont="1" applyFill="1" applyBorder="1" applyAlignment="1">
      <alignment horizontal="center" vertical="center"/>
    </xf>
    <xf numFmtId="165" fontId="39" fillId="2" borderId="18" xfId="1" applyNumberFormat="1" applyFont="1" applyFill="1" applyBorder="1" applyAlignment="1">
      <alignment horizontal="center" vertical="center" wrapText="1"/>
    </xf>
    <xf numFmtId="165" fontId="36" fillId="2" borderId="15" xfId="1" applyNumberFormat="1" applyFont="1" applyFill="1" applyBorder="1" applyAlignment="1">
      <alignment horizontal="center" vertical="center" wrapText="1"/>
    </xf>
    <xf numFmtId="165" fontId="36" fillId="2" borderId="22" xfId="1" applyNumberFormat="1" applyFont="1" applyFill="1" applyBorder="1" applyAlignment="1">
      <alignment horizontal="center" vertical="center" wrapText="1"/>
    </xf>
    <xf numFmtId="165" fontId="19" fillId="2" borderId="45" xfId="1" applyNumberFormat="1" applyFont="1" applyFill="1" applyBorder="1" applyAlignment="1">
      <alignment horizontal="center" vertical="center" wrapText="1"/>
    </xf>
    <xf numFmtId="165" fontId="36" fillId="0" borderId="22" xfId="1" applyNumberFormat="1" applyFont="1" applyFill="1" applyBorder="1" applyAlignment="1">
      <alignment horizontal="center" vertical="center" wrapText="1"/>
    </xf>
    <xf numFmtId="165" fontId="19" fillId="2" borderId="23" xfId="1" applyNumberFormat="1" applyFont="1" applyFill="1" applyBorder="1" applyAlignment="1">
      <alignment horizontal="center" vertical="center" wrapText="1"/>
    </xf>
    <xf numFmtId="165" fontId="18" fillId="2" borderId="75" xfId="1" applyNumberFormat="1" applyFont="1" applyFill="1" applyBorder="1" applyAlignment="1">
      <alignment horizontal="center" vertical="center" wrapText="1"/>
    </xf>
    <xf numFmtId="165" fontId="19" fillId="3" borderId="60" xfId="1" applyNumberFormat="1" applyFont="1" applyFill="1" applyBorder="1" applyAlignment="1">
      <alignment horizontal="center" vertical="center" wrapText="1"/>
    </xf>
    <xf numFmtId="165" fontId="19" fillId="3" borderId="45" xfId="1" applyNumberFormat="1" applyFont="1" applyFill="1" applyBorder="1" applyAlignment="1">
      <alignment horizontal="center" vertical="center" wrapText="1"/>
    </xf>
    <xf numFmtId="165" fontId="19" fillId="3" borderId="20" xfId="1" applyNumberFormat="1" applyFont="1" applyFill="1" applyBorder="1" applyAlignment="1">
      <alignment horizontal="center" vertical="center" wrapText="1"/>
    </xf>
    <xf numFmtId="165" fontId="19" fillId="3" borderId="22" xfId="1" applyNumberFormat="1" applyFont="1" applyFill="1" applyBorder="1" applyAlignment="1">
      <alignment horizontal="center" vertical="center" wrapText="1"/>
    </xf>
    <xf numFmtId="165" fontId="39" fillId="3" borderId="66" xfId="1" applyNumberFormat="1" applyFont="1" applyFill="1" applyBorder="1" applyAlignment="1">
      <alignment horizontal="center" vertical="center" wrapText="1"/>
    </xf>
    <xf numFmtId="165" fontId="33" fillId="2" borderId="45" xfId="1" applyNumberFormat="1" applyFont="1" applyFill="1" applyBorder="1" applyAlignment="1">
      <alignment horizontal="center" vertical="center"/>
    </xf>
    <xf numFmtId="165" fontId="19" fillId="0" borderId="20" xfId="1" applyNumberFormat="1" applyFont="1" applyBorder="1" applyAlignment="1">
      <alignment horizontal="center" vertical="center" wrapText="1"/>
    </xf>
    <xf numFmtId="165" fontId="19" fillId="0" borderId="75" xfId="1" applyNumberFormat="1" applyFont="1" applyBorder="1" applyAlignment="1">
      <alignment horizontal="center" vertical="center" wrapText="1"/>
    </xf>
    <xf numFmtId="165" fontId="32" fillId="2" borderId="27" xfId="1" applyNumberFormat="1" applyFont="1" applyFill="1" applyBorder="1" applyAlignment="1">
      <alignment horizontal="center" vertical="center" wrapText="1"/>
    </xf>
    <xf numFmtId="165" fontId="32" fillId="0" borderId="26" xfId="1" applyNumberFormat="1" applyFont="1" applyFill="1" applyBorder="1" applyAlignment="1">
      <alignment horizontal="center" vertical="center" wrapText="1"/>
    </xf>
    <xf numFmtId="165" fontId="39" fillId="2" borderId="56" xfId="1" applyNumberFormat="1" applyFont="1" applyFill="1" applyBorder="1" applyAlignment="1">
      <alignment horizontal="center" vertical="center" wrapText="1"/>
    </xf>
    <xf numFmtId="165" fontId="17" fillId="2" borderId="56" xfId="1" applyNumberFormat="1" applyFont="1" applyFill="1" applyBorder="1" applyAlignment="1">
      <alignment horizontal="center" vertical="center"/>
    </xf>
    <xf numFmtId="165" fontId="39" fillId="2" borderId="59" xfId="1" applyNumberFormat="1" applyFont="1" applyFill="1" applyBorder="1" applyAlignment="1">
      <alignment horizontal="center" vertical="center" wrapText="1"/>
    </xf>
    <xf numFmtId="165" fontId="17" fillId="2" borderId="59" xfId="1" applyNumberFormat="1" applyFont="1" applyFill="1" applyBorder="1" applyAlignment="1">
      <alignment horizontal="center" vertical="center"/>
    </xf>
    <xf numFmtId="165" fontId="38" fillId="2" borderId="69" xfId="1" applyNumberFormat="1" applyFont="1" applyFill="1" applyBorder="1" applyAlignment="1">
      <alignment horizontal="center" vertical="top" wrapText="1"/>
    </xf>
    <xf numFmtId="165" fontId="39" fillId="2" borderId="18" xfId="1" applyNumberFormat="1" applyFont="1" applyFill="1" applyBorder="1" applyAlignment="1">
      <alignment horizontal="center" vertical="center"/>
    </xf>
    <xf numFmtId="165" fontId="39" fillId="10" borderId="39" xfId="1" applyNumberFormat="1" applyFont="1" applyFill="1" applyBorder="1" applyAlignment="1">
      <alignment vertical="center"/>
    </xf>
    <xf numFmtId="165" fontId="32" fillId="2" borderId="70" xfId="1" applyNumberFormat="1" applyFont="1" applyFill="1" applyBorder="1" applyAlignment="1">
      <alignment horizontal="center" vertical="center" wrapText="1"/>
    </xf>
    <xf numFmtId="165" fontId="36" fillId="0" borderId="14" xfId="1" applyNumberFormat="1" applyFont="1" applyFill="1" applyBorder="1" applyAlignment="1">
      <alignment horizontal="center" vertical="center" wrapText="1"/>
    </xf>
    <xf numFmtId="165" fontId="36" fillId="0" borderId="20" xfId="1" applyNumberFormat="1" applyFont="1" applyFill="1" applyBorder="1" applyAlignment="1">
      <alignment horizontal="center" vertical="center" wrapText="1"/>
    </xf>
    <xf numFmtId="166" fontId="32" fillId="2" borderId="8" xfId="1" applyNumberFormat="1" applyFont="1" applyFill="1" applyBorder="1" applyAlignment="1">
      <alignment horizontal="center" vertical="center"/>
    </xf>
    <xf numFmtId="4" fontId="17" fillId="2" borderId="18" xfId="1" applyNumberFormat="1" applyFont="1" applyFill="1" applyBorder="1" applyAlignment="1">
      <alignment horizontal="center" vertical="center" wrapText="1"/>
    </xf>
    <xf numFmtId="165" fontId="36" fillId="2" borderId="60" xfId="1" applyNumberFormat="1" applyFont="1" applyFill="1" applyBorder="1" applyAlignment="1">
      <alignment horizontal="center" vertical="center" wrapText="1"/>
    </xf>
    <xf numFmtId="165" fontId="17" fillId="18" borderId="46" xfId="1" applyNumberFormat="1" applyFont="1" applyFill="1" applyBorder="1" applyAlignment="1">
      <alignment horizontal="center" vertical="center" wrapText="1"/>
    </xf>
    <xf numFmtId="165" fontId="17" fillId="15" borderId="10" xfId="1" applyNumberFormat="1" applyFont="1" applyFill="1" applyBorder="1" applyAlignment="1">
      <alignment horizontal="center" vertical="center"/>
    </xf>
    <xf numFmtId="0" fontId="17" fillId="0" borderId="52" xfId="0" applyNumberFormat="1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/>
    </xf>
    <xf numFmtId="165" fontId="17" fillId="0" borderId="0" xfId="1" applyNumberFormat="1" applyFont="1" applyAlignment="1">
      <alignment horizontal="center" vertical="center"/>
    </xf>
    <xf numFmtId="165" fontId="16" fillId="0" borderId="15" xfId="1" applyNumberFormat="1" applyFont="1" applyBorder="1"/>
    <xf numFmtId="165" fontId="17" fillId="0" borderId="60" xfId="1" applyNumberFormat="1" applyFont="1" applyBorder="1" applyAlignment="1">
      <alignment horizontal="center" vertical="top"/>
    </xf>
    <xf numFmtId="165" fontId="5" fillId="0" borderId="0" xfId="1" applyNumberFormat="1" applyFont="1"/>
    <xf numFmtId="165" fontId="17" fillId="0" borderId="31" xfId="1" applyNumberFormat="1" applyFont="1" applyBorder="1" applyAlignment="1">
      <alignment horizontal="center" vertical="center"/>
    </xf>
    <xf numFmtId="165" fontId="17" fillId="0" borderId="3" xfId="1" applyNumberFormat="1" applyFont="1" applyBorder="1" applyAlignment="1">
      <alignment horizontal="center" vertical="center"/>
    </xf>
    <xf numFmtId="165" fontId="17" fillId="0" borderId="25" xfId="1" applyNumberFormat="1" applyFont="1" applyBorder="1" applyAlignment="1">
      <alignment horizontal="center" vertical="center"/>
    </xf>
    <xf numFmtId="165" fontId="17" fillId="0" borderId="40" xfId="1" applyNumberFormat="1" applyFont="1" applyBorder="1" applyAlignment="1">
      <alignment horizontal="center" vertical="center"/>
    </xf>
    <xf numFmtId="165" fontId="17" fillId="0" borderId="42" xfId="1" applyNumberFormat="1" applyFont="1" applyBorder="1" applyAlignment="1">
      <alignment horizontal="center" vertical="center"/>
    </xf>
    <xf numFmtId="165" fontId="16" fillId="2" borderId="42" xfId="1" applyNumberFormat="1" applyFont="1" applyFill="1" applyBorder="1" applyAlignment="1">
      <alignment horizontal="center" vertical="center"/>
    </xf>
    <xf numFmtId="165" fontId="32" fillId="0" borderId="42" xfId="1" applyNumberFormat="1" applyFont="1" applyBorder="1" applyAlignment="1">
      <alignment horizontal="center" vertical="center"/>
    </xf>
    <xf numFmtId="165" fontId="16" fillId="2" borderId="40" xfId="1" applyNumberFormat="1" applyFont="1" applyFill="1" applyBorder="1" applyAlignment="1">
      <alignment horizontal="center" vertical="center"/>
    </xf>
    <xf numFmtId="165" fontId="17" fillId="0" borderId="42" xfId="1" applyNumberFormat="1" applyFont="1" applyFill="1" applyBorder="1" applyAlignment="1">
      <alignment horizontal="center" vertical="center"/>
    </xf>
    <xf numFmtId="165" fontId="17" fillId="0" borderId="40" xfId="1" applyNumberFormat="1" applyFont="1" applyFill="1" applyBorder="1" applyAlignment="1">
      <alignment horizontal="center" vertical="center"/>
    </xf>
    <xf numFmtId="166" fontId="16" fillId="2" borderId="1" xfId="0" applyNumberFormat="1" applyFont="1" applyFill="1" applyBorder="1" applyAlignment="1">
      <alignment horizontal="center" vertical="center"/>
    </xf>
    <xf numFmtId="165" fontId="17" fillId="20" borderId="56" xfId="1" applyNumberFormat="1" applyFont="1" applyFill="1" applyBorder="1" applyAlignment="1">
      <alignment horizontal="center" vertical="center"/>
    </xf>
    <xf numFmtId="165" fontId="17" fillId="20" borderId="59" xfId="1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/>
    </xf>
    <xf numFmtId="165" fontId="36" fillId="2" borderId="20" xfId="1" applyNumberFormat="1" applyFont="1" applyFill="1" applyBorder="1" applyAlignment="1">
      <alignment horizontal="center" vertical="center" wrapText="1"/>
    </xf>
    <xf numFmtId="4" fontId="18" fillId="23" borderId="18" xfId="1" applyNumberFormat="1" applyFont="1" applyFill="1" applyBorder="1" applyAlignment="1">
      <alignment horizontal="center" vertical="center" wrapText="1"/>
    </xf>
    <xf numFmtId="166" fontId="18" fillId="3" borderId="47" xfId="1" applyNumberFormat="1" applyFont="1" applyFill="1" applyBorder="1" applyAlignment="1">
      <alignment horizontal="right" vertical="center" wrapText="1"/>
    </xf>
    <xf numFmtId="165" fontId="41" fillId="2" borderId="55" xfId="1" applyNumberFormat="1" applyFont="1" applyFill="1" applyBorder="1" applyAlignment="1">
      <alignment horizontal="center" vertical="top" wrapText="1"/>
    </xf>
    <xf numFmtId="4" fontId="17" fillId="2" borderId="39" xfId="1" applyNumberFormat="1" applyFont="1" applyFill="1" applyBorder="1" applyAlignment="1">
      <alignment horizontal="center" vertical="center" wrapText="1"/>
    </xf>
    <xf numFmtId="165" fontId="19" fillId="2" borderId="39" xfId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166" fontId="7" fillId="2" borderId="0" xfId="1" applyNumberFormat="1" applyFont="1" applyFill="1" applyAlignment="1">
      <alignment horizontal="center" vertical="center"/>
    </xf>
    <xf numFmtId="14" fontId="37" fillId="0" borderId="44" xfId="0" applyNumberFormat="1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/>
    </xf>
    <xf numFmtId="0" fontId="44" fillId="0" borderId="0" xfId="0" applyFont="1"/>
    <xf numFmtId="0" fontId="43" fillId="0" borderId="0" xfId="0" applyFont="1" applyAlignment="1">
      <alignment horizontal="center" vertical="center"/>
    </xf>
    <xf numFmtId="165" fontId="44" fillId="0" borderId="0" xfId="1" applyNumberFormat="1" applyFont="1"/>
    <xf numFmtId="164" fontId="44" fillId="0" borderId="0" xfId="0" applyNumberFormat="1" applyFont="1" applyAlignment="1">
      <alignment horizontal="center"/>
    </xf>
    <xf numFmtId="164" fontId="44" fillId="0" borderId="0" xfId="0" applyNumberFormat="1" applyFont="1"/>
    <xf numFmtId="165" fontId="43" fillId="2" borderId="0" xfId="1" applyNumberFormat="1" applyFont="1" applyFill="1" applyAlignment="1">
      <alignment horizontal="center" vertical="center"/>
    </xf>
    <xf numFmtId="165" fontId="44" fillId="0" borderId="0" xfId="0" applyNumberFormat="1" applyFont="1"/>
    <xf numFmtId="165" fontId="43" fillId="0" borderId="0" xfId="1" applyNumberFormat="1" applyFont="1" applyFill="1" applyAlignment="1">
      <alignment horizontal="center" vertical="center"/>
    </xf>
    <xf numFmtId="164" fontId="44" fillId="2" borderId="0" xfId="0" applyNumberFormat="1" applyFont="1" applyFill="1"/>
    <xf numFmtId="0" fontId="44" fillId="2" borderId="0" xfId="0" applyFont="1" applyFill="1"/>
    <xf numFmtId="0" fontId="44" fillId="2" borderId="0" xfId="0" applyFont="1" applyFill="1" applyAlignment="1">
      <alignment horizontal="left"/>
    </xf>
    <xf numFmtId="164" fontId="45" fillId="2" borderId="0" xfId="0" applyNumberFormat="1" applyFont="1" applyFill="1"/>
    <xf numFmtId="0" fontId="24" fillId="0" borderId="1" xfId="0" applyFont="1" applyBorder="1"/>
    <xf numFmtId="0" fontId="24" fillId="0" borderId="1" xfId="0" applyNumberFormat="1" applyFont="1" applyBorder="1" applyAlignment="1">
      <alignment horizontal="center" vertical="center"/>
    </xf>
    <xf numFmtId="43" fontId="7" fillId="0" borderId="1" xfId="1" applyFont="1" applyBorder="1" applyAlignment="1">
      <alignment vertical="center"/>
    </xf>
    <xf numFmtId="43" fontId="24" fillId="2" borderId="1" xfId="1" applyFont="1" applyFill="1" applyBorder="1" applyAlignment="1">
      <alignment vertical="center"/>
    </xf>
    <xf numFmtId="0" fontId="24" fillId="0" borderId="0" xfId="0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0" fillId="0" borderId="0" xfId="0" applyFont="1"/>
    <xf numFmtId="0" fontId="40" fillId="0" borderId="0" xfId="0" applyNumberFormat="1" applyFont="1" applyAlignment="1">
      <alignment horizontal="center" vertical="center"/>
    </xf>
    <xf numFmtId="166" fontId="40" fillId="0" borderId="0" xfId="1" applyNumberFormat="1" applyFont="1" applyAlignment="1">
      <alignment horizontal="center" vertical="center"/>
    </xf>
    <xf numFmtId="43" fontId="40" fillId="0" borderId="0" xfId="1" applyFont="1" applyAlignment="1">
      <alignment vertical="center"/>
    </xf>
    <xf numFmtId="164" fontId="46" fillId="2" borderId="0" xfId="0" applyNumberFormat="1" applyFont="1" applyFill="1"/>
    <xf numFmtId="4" fontId="18" fillId="23" borderId="46" xfId="1" applyNumberFormat="1" applyFont="1" applyFill="1" applyBorder="1" applyAlignment="1">
      <alignment horizontal="center" vertical="center" wrapText="1"/>
    </xf>
    <xf numFmtId="4" fontId="21" fillId="11" borderId="46" xfId="1" applyNumberFormat="1" applyFont="1" applyFill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16" fillId="2" borderId="42" xfId="0" applyFont="1" applyFill="1" applyBorder="1" applyAlignment="1">
      <alignment horizontal="left" vertical="center" wrapText="1"/>
    </xf>
    <xf numFmtId="0" fontId="16" fillId="2" borderId="29" xfId="0" applyFont="1" applyFill="1" applyBorder="1" applyAlignment="1">
      <alignment horizontal="left" vertical="center" wrapText="1"/>
    </xf>
    <xf numFmtId="165" fontId="33" fillId="0" borderId="10" xfId="1" applyNumberFormat="1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/>
    </xf>
    <xf numFmtId="0" fontId="32" fillId="0" borderId="6" xfId="0" applyNumberFormat="1" applyFont="1" applyBorder="1" applyAlignment="1">
      <alignment horizontal="center" vertical="center"/>
    </xf>
    <xf numFmtId="0" fontId="32" fillId="2" borderId="6" xfId="0" applyNumberFormat="1" applyFont="1" applyFill="1" applyBorder="1" applyAlignment="1">
      <alignment horizontal="center" vertical="center"/>
    </xf>
    <xf numFmtId="0" fontId="32" fillId="2" borderId="2" xfId="0" applyNumberFormat="1" applyFont="1" applyFill="1" applyBorder="1" applyAlignment="1">
      <alignment horizontal="center" vertical="center"/>
    </xf>
    <xf numFmtId="0" fontId="32" fillId="0" borderId="2" xfId="0" applyNumberFormat="1" applyFont="1" applyBorder="1" applyAlignment="1">
      <alignment horizontal="center" vertical="center"/>
    </xf>
    <xf numFmtId="0" fontId="17" fillId="18" borderId="1" xfId="0" applyFont="1" applyFill="1" applyBorder="1" applyAlignment="1">
      <alignment horizontal="left" vertical="center"/>
    </xf>
    <xf numFmtId="0" fontId="43" fillId="0" borderId="0" xfId="0" applyFont="1" applyBorder="1" applyAlignment="1">
      <alignment horizontal="left" vertical="center"/>
    </xf>
    <xf numFmtId="164" fontId="47" fillId="2" borderId="0" xfId="0" applyNumberFormat="1" applyFont="1" applyFill="1"/>
    <xf numFmtId="0" fontId="17" fillId="18" borderId="5" xfId="0" applyNumberFormat="1" applyFont="1" applyFill="1" applyBorder="1" applyAlignment="1">
      <alignment horizontal="center" vertical="center"/>
    </xf>
    <xf numFmtId="0" fontId="32" fillId="18" borderId="2" xfId="0" applyNumberFormat="1" applyFont="1" applyFill="1" applyBorder="1" applyAlignment="1">
      <alignment horizontal="center" vertical="center"/>
    </xf>
    <xf numFmtId="167" fontId="19" fillId="18" borderId="46" xfId="0" applyNumberFormat="1" applyFont="1" applyFill="1" applyBorder="1" applyAlignment="1">
      <alignment horizontal="center" vertical="center"/>
    </xf>
    <xf numFmtId="0" fontId="18" fillId="18" borderId="5" xfId="0" applyNumberFormat="1" applyFont="1" applyFill="1" applyBorder="1" applyAlignment="1">
      <alignment horizontal="center" vertical="center"/>
    </xf>
    <xf numFmtId="0" fontId="16" fillId="3" borderId="50" xfId="0" applyFont="1" applyFill="1" applyBorder="1" applyAlignment="1">
      <alignment horizontal="left" vertical="center"/>
    </xf>
    <xf numFmtId="165" fontId="32" fillId="0" borderId="1" xfId="1" applyNumberFormat="1" applyFont="1" applyFill="1" applyBorder="1" applyAlignment="1">
      <alignment horizontal="center" vertical="center" wrapText="1"/>
    </xf>
    <xf numFmtId="165" fontId="32" fillId="0" borderId="51" xfId="1" applyNumberFormat="1" applyFont="1" applyFill="1" applyBorder="1" applyAlignment="1">
      <alignment horizontal="center" vertical="center" wrapText="1"/>
    </xf>
    <xf numFmtId="165" fontId="17" fillId="0" borderId="46" xfId="1" applyNumberFormat="1" applyFont="1" applyFill="1" applyBorder="1" applyAlignment="1">
      <alignment horizontal="center" vertical="center"/>
    </xf>
    <xf numFmtId="165" fontId="17" fillId="0" borderId="18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4" fontId="17" fillId="2" borderId="46" xfId="1" applyNumberFormat="1" applyFont="1" applyFill="1" applyBorder="1" applyAlignment="1">
      <alignment horizontal="center" vertical="center" wrapText="1"/>
    </xf>
    <xf numFmtId="165" fontId="17" fillId="0" borderId="7" xfId="1" applyNumberFormat="1" applyFont="1" applyBorder="1" applyAlignment="1">
      <alignment horizontal="center" vertical="center"/>
    </xf>
    <xf numFmtId="165" fontId="17" fillId="2" borderId="11" xfId="1" applyNumberFormat="1" applyFont="1" applyFill="1" applyBorder="1" applyAlignment="1">
      <alignment horizontal="center" vertical="center"/>
    </xf>
    <xf numFmtId="165" fontId="17" fillId="2" borderId="3" xfId="1" applyNumberFormat="1" applyFont="1" applyFill="1" applyBorder="1" applyAlignment="1">
      <alignment vertical="center" wrapText="1"/>
    </xf>
    <xf numFmtId="165" fontId="17" fillId="18" borderId="3" xfId="1" applyNumberFormat="1" applyFont="1" applyFill="1" applyBorder="1" applyAlignment="1">
      <alignment horizontal="center" vertical="center"/>
    </xf>
    <xf numFmtId="165" fontId="16" fillId="2" borderId="72" xfId="1" applyNumberFormat="1" applyFont="1" applyFill="1" applyBorder="1" applyAlignment="1">
      <alignment vertical="center"/>
    </xf>
    <xf numFmtId="165" fontId="16" fillId="2" borderId="3" xfId="1" applyNumberFormat="1" applyFont="1" applyFill="1" applyBorder="1" applyAlignment="1">
      <alignment horizontal="center" vertical="center"/>
    </xf>
    <xf numFmtId="165" fontId="3" fillId="0" borderId="0" xfId="1" applyNumberFormat="1" applyFont="1" applyAlignment="1">
      <alignment horizontal="left"/>
    </xf>
    <xf numFmtId="165" fontId="0" fillId="0" borderId="0" xfId="1" applyNumberFormat="1" applyFont="1"/>
    <xf numFmtId="0" fontId="33" fillId="18" borderId="50" xfId="0" applyFont="1" applyFill="1" applyBorder="1" applyAlignment="1">
      <alignment horizontal="center" vertical="center"/>
    </xf>
    <xf numFmtId="165" fontId="17" fillId="18" borderId="50" xfId="1" applyNumberFormat="1" applyFont="1" applyFill="1" applyBorder="1" applyAlignment="1">
      <alignment horizontal="center" vertical="center"/>
    </xf>
    <xf numFmtId="0" fontId="32" fillId="18" borderId="41" xfId="0" applyNumberFormat="1" applyFont="1" applyFill="1" applyBorder="1" applyAlignment="1">
      <alignment horizontal="center" vertical="center"/>
    </xf>
    <xf numFmtId="0" fontId="32" fillId="0" borderId="47" xfId="0" applyNumberFormat="1" applyFont="1" applyBorder="1" applyAlignment="1">
      <alignment horizontal="center" vertical="center"/>
    </xf>
    <xf numFmtId="1" fontId="23" fillId="0" borderId="46" xfId="0" applyNumberFormat="1" applyFont="1" applyBorder="1" applyAlignment="1">
      <alignment horizontal="center" vertical="center"/>
    </xf>
    <xf numFmtId="1" fontId="23" fillId="0" borderId="56" xfId="0" applyNumberFormat="1" applyFont="1" applyBorder="1" applyAlignment="1">
      <alignment horizontal="center" vertical="center"/>
    </xf>
    <xf numFmtId="14" fontId="18" fillId="0" borderId="0" xfId="0" applyNumberFormat="1" applyFont="1" applyAlignment="1">
      <alignment horizontal="left" vertical="center"/>
    </xf>
    <xf numFmtId="4" fontId="19" fillId="22" borderId="56" xfId="1" applyNumberFormat="1" applyFont="1" applyFill="1" applyBorder="1" applyAlignment="1">
      <alignment horizontal="center" vertical="center" wrapText="1"/>
    </xf>
    <xf numFmtId="164" fontId="33" fillId="2" borderId="71" xfId="1" applyNumberFormat="1" applyFont="1" applyFill="1" applyBorder="1" applyAlignment="1">
      <alignment horizontal="center" vertical="center" wrapText="1"/>
    </xf>
    <xf numFmtId="164" fontId="33" fillId="2" borderId="50" xfId="1" applyNumberFormat="1" applyFont="1" applyFill="1" applyBorder="1" applyAlignment="1">
      <alignment horizontal="center" vertical="center" wrapText="1"/>
    </xf>
    <xf numFmtId="4" fontId="17" fillId="18" borderId="70" xfId="1" applyNumberFormat="1" applyFont="1" applyFill="1" applyBorder="1" applyAlignment="1">
      <alignment horizontal="center" vertical="center" wrapText="1"/>
    </xf>
    <xf numFmtId="164" fontId="33" fillId="18" borderId="50" xfId="1" applyNumberFormat="1" applyFont="1" applyFill="1" applyBorder="1" applyAlignment="1">
      <alignment horizontal="center" vertical="center" wrapText="1"/>
    </xf>
    <xf numFmtId="164" fontId="33" fillId="2" borderId="74" xfId="1" applyNumberFormat="1" applyFont="1" applyFill="1" applyBorder="1" applyAlignment="1">
      <alignment horizontal="center" vertical="center" wrapText="1"/>
    </xf>
    <xf numFmtId="4" fontId="19" fillId="22" borderId="46" xfId="1" applyNumberFormat="1" applyFont="1" applyFill="1" applyBorder="1" applyAlignment="1">
      <alignment horizontal="center" vertical="center" wrapText="1"/>
    </xf>
    <xf numFmtId="166" fontId="33" fillId="2" borderId="27" xfId="1" applyNumberFormat="1" applyFont="1" applyFill="1" applyBorder="1" applyAlignment="1">
      <alignment horizontal="center" vertical="center" wrapText="1"/>
    </xf>
    <xf numFmtId="166" fontId="33" fillId="2" borderId="72" xfId="1" applyNumberFormat="1" applyFont="1" applyFill="1" applyBorder="1" applyAlignment="1">
      <alignment horizontal="center" vertical="center" wrapText="1"/>
    </xf>
    <xf numFmtId="4" fontId="17" fillId="22" borderId="23" xfId="1" applyNumberFormat="1" applyFont="1" applyFill="1" applyBorder="1" applyAlignment="1">
      <alignment horizontal="center" vertical="center" wrapText="1"/>
    </xf>
    <xf numFmtId="166" fontId="17" fillId="0" borderId="52" xfId="1" applyNumberFormat="1" applyFont="1" applyBorder="1" applyAlignment="1">
      <alignment horizontal="center" vertical="center"/>
    </xf>
    <xf numFmtId="166" fontId="17" fillId="0" borderId="53" xfId="1" applyNumberFormat="1" applyFont="1" applyBorder="1" applyAlignment="1">
      <alignment horizontal="center" vertical="center"/>
    </xf>
    <xf numFmtId="166" fontId="17" fillId="0" borderId="3" xfId="1" applyNumberFormat="1" applyFont="1" applyBorder="1" applyAlignment="1">
      <alignment horizontal="center" vertical="center"/>
    </xf>
    <xf numFmtId="166" fontId="17" fillId="0" borderId="33" xfId="1" applyNumberFormat="1" applyFont="1" applyBorder="1" applyAlignment="1">
      <alignment horizontal="center" vertical="center"/>
    </xf>
    <xf numFmtId="166" fontId="17" fillId="0" borderId="25" xfId="1" applyNumberFormat="1" applyFont="1" applyBorder="1" applyAlignment="1">
      <alignment horizontal="center" vertical="center"/>
    </xf>
    <xf numFmtId="166" fontId="17" fillId="0" borderId="42" xfId="1" applyNumberFormat="1" applyFont="1" applyBorder="1" applyAlignment="1">
      <alignment horizontal="center" vertical="center"/>
    </xf>
    <xf numFmtId="166" fontId="16" fillId="2" borderId="0" xfId="0" applyNumberFormat="1" applyFont="1" applyFill="1" applyAlignment="1">
      <alignment horizontal="left" vertical="center"/>
    </xf>
    <xf numFmtId="17" fontId="0" fillId="0" borderId="56" xfId="0" applyNumberFormat="1" applyBorder="1" applyAlignment="1">
      <alignment horizontal="center" vertical="center" wrapText="1"/>
    </xf>
    <xf numFmtId="0" fontId="24" fillId="15" borderId="46" xfId="0" applyNumberFormat="1" applyFont="1" applyFill="1" applyBorder="1" applyAlignment="1">
      <alignment horizontal="center" vertical="center"/>
    </xf>
    <xf numFmtId="165" fontId="44" fillId="2" borderId="0" xfId="0" applyNumberFormat="1" applyFont="1" applyFill="1"/>
    <xf numFmtId="0" fontId="35" fillId="0" borderId="1" xfId="0" applyFont="1" applyBorder="1"/>
    <xf numFmtId="0" fontId="8" fillId="0" borderId="0" xfId="0" applyFont="1" applyAlignment="1">
      <alignment horizontal="center" vertical="center"/>
    </xf>
    <xf numFmtId="4" fontId="21" fillId="8" borderId="18" xfId="1" applyNumberFormat="1" applyFont="1" applyFill="1" applyBorder="1" applyAlignment="1">
      <alignment horizontal="center" vertical="center" wrapText="1"/>
    </xf>
    <xf numFmtId="4" fontId="19" fillId="22" borderId="71" xfId="1" applyNumberFormat="1" applyFont="1" applyFill="1" applyBorder="1" applyAlignment="1">
      <alignment horizontal="center" vertical="center" wrapText="1"/>
    </xf>
    <xf numFmtId="4" fontId="19" fillId="22" borderId="70" xfId="1" applyNumberFormat="1" applyFont="1" applyFill="1" applyBorder="1" applyAlignment="1">
      <alignment horizontal="center" vertical="center" wrapText="1"/>
    </xf>
    <xf numFmtId="4" fontId="19" fillId="22" borderId="69" xfId="1" applyNumberFormat="1" applyFont="1" applyFill="1" applyBorder="1" applyAlignment="1">
      <alignment horizontal="center" vertical="center" wrapText="1"/>
    </xf>
    <xf numFmtId="43" fontId="12" fillId="0" borderId="0" xfId="1" applyFont="1" applyAlignment="1">
      <alignment vertical="center"/>
    </xf>
    <xf numFmtId="0" fontId="32" fillId="2" borderId="18" xfId="0" applyFont="1" applyFill="1" applyBorder="1" applyAlignment="1">
      <alignment horizontal="center" vertical="center"/>
    </xf>
    <xf numFmtId="14" fontId="18" fillId="2" borderId="0" xfId="0" applyNumberFormat="1" applyFont="1" applyFill="1" applyAlignment="1">
      <alignment horizontal="center" vertical="center"/>
    </xf>
    <xf numFmtId="0" fontId="17" fillId="2" borderId="50" xfId="0" applyFont="1" applyFill="1" applyBorder="1" applyAlignment="1">
      <alignment vertical="center"/>
    </xf>
    <xf numFmtId="166" fontId="32" fillId="2" borderId="17" xfId="1" applyNumberFormat="1" applyFont="1" applyFill="1" applyBorder="1" applyAlignment="1">
      <alignment horizontal="center" vertical="center"/>
    </xf>
    <xf numFmtId="166" fontId="17" fillId="2" borderId="53" xfId="1" applyNumberFormat="1" applyFont="1" applyFill="1" applyBorder="1" applyAlignment="1">
      <alignment horizontal="center" vertical="center"/>
    </xf>
    <xf numFmtId="166" fontId="17" fillId="2" borderId="4" xfId="1" applyNumberFormat="1" applyFont="1" applyFill="1" applyBorder="1" applyAlignment="1">
      <alignment horizontal="center" vertical="center"/>
    </xf>
    <xf numFmtId="166" fontId="17" fillId="2" borderId="17" xfId="1" applyNumberFormat="1" applyFont="1" applyFill="1" applyBorder="1" applyAlignment="1">
      <alignment horizontal="center" vertical="center"/>
    </xf>
    <xf numFmtId="166" fontId="33" fillId="2" borderId="58" xfId="1" applyNumberFormat="1" applyFont="1" applyFill="1" applyBorder="1" applyAlignment="1">
      <alignment horizontal="center" vertical="center" wrapText="1"/>
    </xf>
    <xf numFmtId="4" fontId="19" fillId="22" borderId="57" xfId="1" applyNumberFormat="1" applyFont="1" applyFill="1" applyBorder="1" applyAlignment="1">
      <alignment horizontal="center" vertical="center" wrapText="1"/>
    </xf>
    <xf numFmtId="4" fontId="18" fillId="2" borderId="65" xfId="1" applyNumberFormat="1" applyFont="1" applyFill="1" applyBorder="1" applyAlignment="1">
      <alignment horizontal="center" vertical="center" wrapText="1"/>
    </xf>
    <xf numFmtId="166" fontId="18" fillId="2" borderId="17" xfId="1" applyNumberFormat="1" applyFont="1" applyFill="1" applyBorder="1" applyAlignment="1">
      <alignment horizontal="center" vertical="center"/>
    </xf>
    <xf numFmtId="166" fontId="39" fillId="2" borderId="57" xfId="1" applyNumberFormat="1" applyFont="1" applyFill="1" applyBorder="1" applyAlignment="1">
      <alignment horizontal="center" vertical="center"/>
    </xf>
    <xf numFmtId="166" fontId="18" fillId="2" borderId="1" xfId="1" applyNumberFormat="1" applyFont="1" applyFill="1" applyBorder="1" applyAlignment="1">
      <alignment horizontal="center" vertical="center"/>
    </xf>
    <xf numFmtId="0" fontId="16" fillId="12" borderId="42" xfId="0" applyFont="1" applyFill="1" applyBorder="1" applyAlignment="1">
      <alignment horizontal="center" vertical="center" wrapText="1"/>
    </xf>
    <xf numFmtId="0" fontId="21" fillId="26" borderId="63" xfId="0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2" fillId="0" borderId="62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66" fontId="17" fillId="0" borderId="0" xfId="1" applyNumberFormat="1" applyFont="1" applyBorder="1" applyAlignment="1">
      <alignment horizontal="center" vertical="center"/>
    </xf>
    <xf numFmtId="165" fontId="17" fillId="0" borderId="0" xfId="1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1" fontId="23" fillId="0" borderId="13" xfId="0" applyNumberFormat="1" applyFont="1" applyBorder="1" applyAlignment="1">
      <alignment horizontal="center" vertical="center"/>
    </xf>
    <xf numFmtId="3" fontId="36" fillId="24" borderId="56" xfId="0" applyNumberFormat="1" applyFont="1" applyFill="1" applyBorder="1" applyAlignment="1">
      <alignment horizontal="center" vertical="center"/>
    </xf>
    <xf numFmtId="3" fontId="36" fillId="24" borderId="57" xfId="0" applyNumberFormat="1" applyFont="1" applyFill="1" applyBorder="1" applyAlignment="1">
      <alignment horizontal="center" vertical="center"/>
    </xf>
    <xf numFmtId="3" fontId="36" fillId="24" borderId="46" xfId="0" applyNumberFormat="1" applyFont="1" applyFill="1" applyBorder="1" applyAlignment="1">
      <alignment horizontal="center" vertical="center"/>
    </xf>
    <xf numFmtId="3" fontId="36" fillId="24" borderId="59" xfId="0" applyNumberFormat="1" applyFont="1" applyFill="1" applyBorder="1" applyAlignment="1">
      <alignment horizontal="center" vertical="center"/>
    </xf>
    <xf numFmtId="3" fontId="17" fillId="2" borderId="56" xfId="0" applyNumberFormat="1" applyFont="1" applyFill="1" applyBorder="1" applyAlignment="1">
      <alignment horizontal="center" vertical="center"/>
    </xf>
    <xf numFmtId="14" fontId="17" fillId="2" borderId="14" xfId="1" applyNumberFormat="1" applyFont="1" applyFill="1" applyBorder="1" applyAlignment="1">
      <alignment horizontal="center" vertical="center" wrapText="1"/>
    </xf>
    <xf numFmtId="14" fontId="16" fillId="3" borderId="14" xfId="1" applyNumberFormat="1" applyFont="1" applyFill="1" applyBorder="1" applyAlignment="1">
      <alignment horizontal="center" vertical="center" wrapText="1"/>
    </xf>
    <xf numFmtId="166" fontId="33" fillId="2" borderId="77" xfId="1" applyNumberFormat="1" applyFont="1" applyFill="1" applyBorder="1" applyAlignment="1">
      <alignment horizontal="center" vertical="center" wrapText="1"/>
    </xf>
    <xf numFmtId="4" fontId="19" fillId="22" borderId="59" xfId="1" applyNumberFormat="1" applyFont="1" applyFill="1" applyBorder="1" applyAlignment="1">
      <alignment horizontal="center" vertical="center" wrapText="1"/>
    </xf>
    <xf numFmtId="4" fontId="18" fillId="2" borderId="55" xfId="1" applyNumberFormat="1" applyFont="1" applyFill="1" applyBorder="1" applyAlignment="1">
      <alignment horizontal="center" vertical="center" wrapText="1"/>
    </xf>
    <xf numFmtId="4" fontId="21" fillId="11" borderId="18" xfId="1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0" fontId="33" fillId="0" borderId="39" xfId="0" applyFont="1" applyBorder="1" applyAlignment="1">
      <alignment horizontal="center" vertical="center"/>
    </xf>
    <xf numFmtId="0" fontId="32" fillId="0" borderId="19" xfId="0" applyNumberFormat="1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3" fontId="36" fillId="2" borderId="39" xfId="0" applyNumberFormat="1" applyFont="1" applyFill="1" applyBorder="1" applyAlignment="1">
      <alignment horizontal="center" vertical="center"/>
    </xf>
    <xf numFmtId="168" fontId="36" fillId="2" borderId="39" xfId="0" applyNumberFormat="1" applyFont="1" applyFill="1" applyBorder="1" applyAlignment="1">
      <alignment horizontal="center" vertical="center"/>
    </xf>
    <xf numFmtId="165" fontId="18" fillId="20" borderId="10" xfId="1" applyNumberFormat="1" applyFont="1" applyFill="1" applyBorder="1" applyAlignment="1">
      <alignment horizontal="center" vertical="center" wrapText="1"/>
    </xf>
    <xf numFmtId="165" fontId="36" fillId="2" borderId="19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19" fillId="0" borderId="10" xfId="0" applyFont="1" applyBorder="1" applyAlignment="1">
      <alignment horizontal="center" vertical="center" wrapText="1"/>
    </xf>
    <xf numFmtId="164" fontId="48" fillId="18" borderId="3" xfId="0" applyNumberFormat="1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/>
    </xf>
    <xf numFmtId="165" fontId="19" fillId="0" borderId="23" xfId="1" applyNumberFormat="1" applyFont="1" applyBorder="1" applyAlignment="1">
      <alignment horizontal="left" vertical="center"/>
    </xf>
    <xf numFmtId="165" fontId="17" fillId="0" borderId="45" xfId="1" applyNumberFormat="1" applyFont="1" applyBorder="1" applyAlignment="1">
      <alignment horizontal="center" vertical="top"/>
    </xf>
    <xf numFmtId="165" fontId="19" fillId="2" borderId="35" xfId="1" applyNumberFormat="1" applyFont="1" applyFill="1" applyBorder="1" applyAlignment="1">
      <alignment horizontal="center" vertical="center"/>
    </xf>
    <xf numFmtId="165" fontId="17" fillId="18" borderId="3" xfId="1" applyNumberFormat="1" applyFont="1" applyFill="1" applyBorder="1" applyAlignment="1">
      <alignment horizontal="left" vertical="center"/>
    </xf>
    <xf numFmtId="0" fontId="17" fillId="18" borderId="46" xfId="0" applyFont="1" applyFill="1" applyBorder="1" applyAlignment="1">
      <alignment horizontal="left" vertical="center"/>
    </xf>
    <xf numFmtId="1" fontId="33" fillId="0" borderId="56" xfId="0" applyNumberFormat="1" applyFont="1" applyBorder="1" applyAlignment="1">
      <alignment horizontal="center" vertical="center"/>
    </xf>
    <xf numFmtId="0" fontId="17" fillId="12" borderId="26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left" vertical="center" wrapText="1"/>
    </xf>
    <xf numFmtId="0" fontId="21" fillId="26" borderId="51" xfId="0" applyFont="1" applyFill="1" applyBorder="1" applyAlignment="1">
      <alignment horizontal="left" vertical="center" wrapText="1"/>
    </xf>
    <xf numFmtId="1" fontId="33" fillId="0" borderId="46" xfId="0" applyNumberFormat="1" applyFont="1" applyBorder="1" applyAlignment="1">
      <alignment horizontal="center" vertical="center"/>
    </xf>
    <xf numFmtId="1" fontId="33" fillId="0" borderId="59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7" fillId="4" borderId="46" xfId="0" applyFont="1" applyFill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3" borderId="46" xfId="0" applyFont="1" applyFill="1" applyBorder="1" applyAlignment="1">
      <alignment horizontal="left" vertical="center"/>
    </xf>
    <xf numFmtId="0" fontId="17" fillId="0" borderId="46" xfId="0" applyFont="1" applyBorder="1" applyAlignment="1">
      <alignment vertical="center" wrapText="1"/>
    </xf>
    <xf numFmtId="0" fontId="17" fillId="0" borderId="46" xfId="0" applyFont="1" applyBorder="1" applyAlignment="1">
      <alignment wrapText="1"/>
    </xf>
    <xf numFmtId="0" fontId="17" fillId="2" borderId="46" xfId="0" applyFont="1" applyFill="1" applyBorder="1" applyAlignment="1">
      <alignment horizontal="left" vertical="center"/>
    </xf>
    <xf numFmtId="0" fontId="16" fillId="2" borderId="46" xfId="0" applyFont="1" applyFill="1" applyBorder="1" applyAlignment="1">
      <alignment vertical="center"/>
    </xf>
    <xf numFmtId="0" fontId="17" fillId="2" borderId="46" xfId="0" applyFont="1" applyFill="1" applyBorder="1" applyAlignment="1">
      <alignment wrapText="1"/>
    </xf>
    <xf numFmtId="0" fontId="17" fillId="3" borderId="46" xfId="0" applyFont="1" applyFill="1" applyBorder="1" applyAlignment="1">
      <alignment wrapText="1"/>
    </xf>
    <xf numFmtId="0" fontId="17" fillId="7" borderId="46" xfId="0" applyNumberFormat="1" applyFont="1" applyFill="1" applyBorder="1" applyAlignment="1">
      <alignment horizontal="left" vertical="center"/>
    </xf>
    <xf numFmtId="0" fontId="17" fillId="7" borderId="18" xfId="0" applyFont="1" applyFill="1" applyBorder="1" applyAlignment="1">
      <alignment horizontal="left" vertical="center"/>
    </xf>
    <xf numFmtId="0" fontId="32" fillId="2" borderId="46" xfId="0" applyFont="1" applyFill="1" applyBorder="1" applyAlignment="1">
      <alignment wrapText="1"/>
    </xf>
    <xf numFmtId="0" fontId="16" fillId="2" borderId="18" xfId="0" applyFont="1" applyFill="1" applyBorder="1" applyAlignment="1">
      <alignment horizontal="left" vertical="center"/>
    </xf>
    <xf numFmtId="0" fontId="16" fillId="3" borderId="18" xfId="0" applyFont="1" applyFill="1" applyBorder="1" applyAlignment="1">
      <alignment horizontal="left" vertical="center"/>
    </xf>
    <xf numFmtId="0" fontId="17" fillId="2" borderId="18" xfId="0" applyFont="1" applyFill="1" applyBorder="1" applyAlignment="1">
      <alignment vertical="center" wrapText="1"/>
    </xf>
    <xf numFmtId="0" fontId="17" fillId="7" borderId="18" xfId="0" applyFont="1" applyFill="1" applyBorder="1" applyAlignment="1">
      <alignment vertical="center"/>
    </xf>
    <xf numFmtId="0" fontId="17" fillId="2" borderId="18" xfId="0" applyFont="1" applyFill="1" applyBorder="1" applyAlignment="1">
      <alignment vertical="center"/>
    </xf>
    <xf numFmtId="0" fontId="17" fillId="0" borderId="13" xfId="0" applyFont="1" applyBorder="1" applyAlignment="1">
      <alignment horizontal="left" vertical="center"/>
    </xf>
    <xf numFmtId="0" fontId="32" fillId="2" borderId="2" xfId="0" applyNumberFormat="1" applyFont="1" applyFill="1" applyBorder="1" applyAlignment="1">
      <alignment horizontal="center" vertical="center" wrapText="1"/>
    </xf>
    <xf numFmtId="170" fontId="17" fillId="0" borderId="0" xfId="1" applyNumberFormat="1" applyFont="1" applyBorder="1" applyAlignment="1">
      <alignment horizontal="center" vertical="center"/>
    </xf>
    <xf numFmtId="166" fontId="17" fillId="2" borderId="25" xfId="1" applyNumberFormat="1" applyFont="1" applyFill="1" applyBorder="1" applyAlignment="1">
      <alignment horizontal="center" vertical="center"/>
    </xf>
    <xf numFmtId="165" fontId="39" fillId="2" borderId="56" xfId="1" applyNumberFormat="1" applyFont="1" applyFill="1" applyBorder="1" applyAlignment="1">
      <alignment horizontal="center" vertical="center"/>
    </xf>
    <xf numFmtId="4" fontId="40" fillId="2" borderId="6" xfId="0" applyNumberFormat="1" applyFont="1" applyFill="1" applyBorder="1"/>
    <xf numFmtId="0" fontId="24" fillId="2" borderId="56" xfId="0" applyNumberFormat="1" applyFont="1" applyFill="1" applyBorder="1" applyAlignment="1">
      <alignment horizontal="center" vertical="center"/>
    </xf>
    <xf numFmtId="166" fontId="7" fillId="0" borderId="46" xfId="1" applyNumberFormat="1" applyFont="1" applyBorder="1" applyAlignment="1">
      <alignment horizontal="center" vertical="center"/>
    </xf>
    <xf numFmtId="0" fontId="24" fillId="2" borderId="46" xfId="0" applyNumberFormat="1" applyFont="1" applyFill="1" applyBorder="1" applyAlignment="1">
      <alignment horizontal="center" vertical="center"/>
    </xf>
    <xf numFmtId="165" fontId="17" fillId="2" borderId="47" xfId="1" applyNumberFormat="1" applyFont="1" applyFill="1" applyBorder="1" applyAlignment="1">
      <alignment horizontal="center" vertical="center"/>
    </xf>
    <xf numFmtId="166" fontId="17" fillId="2" borderId="43" xfId="1" applyNumberFormat="1" applyFont="1" applyFill="1" applyBorder="1" applyAlignment="1">
      <alignment horizontal="center" vertical="center"/>
    </xf>
    <xf numFmtId="166" fontId="17" fillId="2" borderId="68" xfId="1" applyNumberFormat="1" applyFont="1" applyFill="1" applyBorder="1" applyAlignment="1">
      <alignment horizontal="center" vertical="center"/>
    </xf>
    <xf numFmtId="166" fontId="18" fillId="3" borderId="76" xfId="1" applyNumberFormat="1" applyFont="1" applyFill="1" applyBorder="1" applyAlignment="1">
      <alignment horizontal="right" vertical="center" wrapText="1"/>
    </xf>
    <xf numFmtId="0" fontId="33" fillId="0" borderId="18" xfId="0" applyFont="1" applyBorder="1" applyAlignment="1">
      <alignment horizontal="center" vertical="center"/>
    </xf>
    <xf numFmtId="167" fontId="19" fillId="0" borderId="18" xfId="0" applyNumberFormat="1" applyFont="1" applyBorder="1" applyAlignment="1">
      <alignment horizontal="center" vertical="center"/>
    </xf>
    <xf numFmtId="4" fontId="19" fillId="22" borderId="50" xfId="1" applyNumberFormat="1" applyFont="1" applyFill="1" applyBorder="1" applyAlignment="1">
      <alignment horizontal="center" vertical="center" wrapText="1"/>
    </xf>
    <xf numFmtId="4" fontId="18" fillId="2" borderId="18" xfId="1" applyNumberFormat="1" applyFont="1" applyFill="1" applyBorder="1" applyAlignment="1">
      <alignment horizontal="center" vertical="center" wrapText="1"/>
    </xf>
    <xf numFmtId="165" fontId="39" fillId="2" borderId="40" xfId="1" applyNumberFormat="1" applyFont="1" applyFill="1" applyBorder="1" applyAlignment="1">
      <alignment horizontal="center" vertical="center" wrapText="1"/>
    </xf>
    <xf numFmtId="165" fontId="39" fillId="2" borderId="5" xfId="1" applyNumberFormat="1" applyFont="1" applyFill="1" applyBorder="1" applyAlignment="1">
      <alignment horizontal="center" vertical="center" wrapText="1"/>
    </xf>
    <xf numFmtId="165" fontId="39" fillId="2" borderId="6" xfId="1" applyNumberFormat="1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/>
    </xf>
    <xf numFmtId="165" fontId="32" fillId="0" borderId="5" xfId="1" applyNumberFormat="1" applyFont="1" applyFill="1" applyBorder="1" applyAlignment="1">
      <alignment horizontal="center" vertical="center" wrapText="1"/>
    </xf>
    <xf numFmtId="165" fontId="19" fillId="2" borderId="60" xfId="1" applyNumberFormat="1" applyFont="1" applyFill="1" applyBorder="1" applyAlignment="1">
      <alignment horizontal="center" vertical="center" wrapText="1"/>
    </xf>
    <xf numFmtId="165" fontId="19" fillId="2" borderId="22" xfId="1" applyNumberFormat="1" applyFont="1" applyFill="1" applyBorder="1" applyAlignment="1">
      <alignment horizontal="center" vertical="center" wrapText="1"/>
    </xf>
    <xf numFmtId="165" fontId="39" fillId="2" borderId="1" xfId="1" applyNumberFormat="1" applyFont="1" applyFill="1" applyBorder="1" applyAlignment="1">
      <alignment horizontal="center" vertical="center" wrapText="1"/>
    </xf>
    <xf numFmtId="165" fontId="39" fillId="2" borderId="42" xfId="1" applyNumberFormat="1" applyFont="1" applyFill="1" applyBorder="1" applyAlignment="1">
      <alignment horizontal="center" vertical="center" wrapText="1"/>
    </xf>
    <xf numFmtId="165" fontId="39" fillId="2" borderId="2" xfId="1" applyNumberFormat="1" applyFont="1" applyFill="1" applyBorder="1" applyAlignment="1">
      <alignment horizontal="center" vertical="center" wrapText="1"/>
    </xf>
    <xf numFmtId="3" fontId="36" fillId="24" borderId="57" xfId="0" applyNumberFormat="1" applyFont="1" applyFill="1" applyBorder="1" applyAlignment="1">
      <alignment horizontal="center" vertical="center" wrapText="1"/>
    </xf>
    <xf numFmtId="4" fontId="18" fillId="2" borderId="57" xfId="1" applyNumberFormat="1" applyFont="1" applyFill="1" applyBorder="1" applyAlignment="1">
      <alignment horizontal="center" vertical="center" wrapText="1"/>
    </xf>
    <xf numFmtId="166" fontId="18" fillId="2" borderId="0" xfId="1" applyNumberFormat="1" applyFont="1" applyFill="1" applyAlignment="1">
      <alignment horizontal="center" vertical="center"/>
    </xf>
    <xf numFmtId="164" fontId="49" fillId="18" borderId="18" xfId="0" applyNumberFormat="1" applyFont="1" applyFill="1" applyBorder="1" applyAlignment="1">
      <alignment horizontal="center" vertical="center" wrapText="1"/>
    </xf>
    <xf numFmtId="14" fontId="18" fillId="2" borderId="38" xfId="1" applyNumberFormat="1" applyFont="1" applyFill="1" applyBorder="1" applyAlignment="1">
      <alignment horizontal="center" vertical="center" wrapText="1"/>
    </xf>
    <xf numFmtId="165" fontId="19" fillId="2" borderId="15" xfId="1" applyNumberFormat="1" applyFont="1" applyFill="1" applyBorder="1" applyAlignment="1">
      <alignment horizontal="center" vertical="center" wrapText="1"/>
    </xf>
    <xf numFmtId="165" fontId="17" fillId="2" borderId="27" xfId="1" applyNumberFormat="1" applyFont="1" applyFill="1" applyBorder="1" applyAlignment="1">
      <alignment horizontal="center" vertical="center" wrapText="1"/>
    </xf>
    <xf numFmtId="165" fontId="39" fillId="2" borderId="11" xfId="1" applyNumberFormat="1" applyFont="1" applyFill="1" applyBorder="1" applyAlignment="1">
      <alignment horizontal="center" vertical="center" wrapText="1"/>
    </xf>
    <xf numFmtId="165" fontId="17" fillId="2" borderId="72" xfId="1" applyNumberFormat="1" applyFont="1" applyFill="1" applyBorder="1" applyAlignment="1">
      <alignment horizontal="center" vertical="center" wrapText="1"/>
    </xf>
    <xf numFmtId="165" fontId="39" fillId="2" borderId="72" xfId="1" applyNumberFormat="1" applyFont="1" applyFill="1" applyBorder="1" applyAlignment="1">
      <alignment horizontal="center" vertical="center" wrapText="1"/>
    </xf>
    <xf numFmtId="165" fontId="17" fillId="18" borderId="72" xfId="1" applyNumberFormat="1" applyFont="1" applyFill="1" applyBorder="1" applyAlignment="1">
      <alignment horizontal="center" vertical="center" wrapText="1"/>
    </xf>
    <xf numFmtId="0" fontId="17" fillId="2" borderId="72" xfId="1" applyNumberFormat="1" applyFont="1" applyFill="1" applyBorder="1" applyAlignment="1">
      <alignment horizontal="center" vertical="center" wrapText="1"/>
    </xf>
    <xf numFmtId="165" fontId="17" fillId="2" borderId="11" xfId="1" applyNumberFormat="1" applyFont="1" applyFill="1" applyBorder="1" applyAlignment="1">
      <alignment horizontal="center" vertical="center" wrapText="1"/>
    </xf>
    <xf numFmtId="0" fontId="32" fillId="0" borderId="18" xfId="0" applyFont="1" applyBorder="1" applyAlignment="1">
      <alignment horizontal="left" vertical="center"/>
    </xf>
    <xf numFmtId="165" fontId="32" fillId="2" borderId="3" xfId="1" applyNumberFormat="1" applyFont="1" applyFill="1" applyBorder="1" applyAlignment="1">
      <alignment horizontal="center" vertical="center"/>
    </xf>
    <xf numFmtId="0" fontId="32" fillId="2" borderId="5" xfId="0" applyNumberFormat="1" applyFont="1" applyFill="1" applyBorder="1" applyAlignment="1">
      <alignment horizontal="center" vertical="center"/>
    </xf>
    <xf numFmtId="167" fontId="32" fillId="0" borderId="46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167" fontId="19" fillId="0" borderId="13" xfId="0" applyNumberFormat="1" applyFont="1" applyBorder="1" applyAlignment="1">
      <alignment horizontal="center" vertical="center"/>
    </xf>
    <xf numFmtId="165" fontId="17" fillId="2" borderId="78" xfId="1" applyNumberFormat="1" applyFont="1" applyFill="1" applyBorder="1" applyAlignment="1">
      <alignment horizontal="center" vertical="center" wrapText="1"/>
    </xf>
    <xf numFmtId="165" fontId="39" fillId="2" borderId="13" xfId="1" applyNumberFormat="1" applyFont="1" applyFill="1" applyBorder="1" applyAlignment="1">
      <alignment horizontal="center" vertical="center" wrapText="1"/>
    </xf>
    <xf numFmtId="4" fontId="19" fillId="22" borderId="74" xfId="1" applyNumberFormat="1" applyFont="1" applyFill="1" applyBorder="1" applyAlignment="1">
      <alignment horizontal="center" vertical="center" wrapText="1"/>
    </xf>
    <xf numFmtId="164" fontId="18" fillId="2" borderId="18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" fillId="10" borderId="16" xfId="0" applyFont="1" applyFill="1" applyBorder="1"/>
    <xf numFmtId="0" fontId="2" fillId="5" borderId="16" xfId="0" applyFont="1" applyFill="1" applyBorder="1"/>
    <xf numFmtId="0" fontId="17" fillId="0" borderId="46" xfId="0" applyFont="1" applyBorder="1" applyAlignment="1">
      <alignment vertical="center"/>
    </xf>
    <xf numFmtId="0" fontId="17" fillId="0" borderId="46" xfId="0" applyFont="1" applyFill="1" applyBorder="1" applyAlignment="1">
      <alignment vertical="center"/>
    </xf>
    <xf numFmtId="165" fontId="18" fillId="20" borderId="57" xfId="1" applyNumberFormat="1" applyFont="1" applyFill="1" applyBorder="1" applyAlignment="1">
      <alignment horizontal="center" vertical="center" wrapText="1"/>
    </xf>
    <xf numFmtId="165" fontId="33" fillId="0" borderId="31" xfId="1" applyNumberFormat="1" applyFont="1" applyBorder="1" applyAlignment="1">
      <alignment horizontal="center" vertical="center" wrapText="1"/>
    </xf>
    <xf numFmtId="166" fontId="17" fillId="0" borderId="48" xfId="1" applyNumberFormat="1" applyFont="1" applyBorder="1" applyAlignment="1">
      <alignment horizontal="center" vertical="center"/>
    </xf>
    <xf numFmtId="0" fontId="17" fillId="19" borderId="18" xfId="0" applyFont="1" applyFill="1" applyBorder="1" applyAlignment="1">
      <alignment horizontal="left" vertical="center"/>
    </xf>
    <xf numFmtId="0" fontId="16" fillId="19" borderId="18" xfId="0" applyFont="1" applyFill="1" applyBorder="1" applyAlignment="1">
      <alignment horizontal="left" vertical="center"/>
    </xf>
    <xf numFmtId="0" fontId="17" fillId="2" borderId="46" xfId="0" applyFont="1" applyFill="1" applyBorder="1" applyAlignment="1">
      <alignment vertical="center" wrapText="1"/>
    </xf>
    <xf numFmtId="0" fontId="29" fillId="2" borderId="46" xfId="0" applyNumberFormat="1" applyFont="1" applyFill="1" applyBorder="1" applyAlignment="1">
      <alignment horizontal="center" vertical="center"/>
    </xf>
    <xf numFmtId="4" fontId="17" fillId="2" borderId="13" xfId="1" applyNumberFormat="1" applyFont="1" applyFill="1" applyBorder="1" applyAlignment="1">
      <alignment horizontal="center" vertical="center" wrapText="1"/>
    </xf>
    <xf numFmtId="166" fontId="18" fillId="2" borderId="72" xfId="1" applyNumberFormat="1" applyFont="1" applyFill="1" applyBorder="1" applyAlignment="1">
      <alignment horizontal="center" vertical="center" wrapText="1"/>
    </xf>
    <xf numFmtId="166" fontId="18" fillId="2" borderId="11" xfId="1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top"/>
    </xf>
    <xf numFmtId="0" fontId="7" fillId="0" borderId="1" xfId="0" applyFont="1" applyBorder="1"/>
    <xf numFmtId="0" fontId="12" fillId="0" borderId="0" xfId="0" applyFont="1"/>
    <xf numFmtId="14" fontId="7" fillId="0" borderId="13" xfId="0" applyNumberFormat="1" applyFont="1" applyBorder="1" applyAlignment="1">
      <alignment horizontal="center" vertical="center" wrapText="1"/>
    </xf>
    <xf numFmtId="166" fontId="39" fillId="3" borderId="47" xfId="1" applyNumberFormat="1" applyFont="1" applyFill="1" applyBorder="1" applyAlignment="1">
      <alignment horizontal="right" vertical="center" wrapText="1"/>
    </xf>
    <xf numFmtId="14" fontId="18" fillId="2" borderId="19" xfId="1" applyNumberFormat="1" applyFont="1" applyFill="1" applyBorder="1" applyAlignment="1">
      <alignment horizontal="center" vertical="center" wrapText="1"/>
    </xf>
    <xf numFmtId="165" fontId="32" fillId="2" borderId="25" xfId="1" applyNumberFormat="1" applyFont="1" applyFill="1" applyBorder="1" applyAlignment="1">
      <alignment horizontal="center" vertical="center" wrapText="1"/>
    </xf>
    <xf numFmtId="169" fontId="0" fillId="0" borderId="0" xfId="0" applyNumberFormat="1"/>
    <xf numFmtId="2" fontId="17" fillId="2" borderId="5" xfId="0" applyNumberFormat="1" applyFont="1" applyFill="1" applyBorder="1" applyAlignment="1">
      <alignment horizontal="center" vertical="center"/>
    </xf>
    <xf numFmtId="166" fontId="17" fillId="0" borderId="0" xfId="1" applyNumberFormat="1" applyFont="1" applyBorder="1" applyAlignment="1">
      <alignment vertical="center"/>
    </xf>
    <xf numFmtId="0" fontId="24" fillId="2" borderId="18" xfId="0" applyNumberFormat="1" applyFont="1" applyFill="1" applyBorder="1" applyAlignment="1">
      <alignment horizontal="center" vertical="center"/>
    </xf>
    <xf numFmtId="165" fontId="38" fillId="0" borderId="48" xfId="1" applyNumberFormat="1" applyFont="1" applyFill="1" applyBorder="1" applyAlignment="1">
      <alignment horizontal="center" vertical="top" wrapText="1"/>
    </xf>
    <xf numFmtId="14" fontId="17" fillId="2" borderId="31" xfId="1" applyNumberFormat="1" applyFont="1" applyFill="1" applyBorder="1" applyAlignment="1">
      <alignment horizontal="center" vertical="center" wrapText="1"/>
    </xf>
    <xf numFmtId="166" fontId="18" fillId="2" borderId="2" xfId="1" applyNumberFormat="1" applyFont="1" applyFill="1" applyBorder="1" applyAlignment="1">
      <alignment horizontal="center" vertical="center"/>
    </xf>
    <xf numFmtId="0" fontId="8" fillId="0" borderId="1" xfId="0" applyFont="1" applyBorder="1"/>
    <xf numFmtId="4" fontId="18" fillId="7" borderId="18" xfId="1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17" fillId="19" borderId="50" xfId="0" applyFont="1" applyFill="1" applyBorder="1" applyAlignment="1">
      <alignment horizontal="left" vertical="center"/>
    </xf>
    <xf numFmtId="0" fontId="17" fillId="0" borderId="70" xfId="0" applyFont="1" applyBorder="1" applyAlignment="1">
      <alignment vertical="center"/>
    </xf>
    <xf numFmtId="0" fontId="17" fillId="2" borderId="70" xfId="0" applyFont="1" applyFill="1" applyBorder="1" applyAlignment="1">
      <alignment vertical="center" wrapText="1"/>
    </xf>
    <xf numFmtId="0" fontId="16" fillId="19" borderId="50" xfId="0" applyFont="1" applyFill="1" applyBorder="1" applyAlignment="1">
      <alignment horizontal="left" vertical="center"/>
    </xf>
    <xf numFmtId="165" fontId="33" fillId="0" borderId="39" xfId="1" applyNumberFormat="1" applyFont="1" applyBorder="1" applyAlignment="1">
      <alignment horizontal="center" vertical="center"/>
    </xf>
    <xf numFmtId="165" fontId="17" fillId="18" borderId="46" xfId="1" applyNumberFormat="1" applyFont="1" applyFill="1" applyBorder="1" applyAlignment="1">
      <alignment horizontal="left" vertical="center"/>
    </xf>
    <xf numFmtId="0" fontId="7" fillId="25" borderId="3" xfId="0" applyFont="1" applyFill="1" applyBorder="1" applyAlignment="1">
      <alignment horizontal="center" vertical="center"/>
    </xf>
    <xf numFmtId="4" fontId="18" fillId="2" borderId="13" xfId="1" applyNumberFormat="1" applyFont="1" applyFill="1" applyBorder="1" applyAlignment="1">
      <alignment horizontal="center" vertical="center" wrapText="1"/>
    </xf>
    <xf numFmtId="165" fontId="17" fillId="2" borderId="76" xfId="1" applyNumberFormat="1" applyFont="1" applyFill="1" applyBorder="1" applyAlignment="1">
      <alignment horizontal="center" vertical="center" wrapText="1"/>
    </xf>
    <xf numFmtId="165" fontId="39" fillId="2" borderId="73" xfId="1" applyNumberFormat="1" applyFont="1" applyFill="1" applyBorder="1" applyAlignment="1">
      <alignment horizontal="center" vertical="center" wrapText="1"/>
    </xf>
    <xf numFmtId="165" fontId="17" fillId="2" borderId="54" xfId="1" applyNumberFormat="1" applyFont="1" applyFill="1" applyBorder="1" applyAlignment="1">
      <alignment horizontal="center" vertical="center" wrapText="1"/>
    </xf>
    <xf numFmtId="165" fontId="39" fillId="2" borderId="54" xfId="1" applyNumberFormat="1" applyFont="1" applyFill="1" applyBorder="1" applyAlignment="1">
      <alignment horizontal="center" vertical="center" wrapText="1"/>
    </xf>
    <xf numFmtId="166" fontId="18" fillId="2" borderId="54" xfId="1" applyNumberFormat="1" applyFont="1" applyFill="1" applyBorder="1" applyAlignment="1">
      <alignment horizontal="center" vertical="center" wrapText="1"/>
    </xf>
    <xf numFmtId="165" fontId="17" fillId="18" borderId="54" xfId="1" applyNumberFormat="1" applyFont="1" applyFill="1" applyBorder="1" applyAlignment="1">
      <alignment horizontal="center" vertical="center" wrapText="1"/>
    </xf>
    <xf numFmtId="0" fontId="17" fillId="2" borderId="54" xfId="1" applyNumberFormat="1" applyFont="1" applyFill="1" applyBorder="1" applyAlignment="1">
      <alignment horizontal="center" vertical="center" wrapText="1"/>
    </xf>
    <xf numFmtId="165" fontId="32" fillId="2" borderId="54" xfId="1" applyNumberFormat="1" applyFont="1" applyFill="1" applyBorder="1" applyAlignment="1">
      <alignment horizontal="center" vertical="center" wrapText="1"/>
    </xf>
    <xf numFmtId="165" fontId="17" fillId="2" borderId="73" xfId="1" applyNumberFormat="1" applyFont="1" applyFill="1" applyBorder="1" applyAlignment="1">
      <alignment horizontal="center" vertical="center" wrapText="1"/>
    </xf>
    <xf numFmtId="166" fontId="18" fillId="2" borderId="73" xfId="1" applyNumberFormat="1" applyFont="1" applyFill="1" applyBorder="1" applyAlignment="1">
      <alignment horizontal="center" vertical="center" wrapText="1"/>
    </xf>
    <xf numFmtId="165" fontId="17" fillId="2" borderId="55" xfId="1" applyNumberFormat="1" applyFont="1" applyFill="1" applyBorder="1" applyAlignment="1">
      <alignment horizontal="center" vertical="center" wrapText="1"/>
    </xf>
    <xf numFmtId="165" fontId="17" fillId="18" borderId="18" xfId="1" applyNumberFormat="1" applyFont="1" applyFill="1" applyBorder="1" applyAlignment="1">
      <alignment horizontal="center" vertical="center" wrapText="1"/>
    </xf>
    <xf numFmtId="165" fontId="33" fillId="2" borderId="31" xfId="1" applyNumberFormat="1" applyFont="1" applyFill="1" applyBorder="1" applyAlignment="1">
      <alignment horizontal="center" vertical="center"/>
    </xf>
    <xf numFmtId="165" fontId="19" fillId="0" borderId="14" xfId="1" applyNumberFormat="1" applyFont="1" applyBorder="1" applyAlignment="1">
      <alignment horizontal="center" vertical="center" wrapText="1"/>
    </xf>
    <xf numFmtId="0" fontId="17" fillId="0" borderId="0" xfId="1" applyNumberFormat="1" applyFont="1" applyBorder="1" applyAlignment="1">
      <alignment horizontal="center" vertical="center"/>
    </xf>
    <xf numFmtId="0" fontId="17" fillId="0" borderId="0" xfId="1" applyNumberFormat="1" applyFont="1" applyBorder="1" applyAlignment="1">
      <alignment vertical="center"/>
    </xf>
    <xf numFmtId="2" fontId="32" fillId="0" borderId="6" xfId="0" applyNumberFormat="1" applyFont="1" applyBorder="1" applyAlignment="1">
      <alignment horizontal="center" vertical="center"/>
    </xf>
    <xf numFmtId="166" fontId="7" fillId="2" borderId="3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top" wrapText="1"/>
    </xf>
    <xf numFmtId="165" fontId="17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66" fontId="8" fillId="2" borderId="7" xfId="1" applyNumberFormat="1" applyFont="1" applyFill="1" applyBorder="1" applyAlignment="1">
      <alignment horizontal="center" vertical="center"/>
    </xf>
    <xf numFmtId="16" fontId="0" fillId="0" borderId="0" xfId="0" applyNumberFormat="1"/>
    <xf numFmtId="0" fontId="33" fillId="0" borderId="57" xfId="0" applyFont="1" applyBorder="1" applyAlignment="1">
      <alignment horizontal="center" vertical="center"/>
    </xf>
    <xf numFmtId="164" fontId="33" fillId="2" borderId="70" xfId="1" applyNumberFormat="1" applyFont="1" applyFill="1" applyBorder="1" applyAlignment="1">
      <alignment horizontal="center" vertical="center" wrapText="1"/>
    </xf>
    <xf numFmtId="165" fontId="32" fillId="2" borderId="32" xfId="1" applyNumberFormat="1" applyFont="1" applyFill="1" applyBorder="1" applyAlignment="1">
      <alignment horizontal="center" vertical="center" wrapText="1"/>
    </xf>
    <xf numFmtId="165" fontId="36" fillId="0" borderId="23" xfId="1" applyNumberFormat="1" applyFont="1" applyFill="1" applyBorder="1" applyAlignment="1">
      <alignment horizontal="center" vertical="center" wrapText="1"/>
    </xf>
    <xf numFmtId="165" fontId="36" fillId="2" borderId="75" xfId="1" applyNumberFormat="1" applyFont="1" applyFill="1" applyBorder="1" applyAlignment="1">
      <alignment horizontal="center" vertical="center" wrapText="1"/>
    </xf>
    <xf numFmtId="165" fontId="32" fillId="2" borderId="71" xfId="1" applyNumberFormat="1" applyFont="1" applyFill="1" applyBorder="1" applyAlignment="1">
      <alignment horizontal="center" vertical="center" wrapText="1"/>
    </xf>
    <xf numFmtId="165" fontId="32" fillId="2" borderId="47" xfId="1" applyNumberFormat="1" applyFont="1" applyFill="1" applyBorder="1" applyAlignment="1">
      <alignment horizontal="center" vertical="center" wrapText="1"/>
    </xf>
    <xf numFmtId="165" fontId="39" fillId="2" borderId="50" xfId="1" applyNumberFormat="1" applyFont="1" applyFill="1" applyBorder="1" applyAlignment="1">
      <alignment horizontal="center" vertical="center" wrapText="1"/>
    </xf>
    <xf numFmtId="165" fontId="32" fillId="2" borderId="50" xfId="1" applyNumberFormat="1" applyFont="1" applyFill="1" applyBorder="1" applyAlignment="1">
      <alignment horizontal="center" vertical="center" wrapText="1"/>
    </xf>
    <xf numFmtId="165" fontId="17" fillId="18" borderId="50" xfId="1" applyNumberFormat="1" applyFont="1" applyFill="1" applyBorder="1" applyAlignment="1">
      <alignment horizontal="center" vertical="center" wrapText="1"/>
    </xf>
    <xf numFmtId="165" fontId="32" fillId="0" borderId="41" xfId="1" applyNumberFormat="1" applyFont="1" applyFill="1" applyBorder="1" applyAlignment="1">
      <alignment horizontal="center" vertical="center" wrapText="1"/>
    </xf>
    <xf numFmtId="165" fontId="32" fillId="2" borderId="43" xfId="1" applyNumberFormat="1" applyFont="1" applyFill="1" applyBorder="1" applyAlignment="1">
      <alignment horizontal="center" vertical="center" wrapText="1"/>
    </xf>
    <xf numFmtId="165" fontId="32" fillId="2" borderId="69" xfId="1" applyNumberFormat="1" applyFont="1" applyFill="1" applyBorder="1" applyAlignment="1">
      <alignment horizontal="center" vertical="center" wrapText="1"/>
    </xf>
    <xf numFmtId="165" fontId="32" fillId="2" borderId="62" xfId="1" applyNumberFormat="1" applyFont="1" applyFill="1" applyBorder="1" applyAlignment="1">
      <alignment horizontal="center" vertical="center" wrapText="1"/>
    </xf>
    <xf numFmtId="0" fontId="17" fillId="0" borderId="31" xfId="1" applyNumberFormat="1" applyFont="1" applyBorder="1" applyAlignment="1">
      <alignment horizontal="center" vertical="center"/>
    </xf>
    <xf numFmtId="3" fontId="19" fillId="22" borderId="56" xfId="1" applyNumberFormat="1" applyFont="1" applyFill="1" applyBorder="1" applyAlignment="1">
      <alignment horizontal="center" vertical="center" wrapText="1"/>
    </xf>
    <xf numFmtId="3" fontId="19" fillId="22" borderId="46" xfId="1" applyNumberFormat="1" applyFont="1" applyFill="1" applyBorder="1" applyAlignment="1">
      <alignment horizontal="center" vertical="center" wrapText="1"/>
    </xf>
    <xf numFmtId="3" fontId="19" fillId="22" borderId="59" xfId="1" applyNumberFormat="1" applyFont="1" applyFill="1" applyBorder="1" applyAlignment="1">
      <alignment horizontal="center" vertical="center" wrapText="1"/>
    </xf>
    <xf numFmtId="165" fontId="32" fillId="2" borderId="18" xfId="1" applyNumberFormat="1" applyFont="1" applyFill="1" applyBorder="1" applyAlignment="1">
      <alignment horizontal="center" vertical="center"/>
    </xf>
    <xf numFmtId="165" fontId="38" fillId="2" borderId="33" xfId="1" applyNumberFormat="1" applyFont="1" applyFill="1" applyBorder="1" applyAlignment="1">
      <alignment horizontal="center" vertical="top" wrapText="1"/>
    </xf>
    <xf numFmtId="165" fontId="39" fillId="2" borderId="7" xfId="1" applyNumberFormat="1" applyFont="1" applyFill="1" applyBorder="1" applyAlignment="1">
      <alignment horizontal="center" vertical="center" wrapText="1"/>
    </xf>
    <xf numFmtId="165" fontId="39" fillId="2" borderId="3" xfId="1" applyNumberFormat="1" applyFont="1" applyFill="1" applyBorder="1" applyAlignment="1">
      <alignment horizontal="center" vertical="center" wrapText="1"/>
    </xf>
    <xf numFmtId="165" fontId="17" fillId="2" borderId="26" xfId="1" applyNumberFormat="1" applyFont="1" applyFill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165" fontId="41" fillId="2" borderId="59" xfId="1" applyNumberFormat="1" applyFont="1" applyFill="1" applyBorder="1" applyAlignment="1">
      <alignment horizontal="center" vertical="center" textRotation="90" wrapText="1"/>
    </xf>
    <xf numFmtId="165" fontId="32" fillId="0" borderId="11" xfId="1" applyNumberFormat="1" applyFont="1" applyFill="1" applyBorder="1" applyAlignment="1">
      <alignment horizontal="center" vertical="center" wrapText="1"/>
    </xf>
    <xf numFmtId="165" fontId="8" fillId="2" borderId="0" xfId="0" applyNumberFormat="1" applyFon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8" fillId="2" borderId="1" xfId="1" applyNumberFormat="1" applyFont="1" applyFill="1" applyBorder="1" applyAlignment="1">
      <alignment horizontal="center" vertical="center"/>
    </xf>
    <xf numFmtId="0" fontId="24" fillId="0" borderId="2" xfId="0" applyNumberFormat="1" applyFont="1" applyBorder="1" applyAlignment="1">
      <alignment horizontal="center" vertical="center"/>
    </xf>
    <xf numFmtId="166" fontId="24" fillId="0" borderId="2" xfId="1" applyNumberFormat="1" applyFont="1" applyBorder="1" applyAlignment="1">
      <alignment horizontal="center" vertical="center"/>
    </xf>
    <xf numFmtId="170" fontId="24" fillId="0" borderId="2" xfId="1" applyNumberFormat="1" applyFont="1" applyBorder="1" applyAlignment="1">
      <alignment horizontal="center" vertical="center"/>
    </xf>
    <xf numFmtId="166" fontId="24" fillId="2" borderId="3" xfId="1" applyNumberFormat="1" applyFont="1" applyFill="1" applyBorder="1" applyAlignment="1">
      <alignment horizontal="center" vertical="center"/>
    </xf>
    <xf numFmtId="166" fontId="24" fillId="2" borderId="7" xfId="1" applyNumberFormat="1" applyFont="1" applyFill="1" applyBorder="1" applyAlignment="1">
      <alignment horizontal="center" vertical="center"/>
    </xf>
    <xf numFmtId="165" fontId="38" fillId="3" borderId="33" xfId="1" applyNumberFormat="1" applyFont="1" applyFill="1" applyBorder="1" applyAlignment="1">
      <alignment horizontal="center" vertical="top" wrapText="1"/>
    </xf>
    <xf numFmtId="14" fontId="17" fillId="3" borderId="35" xfId="1" applyNumberFormat="1" applyFont="1" applyFill="1" applyBorder="1" applyAlignment="1">
      <alignment horizontal="center" vertical="center" wrapText="1"/>
    </xf>
    <xf numFmtId="166" fontId="32" fillId="2" borderId="4" xfId="1" applyNumberFormat="1" applyFont="1" applyFill="1" applyBorder="1" applyAlignment="1">
      <alignment horizontal="center" vertical="center"/>
    </xf>
    <xf numFmtId="165" fontId="39" fillId="2" borderId="57" xfId="1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 wrapText="1"/>
    </xf>
    <xf numFmtId="0" fontId="16" fillId="2" borderId="53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 vertical="center" wrapText="1"/>
    </xf>
    <xf numFmtId="165" fontId="17" fillId="10" borderId="39" xfId="1" applyNumberFormat="1" applyFont="1" applyFill="1" applyBorder="1" applyAlignment="1">
      <alignment horizontal="center" vertical="center"/>
    </xf>
    <xf numFmtId="165" fontId="17" fillId="16" borderId="39" xfId="1" applyNumberFormat="1" applyFont="1" applyFill="1" applyBorder="1" applyAlignment="1">
      <alignment horizontal="center" vertical="center"/>
    </xf>
    <xf numFmtId="165" fontId="17" fillId="5" borderId="39" xfId="1" applyNumberFormat="1" applyFont="1" applyFill="1" applyBorder="1" applyAlignment="1">
      <alignment horizontal="center" vertical="center"/>
    </xf>
    <xf numFmtId="0" fontId="0" fillId="13" borderId="2" xfId="0" applyFill="1" applyBorder="1"/>
    <xf numFmtId="0" fontId="0" fillId="14" borderId="2" xfId="0" applyFill="1" applyBorder="1"/>
    <xf numFmtId="0" fontId="0" fillId="0" borderId="2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36" fillId="2" borderId="31" xfId="1" applyNumberFormat="1" applyFont="1" applyFill="1" applyBorder="1" applyAlignment="1">
      <alignment horizontal="center" vertical="center" wrapText="1"/>
    </xf>
    <xf numFmtId="165" fontId="36" fillId="2" borderId="34" xfId="1" applyNumberFormat="1" applyFont="1" applyFill="1" applyBorder="1" applyAlignment="1">
      <alignment horizontal="center" vertical="center" wrapText="1"/>
    </xf>
    <xf numFmtId="0" fontId="17" fillId="2" borderId="50" xfId="0" applyNumberFormat="1" applyFont="1" applyFill="1" applyBorder="1" applyAlignment="1">
      <alignment horizontal="left" vertical="center"/>
    </xf>
    <xf numFmtId="167" fontId="36" fillId="0" borderId="46" xfId="0" applyNumberFormat="1" applyFont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5" fontId="36" fillId="2" borderId="36" xfId="1" applyNumberFormat="1" applyFont="1" applyFill="1" applyBorder="1" applyAlignment="1">
      <alignment horizontal="center" vertical="center" wrapText="1"/>
    </xf>
    <xf numFmtId="165" fontId="19" fillId="2" borderId="39" xfId="1" applyNumberFormat="1" applyFont="1" applyFill="1" applyBorder="1" applyAlignment="1">
      <alignment horizontal="center" vertical="center" wrapText="1"/>
    </xf>
    <xf numFmtId="165" fontId="19" fillId="15" borderId="36" xfId="1" applyNumberFormat="1" applyFont="1" applyFill="1" applyBorder="1" applyAlignment="1">
      <alignment horizontal="center" vertical="center"/>
    </xf>
    <xf numFmtId="165" fontId="36" fillId="15" borderId="36" xfId="1" applyNumberFormat="1" applyFont="1" applyFill="1" applyBorder="1" applyAlignment="1">
      <alignment horizontal="center" vertical="center"/>
    </xf>
    <xf numFmtId="165" fontId="17" fillId="15" borderId="39" xfId="1" applyNumberFormat="1" applyFont="1" applyFill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 wrapText="1"/>
    </xf>
    <xf numFmtId="0" fontId="32" fillId="18" borderId="2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top"/>
    </xf>
    <xf numFmtId="0" fontId="18" fillId="0" borderId="30" xfId="0" applyFont="1" applyBorder="1" applyAlignment="1">
      <alignment horizontal="center" vertical="center"/>
    </xf>
    <xf numFmtId="165" fontId="19" fillId="0" borderId="38" xfId="1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72" xfId="0" applyFont="1" applyFill="1" applyBorder="1" applyAlignment="1">
      <alignment horizontal="center" vertical="center"/>
    </xf>
    <xf numFmtId="0" fontId="32" fillId="2" borderId="72" xfId="0" applyFont="1" applyFill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0" fillId="2" borderId="17" xfId="0" applyFill="1" applyBorder="1"/>
    <xf numFmtId="0" fontId="0" fillId="0" borderId="57" xfId="0" applyBorder="1" applyAlignment="1">
      <alignment horizontal="center" vertical="center"/>
    </xf>
    <xf numFmtId="0" fontId="0" fillId="0" borderId="39" xfId="0" applyBorder="1"/>
    <xf numFmtId="166" fontId="0" fillId="0" borderId="73" xfId="1" applyNumberFormat="1" applyFont="1" applyBorder="1" applyAlignment="1">
      <alignment horizontal="center" vertical="center"/>
    </xf>
    <xf numFmtId="166" fontId="0" fillId="0" borderId="54" xfId="1" applyNumberFormat="1" applyFont="1" applyBorder="1" applyAlignment="1">
      <alignment horizontal="center" vertical="center"/>
    </xf>
    <xf numFmtId="166" fontId="0" fillId="0" borderId="65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5" fillId="0" borderId="46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8" xfId="0" applyBorder="1" applyAlignment="1">
      <alignment vertical="center"/>
    </xf>
    <xf numFmtId="43" fontId="7" fillId="3" borderId="1" xfId="1" applyFont="1" applyFill="1" applyBorder="1" applyAlignment="1">
      <alignment vertical="center"/>
    </xf>
    <xf numFmtId="0" fontId="35" fillId="0" borderId="18" xfId="0" applyFont="1" applyBorder="1" applyAlignment="1">
      <alignment horizontal="center"/>
    </xf>
    <xf numFmtId="0" fontId="35" fillId="0" borderId="39" xfId="0" applyFont="1" applyFill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0" fillId="0" borderId="0" xfId="0" applyBorder="1"/>
    <xf numFmtId="165" fontId="19" fillId="0" borderId="45" xfId="1" applyNumberFormat="1" applyFont="1" applyBorder="1" applyAlignment="1">
      <alignment horizontal="center" vertical="center" wrapText="1"/>
    </xf>
    <xf numFmtId="165" fontId="33" fillId="2" borderId="39" xfId="1" applyNumberFormat="1" applyFont="1" applyFill="1" applyBorder="1" applyAlignment="1">
      <alignment horizontal="center" vertical="center"/>
    </xf>
    <xf numFmtId="166" fontId="39" fillId="2" borderId="17" xfId="1" applyNumberFormat="1" applyFont="1" applyFill="1" applyBorder="1" applyAlignment="1">
      <alignment horizontal="center" vertical="center"/>
    </xf>
    <xf numFmtId="0" fontId="14" fillId="12" borderId="2" xfId="0" applyFont="1" applyFill="1" applyBorder="1"/>
    <xf numFmtId="0" fontId="14" fillId="26" borderId="2" xfId="0" applyFont="1" applyFill="1" applyBorder="1"/>
    <xf numFmtId="0" fontId="14" fillId="12" borderId="26" xfId="0" applyFont="1" applyFill="1" applyBorder="1"/>
    <xf numFmtId="165" fontId="18" fillId="2" borderId="19" xfId="1" applyNumberFormat="1" applyFont="1" applyFill="1" applyBorder="1" applyAlignment="1">
      <alignment horizontal="center" vertical="center" wrapText="1"/>
    </xf>
    <xf numFmtId="165" fontId="36" fillId="2" borderId="37" xfId="1" applyNumberFormat="1" applyFont="1" applyFill="1" applyBorder="1" applyAlignment="1">
      <alignment horizontal="center" vertical="center" wrapText="1"/>
    </xf>
    <xf numFmtId="165" fontId="1" fillId="0" borderId="0" xfId="1" applyNumberFormat="1" applyFont="1"/>
    <xf numFmtId="3" fontId="17" fillId="2" borderId="13" xfId="0" applyNumberFormat="1" applyFont="1" applyFill="1" applyBorder="1" applyAlignment="1">
      <alignment horizontal="center" vertical="center"/>
    </xf>
    <xf numFmtId="165" fontId="28" fillId="2" borderId="0" xfId="0" applyNumberFormat="1" applyFont="1" applyFill="1"/>
    <xf numFmtId="0" fontId="28" fillId="2" borderId="0" xfId="0" applyFont="1" applyFill="1" applyAlignment="1">
      <alignment horizontal="center"/>
    </xf>
    <xf numFmtId="169" fontId="28" fillId="2" borderId="0" xfId="0" applyNumberFormat="1" applyFont="1" applyFill="1"/>
    <xf numFmtId="0" fontId="32" fillId="2" borderId="41" xfId="0" applyNumberFormat="1" applyFont="1" applyFill="1" applyBorder="1" applyAlignment="1">
      <alignment horizontal="center" vertical="center"/>
    </xf>
    <xf numFmtId="165" fontId="32" fillId="2" borderId="7" xfId="1" applyNumberFormat="1" applyFont="1" applyFill="1" applyBorder="1" applyAlignment="1">
      <alignment horizontal="center" vertical="center" wrapText="1"/>
    </xf>
    <xf numFmtId="0" fontId="32" fillId="3" borderId="26" xfId="1" applyNumberFormat="1" applyFont="1" applyFill="1" applyBorder="1" applyAlignment="1">
      <alignment horizontal="right" vertical="center" wrapText="1"/>
    </xf>
    <xf numFmtId="0" fontId="17" fillId="3" borderId="18" xfId="0" applyFont="1" applyFill="1" applyBorder="1" applyAlignment="1">
      <alignment horizontal="left" vertical="center"/>
    </xf>
    <xf numFmtId="4" fontId="16" fillId="15" borderId="18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2" fontId="18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43" fillId="0" borderId="0" xfId="0" applyNumberFormat="1" applyFont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66" fontId="39" fillId="2" borderId="6" xfId="1" applyNumberFormat="1" applyFont="1" applyFill="1" applyBorder="1" applyAlignment="1">
      <alignment horizontal="center" vertical="center"/>
    </xf>
    <xf numFmtId="166" fontId="39" fillId="2" borderId="5" xfId="1" applyNumberFormat="1" applyFont="1" applyFill="1" applyBorder="1" applyAlignment="1">
      <alignment horizontal="center" vertical="center"/>
    </xf>
    <xf numFmtId="166" fontId="39" fillId="2" borderId="7" xfId="1" applyNumberFormat="1" applyFont="1" applyFill="1" applyBorder="1" applyAlignment="1">
      <alignment horizontal="center" vertical="center"/>
    </xf>
    <xf numFmtId="165" fontId="39" fillId="2" borderId="7" xfId="1" applyNumberFormat="1" applyFont="1" applyFill="1" applyBorder="1" applyAlignment="1">
      <alignment horizontal="center" vertical="center"/>
    </xf>
    <xf numFmtId="166" fontId="39" fillId="2" borderId="9" xfId="1" applyNumberFormat="1" applyFont="1" applyFill="1" applyBorder="1" applyAlignment="1">
      <alignment horizontal="center" vertical="center"/>
    </xf>
    <xf numFmtId="165" fontId="39" fillId="2" borderId="1" xfId="1" applyNumberFormat="1" applyFont="1" applyFill="1" applyBorder="1" applyAlignment="1">
      <alignment horizontal="center" vertical="center"/>
    </xf>
    <xf numFmtId="166" fontId="39" fillId="2" borderId="3" xfId="1" applyNumberFormat="1" applyFont="1" applyFill="1" applyBorder="1" applyAlignment="1">
      <alignment horizontal="center" vertical="center"/>
    </xf>
    <xf numFmtId="165" fontId="39" fillId="2" borderId="3" xfId="1" applyNumberFormat="1" applyFont="1" applyFill="1" applyBorder="1" applyAlignment="1">
      <alignment horizontal="center" vertical="center"/>
    </xf>
    <xf numFmtId="166" fontId="39" fillId="2" borderId="53" xfId="1" applyNumberFormat="1" applyFont="1" applyFill="1" applyBorder="1" applyAlignment="1">
      <alignment horizontal="center" vertical="center"/>
    </xf>
    <xf numFmtId="166" fontId="39" fillId="2" borderId="32" xfId="1" applyNumberFormat="1" applyFont="1" applyFill="1" applyBorder="1" applyAlignment="1">
      <alignment horizontal="center" vertical="center"/>
    </xf>
    <xf numFmtId="166" fontId="39" fillId="2" borderId="21" xfId="1" applyNumberFormat="1" applyFont="1" applyFill="1" applyBorder="1" applyAlignment="1">
      <alignment horizontal="center" vertical="center"/>
    </xf>
    <xf numFmtId="166" fontId="39" fillId="2" borderId="33" xfId="1" applyNumberFormat="1" applyFont="1" applyFill="1" applyBorder="1" applyAlignment="1">
      <alignment horizontal="center" vertical="center"/>
    </xf>
    <xf numFmtId="166" fontId="32" fillId="2" borderId="32" xfId="1" applyNumberFormat="1" applyFont="1" applyFill="1" applyBorder="1" applyAlignment="1">
      <alignment horizontal="center" vertical="center"/>
    </xf>
    <xf numFmtId="166" fontId="32" fillId="2" borderId="3" xfId="1" applyNumberFormat="1" applyFont="1" applyFill="1" applyBorder="1" applyAlignment="1">
      <alignment horizontal="center" vertical="center"/>
    </xf>
    <xf numFmtId="166" fontId="32" fillId="2" borderId="7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32" fillId="2" borderId="1" xfId="0" applyFont="1" applyFill="1" applyBorder="1" applyAlignment="1">
      <alignment horizontal="center" vertical="center"/>
    </xf>
    <xf numFmtId="165" fontId="17" fillId="0" borderId="1" xfId="1" applyNumberFormat="1" applyFont="1" applyBorder="1" applyAlignment="1">
      <alignment horizontal="center" vertical="center"/>
    </xf>
    <xf numFmtId="165" fontId="32" fillId="0" borderId="1" xfId="1" applyNumberFormat="1" applyFont="1" applyBorder="1" applyAlignment="1">
      <alignment horizontal="center" vertical="center"/>
    </xf>
    <xf numFmtId="167" fontId="51" fillId="0" borderId="0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167" fontId="52" fillId="0" borderId="0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165" fontId="17" fillId="10" borderId="36" xfId="1" applyNumberFormat="1" applyFont="1" applyFill="1" applyBorder="1" applyAlignment="1">
      <alignment vertical="center"/>
    </xf>
    <xf numFmtId="164" fontId="36" fillId="0" borderId="7" xfId="0" applyNumberFormat="1" applyFont="1" applyBorder="1" applyAlignment="1">
      <alignment horizontal="right" vertical="center"/>
    </xf>
    <xf numFmtId="166" fontId="12" fillId="2" borderId="0" xfId="1" applyNumberFormat="1" applyFont="1" applyFill="1" applyAlignment="1">
      <alignment horizontal="center" vertical="center"/>
    </xf>
    <xf numFmtId="166" fontId="7" fillId="2" borderId="25" xfId="1" applyNumberFormat="1" applyFont="1" applyFill="1" applyBorder="1" applyAlignment="1">
      <alignment horizontal="center" vertical="center"/>
    </xf>
    <xf numFmtId="166" fontId="7" fillId="2" borderId="28" xfId="1" applyNumberFormat="1" applyFont="1" applyFill="1" applyBorder="1" applyAlignment="1">
      <alignment horizontal="center" vertical="center"/>
    </xf>
    <xf numFmtId="166" fontId="7" fillId="2" borderId="47" xfId="1" applyNumberFormat="1" applyFont="1" applyFill="1" applyBorder="1" applyAlignment="1">
      <alignment horizontal="center" vertical="center"/>
    </xf>
    <xf numFmtId="166" fontId="7" fillId="2" borderId="42" xfId="1" applyNumberFormat="1" applyFont="1" applyFill="1" applyBorder="1" applyAlignment="1">
      <alignment horizontal="center" vertical="center"/>
    </xf>
    <xf numFmtId="166" fontId="7" fillId="2" borderId="43" xfId="1" applyNumberFormat="1" applyFont="1" applyFill="1" applyBorder="1" applyAlignment="1">
      <alignment horizontal="center" vertical="center"/>
    </xf>
    <xf numFmtId="166" fontId="7" fillId="2" borderId="48" xfId="1" applyNumberFormat="1" applyFont="1" applyFill="1" applyBorder="1" applyAlignment="1">
      <alignment horizontal="center" vertical="center"/>
    </xf>
    <xf numFmtId="166" fontId="7" fillId="2" borderId="21" xfId="1" applyNumberFormat="1" applyFont="1" applyFill="1" applyBorder="1" applyAlignment="1">
      <alignment horizontal="center" vertical="center"/>
    </xf>
    <xf numFmtId="166" fontId="7" fillId="2" borderId="49" xfId="1" applyNumberFormat="1" applyFont="1" applyFill="1" applyBorder="1" applyAlignment="1">
      <alignment horizontal="center" vertical="center"/>
    </xf>
    <xf numFmtId="166" fontId="7" fillId="2" borderId="2" xfId="1" applyNumberFormat="1" applyFont="1" applyFill="1" applyBorder="1" applyAlignment="1">
      <alignment horizontal="center" vertical="center"/>
    </xf>
    <xf numFmtId="0" fontId="7" fillId="25" borderId="72" xfId="0" applyFont="1" applyFill="1" applyBorder="1" applyAlignment="1">
      <alignment horizontal="center" vertical="center"/>
    </xf>
    <xf numFmtId="166" fontId="8" fillId="2" borderId="2" xfId="1" applyNumberFormat="1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166" fontId="7" fillId="2" borderId="17" xfId="1" applyNumberFormat="1" applyFont="1" applyFill="1" applyBorder="1" applyAlignment="1">
      <alignment horizontal="center" vertical="center"/>
    </xf>
    <xf numFmtId="43" fontId="24" fillId="2" borderId="7" xfId="1" applyFont="1" applyFill="1" applyBorder="1" applyAlignment="1">
      <alignment vertical="center"/>
    </xf>
    <xf numFmtId="43" fontId="24" fillId="15" borderId="3" xfId="1" applyFont="1" applyFill="1" applyBorder="1" applyAlignment="1">
      <alignment horizontal="center" vertical="center"/>
    </xf>
    <xf numFmtId="43" fontId="24" fillId="15" borderId="7" xfId="1" applyFont="1" applyFill="1" applyBorder="1" applyAlignment="1">
      <alignment horizontal="center" vertical="center"/>
    </xf>
    <xf numFmtId="166" fontId="24" fillId="2" borderId="40" xfId="1" applyNumberFormat="1" applyFont="1" applyFill="1" applyBorder="1" applyAlignment="1">
      <alignment horizontal="center" vertical="center"/>
    </xf>
    <xf numFmtId="43" fontId="7" fillId="2" borderId="41" xfId="1" applyFont="1" applyFill="1" applyBorder="1" applyAlignment="1">
      <alignment vertical="center"/>
    </xf>
    <xf numFmtId="43" fontId="7" fillId="2" borderId="43" xfId="1" applyFont="1" applyFill="1" applyBorder="1" applyAlignment="1">
      <alignment vertical="center"/>
    </xf>
    <xf numFmtId="0" fontId="24" fillId="15" borderId="42" xfId="0" applyFont="1" applyFill="1" applyBorder="1" applyAlignment="1">
      <alignment horizontal="center" vertical="center"/>
    </xf>
    <xf numFmtId="43" fontId="7" fillId="15" borderId="43" xfId="1" applyFont="1" applyFill="1" applyBorder="1" applyAlignment="1">
      <alignment horizontal="center" vertical="center"/>
    </xf>
    <xf numFmtId="0" fontId="24" fillId="15" borderId="40" xfId="0" applyFont="1" applyFill="1" applyBorder="1" applyAlignment="1">
      <alignment horizontal="center" vertical="center"/>
    </xf>
    <xf numFmtId="166" fontId="24" fillId="2" borderId="63" xfId="1" applyNumberFormat="1" applyFont="1" applyFill="1" applyBorder="1" applyAlignment="1">
      <alignment horizontal="center" vertical="center"/>
    </xf>
    <xf numFmtId="43" fontId="7" fillId="2" borderId="49" xfId="1" applyFont="1" applyFill="1" applyBorder="1" applyAlignment="1">
      <alignment vertical="center"/>
    </xf>
    <xf numFmtId="0" fontId="24" fillId="16" borderId="13" xfId="0" applyNumberFormat="1" applyFont="1" applyFill="1" applyBorder="1" applyAlignment="1">
      <alignment horizontal="center" vertical="center" wrapText="1"/>
    </xf>
    <xf numFmtId="166" fontId="39" fillId="2" borderId="28" xfId="1" applyNumberFormat="1" applyFont="1" applyFill="1" applyBorder="1" applyAlignment="1">
      <alignment horizontal="center" vertical="center"/>
    </xf>
    <xf numFmtId="166" fontId="17" fillId="2" borderId="47" xfId="1" applyNumberFormat="1" applyFont="1" applyFill="1" applyBorder="1" applyAlignment="1">
      <alignment horizontal="center" vertical="center"/>
    </xf>
    <xf numFmtId="166" fontId="32" fillId="2" borderId="42" xfId="1" applyNumberFormat="1" applyFont="1" applyFill="1" applyBorder="1" applyAlignment="1">
      <alignment horizontal="center" vertical="center"/>
    </xf>
    <xf numFmtId="166" fontId="32" fillId="2" borderId="49" xfId="1" applyNumberFormat="1" applyFont="1" applyFill="1" applyBorder="1" applyAlignment="1">
      <alignment horizontal="center" vertical="center"/>
    </xf>
    <xf numFmtId="166" fontId="7" fillId="2" borderId="3" xfId="1" applyNumberFormat="1" applyFont="1" applyFill="1" applyBorder="1" applyAlignment="1">
      <alignment horizontal="center" vertical="center"/>
    </xf>
    <xf numFmtId="165" fontId="36" fillId="3" borderId="14" xfId="1" applyNumberFormat="1" applyFont="1" applyFill="1" applyBorder="1" applyAlignment="1">
      <alignment horizontal="center" vertical="center" wrapText="1"/>
    </xf>
    <xf numFmtId="0" fontId="18" fillId="3" borderId="28" xfId="1" applyNumberFormat="1" applyFont="1" applyFill="1" applyBorder="1" applyAlignment="1">
      <alignment horizontal="right" vertical="center" wrapText="1"/>
    </xf>
    <xf numFmtId="0" fontId="17" fillId="3" borderId="28" xfId="1" applyNumberFormat="1" applyFont="1" applyFill="1" applyBorder="1" applyAlignment="1">
      <alignment horizontal="right" vertical="center" wrapText="1"/>
    </xf>
    <xf numFmtId="165" fontId="19" fillId="2" borderId="14" xfId="1" applyNumberFormat="1" applyFont="1" applyFill="1" applyBorder="1" applyAlignment="1">
      <alignment horizontal="center" vertical="center" wrapText="1"/>
    </xf>
    <xf numFmtId="165" fontId="19" fillId="2" borderId="35" xfId="1" applyNumberFormat="1" applyFont="1" applyFill="1" applyBorder="1" applyAlignment="1">
      <alignment horizontal="center" vertical="center" wrapText="1"/>
    </xf>
    <xf numFmtId="0" fontId="16" fillId="28" borderId="46" xfId="0" applyFont="1" applyFill="1" applyBorder="1" applyAlignment="1">
      <alignment vertical="center"/>
    </xf>
    <xf numFmtId="0" fontId="16" fillId="28" borderId="54" xfId="0" applyFont="1" applyFill="1" applyBorder="1" applyAlignment="1">
      <alignment vertical="center"/>
    </xf>
    <xf numFmtId="165" fontId="16" fillId="28" borderId="42" xfId="1" applyNumberFormat="1" applyFont="1" applyFill="1" applyBorder="1" applyAlignment="1">
      <alignment vertical="center"/>
    </xf>
    <xf numFmtId="0" fontId="18" fillId="28" borderId="3" xfId="0" applyNumberFormat="1" applyFont="1" applyFill="1" applyBorder="1" applyAlignment="1">
      <alignment horizontal="center" vertical="center"/>
    </xf>
    <xf numFmtId="0" fontId="16" fillId="28" borderId="43" xfId="0" applyNumberFormat="1" applyFont="1" applyFill="1" applyBorder="1" applyAlignment="1">
      <alignment vertical="center"/>
    </xf>
    <xf numFmtId="0" fontId="19" fillId="28" borderId="18" xfId="0" applyFont="1" applyFill="1" applyBorder="1" applyAlignment="1">
      <alignment horizontal="center" vertical="center"/>
    </xf>
    <xf numFmtId="164" fontId="50" fillId="28" borderId="18" xfId="0" applyNumberFormat="1" applyFont="1" applyFill="1" applyBorder="1" applyAlignment="1">
      <alignment horizontal="center" vertical="center" wrapText="1"/>
    </xf>
    <xf numFmtId="165" fontId="17" fillId="28" borderId="6" xfId="1" applyNumberFormat="1" applyFont="1" applyFill="1" applyBorder="1" applyAlignment="1">
      <alignment horizontal="center" vertical="center" wrapText="1"/>
    </xf>
    <xf numFmtId="165" fontId="17" fillId="28" borderId="5" xfId="1" applyNumberFormat="1" applyFont="1" applyFill="1" applyBorder="1" applyAlignment="1">
      <alignment horizontal="center" vertical="center" wrapText="1"/>
    </xf>
    <xf numFmtId="165" fontId="18" fillId="28" borderId="18" xfId="1" applyNumberFormat="1" applyFont="1" applyFill="1" applyBorder="1" applyAlignment="1">
      <alignment horizontal="center" vertical="center" wrapText="1"/>
    </xf>
    <xf numFmtId="165" fontId="17" fillId="28" borderId="1" xfId="1" applyNumberFormat="1" applyFont="1" applyFill="1" applyBorder="1" applyAlignment="1">
      <alignment horizontal="center" vertical="center" wrapText="1"/>
    </xf>
    <xf numFmtId="165" fontId="17" fillId="28" borderId="3" xfId="1" applyNumberFormat="1" applyFont="1" applyFill="1" applyBorder="1" applyAlignment="1">
      <alignment horizontal="center" vertical="center" wrapText="1"/>
    </xf>
    <xf numFmtId="165" fontId="17" fillId="28" borderId="41" xfId="1" applyNumberFormat="1" applyFont="1" applyFill="1" applyBorder="1" applyAlignment="1">
      <alignment horizontal="center" vertical="center" wrapText="1"/>
    </xf>
    <xf numFmtId="165" fontId="17" fillId="28" borderId="42" xfId="1" applyNumberFormat="1" applyFont="1" applyFill="1" applyBorder="1" applyAlignment="1">
      <alignment horizontal="center" vertical="center" wrapText="1"/>
    </xf>
    <xf numFmtId="165" fontId="17" fillId="28" borderId="2" xfId="1" applyNumberFormat="1" applyFont="1" applyFill="1" applyBorder="1" applyAlignment="1">
      <alignment horizontal="center" vertical="center" wrapText="1"/>
    </xf>
    <xf numFmtId="165" fontId="39" fillId="28" borderId="46" xfId="1" applyNumberFormat="1" applyFont="1" applyFill="1" applyBorder="1" applyAlignment="1">
      <alignment horizontal="center" vertical="center" wrapText="1"/>
    </xf>
    <xf numFmtId="165" fontId="17" fillId="28" borderId="46" xfId="1" applyNumberFormat="1" applyFont="1" applyFill="1" applyBorder="1" applyAlignment="1">
      <alignment horizontal="center" vertical="center"/>
    </xf>
    <xf numFmtId="164" fontId="33" fillId="28" borderId="18" xfId="1" applyNumberFormat="1" applyFont="1" applyFill="1" applyBorder="1" applyAlignment="1">
      <alignment horizontal="center" vertical="center" wrapText="1"/>
    </xf>
    <xf numFmtId="4" fontId="19" fillId="28" borderId="50" xfId="1" applyNumberFormat="1" applyFont="1" applyFill="1" applyBorder="1" applyAlignment="1">
      <alignment horizontal="center" vertical="center" wrapText="1"/>
    </xf>
    <xf numFmtId="0" fontId="17" fillId="28" borderId="3" xfId="0" applyFont="1" applyFill="1" applyBorder="1" applyAlignment="1">
      <alignment horizontal="left" vertical="center"/>
    </xf>
    <xf numFmtId="4" fontId="19" fillId="28" borderId="1" xfId="1" applyNumberFormat="1" applyFont="1" applyFill="1" applyBorder="1" applyAlignment="1">
      <alignment horizontal="center" vertical="center" wrapText="1"/>
    </xf>
    <xf numFmtId="0" fontId="16" fillId="28" borderId="46" xfId="0" applyFont="1" applyFill="1" applyBorder="1" applyAlignment="1">
      <alignment horizontal="center" vertical="center"/>
    </xf>
    <xf numFmtId="0" fontId="17" fillId="28" borderId="46" xfId="0" applyFont="1" applyFill="1" applyBorder="1" applyAlignment="1">
      <alignment horizontal="left" vertical="center"/>
    </xf>
    <xf numFmtId="165" fontId="17" fillId="28" borderId="40" xfId="1" applyNumberFormat="1" applyFont="1" applyFill="1" applyBorder="1" applyAlignment="1">
      <alignment horizontal="center" vertical="center"/>
    </xf>
    <xf numFmtId="0" fontId="17" fillId="28" borderId="3" xfId="0" applyNumberFormat="1" applyFont="1" applyFill="1" applyBorder="1" applyAlignment="1">
      <alignment horizontal="center" vertical="center"/>
    </xf>
    <xf numFmtId="0" fontId="17" fillId="28" borderId="41" xfId="0" applyNumberFormat="1" applyFont="1" applyFill="1" applyBorder="1" applyAlignment="1">
      <alignment horizontal="center" vertical="center"/>
    </xf>
    <xf numFmtId="0" fontId="19" fillId="28" borderId="46" xfId="0" applyFont="1" applyFill="1" applyBorder="1" applyAlignment="1">
      <alignment horizontal="center" vertical="center"/>
    </xf>
    <xf numFmtId="4" fontId="17" fillId="28" borderId="46" xfId="1" applyNumberFormat="1" applyFont="1" applyFill="1" applyBorder="1" applyAlignment="1">
      <alignment horizontal="center" vertical="center" wrapText="1"/>
    </xf>
    <xf numFmtId="165" fontId="17" fillId="28" borderId="46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right" vertical="center" wrapText="1"/>
    </xf>
    <xf numFmtId="14" fontId="56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7" fontId="53" fillId="2" borderId="73" xfId="0" applyNumberFormat="1" applyFont="1" applyFill="1" applyBorder="1" applyAlignment="1">
      <alignment horizontal="center" vertical="center"/>
    </xf>
    <xf numFmtId="17" fontId="53" fillId="2" borderId="39" xfId="0" applyNumberFormat="1" applyFont="1" applyFill="1" applyBorder="1" applyAlignment="1">
      <alignment horizontal="center" vertical="center" wrapText="1"/>
    </xf>
    <xf numFmtId="0" fontId="55" fillId="2" borderId="39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12" borderId="1" xfId="0" applyFont="1" applyFill="1" applyBorder="1" applyAlignment="1">
      <alignment horizontal="center" vertical="center" wrapText="1"/>
    </xf>
    <xf numFmtId="0" fontId="59" fillId="12" borderId="2" xfId="0" applyFont="1" applyFill="1" applyBorder="1" applyAlignment="1">
      <alignment horizontal="center" vertical="center" wrapText="1"/>
    </xf>
    <xf numFmtId="0" fontId="59" fillId="2" borderId="2" xfId="0" applyFont="1" applyFill="1" applyBorder="1" applyAlignment="1">
      <alignment horizontal="center" vertical="center" wrapText="1"/>
    </xf>
    <xf numFmtId="166" fontId="59" fillId="2" borderId="56" xfId="1" applyNumberFormat="1" applyFont="1" applyFill="1" applyBorder="1" applyAlignment="1">
      <alignment horizontal="center" vertical="center" wrapText="1"/>
    </xf>
    <xf numFmtId="0" fontId="60" fillId="2" borderId="76" xfId="0" applyFont="1" applyFill="1" applyBorder="1" applyAlignment="1">
      <alignment horizontal="center" vertical="center" wrapText="1"/>
    </xf>
    <xf numFmtId="0" fontId="59" fillId="0" borderId="3" xfId="1" applyNumberFormat="1" applyFont="1" applyBorder="1" applyAlignment="1">
      <alignment vertical="center"/>
    </xf>
    <xf numFmtId="0" fontId="59" fillId="0" borderId="1" xfId="0" applyNumberFormat="1" applyFont="1" applyBorder="1" applyAlignment="1">
      <alignment horizontal="center" vertical="center"/>
    </xf>
    <xf numFmtId="0" fontId="61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66" fontId="53" fillId="0" borderId="1" xfId="0" applyNumberFormat="1" applyFont="1" applyBorder="1" applyAlignment="1">
      <alignment horizontal="center" vertical="center"/>
    </xf>
    <xf numFmtId="0" fontId="55" fillId="0" borderId="0" xfId="0" applyNumberFormat="1" applyFont="1" applyAlignment="1">
      <alignment horizontal="center" vertical="center"/>
    </xf>
    <xf numFmtId="0" fontId="59" fillId="12" borderId="56" xfId="0" applyFont="1" applyFill="1" applyBorder="1" applyAlignment="1">
      <alignment horizontal="center" vertical="center" wrapText="1"/>
    </xf>
    <xf numFmtId="0" fontId="53" fillId="0" borderId="25" xfId="0" applyFont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 wrapText="1"/>
    </xf>
    <xf numFmtId="0" fontId="59" fillId="13" borderId="2" xfId="0" applyFont="1" applyFill="1" applyBorder="1" applyAlignment="1">
      <alignment horizontal="center" vertical="center" wrapText="1"/>
    </xf>
    <xf numFmtId="166" fontId="59" fillId="2" borderId="46" xfId="1" applyNumberFormat="1" applyFont="1" applyFill="1" applyBorder="1" applyAlignment="1">
      <alignment horizontal="center" vertical="center" wrapText="1"/>
    </xf>
    <xf numFmtId="0" fontId="60" fillId="2" borderId="54" xfId="0" applyFont="1" applyFill="1" applyBorder="1" applyAlignment="1">
      <alignment horizontal="center" vertical="center" wrapText="1"/>
    </xf>
    <xf numFmtId="0" fontId="59" fillId="13" borderId="46" xfId="0" applyFont="1" applyFill="1" applyBorder="1" applyAlignment="1">
      <alignment horizontal="center" vertical="center" wrapText="1"/>
    </xf>
    <xf numFmtId="0" fontId="53" fillId="0" borderId="42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14" borderId="1" xfId="0" applyFont="1" applyFill="1" applyBorder="1" applyAlignment="1">
      <alignment horizontal="center" vertical="center" wrapText="1"/>
    </xf>
    <xf numFmtId="0" fontId="59" fillId="14" borderId="2" xfId="0" applyFont="1" applyFill="1" applyBorder="1" applyAlignment="1">
      <alignment horizontal="center" vertical="center" wrapText="1"/>
    </xf>
    <xf numFmtId="0" fontId="59" fillId="14" borderId="46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57" fillId="0" borderId="3" xfId="0" applyNumberFormat="1" applyFont="1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59" fillId="12" borderId="46" xfId="0" applyFont="1" applyFill="1" applyBorder="1" applyAlignment="1">
      <alignment horizontal="center" vertical="center" wrapText="1"/>
    </xf>
    <xf numFmtId="0" fontId="55" fillId="0" borderId="19" xfId="0" applyFont="1" applyBorder="1" applyAlignment="1">
      <alignment horizontal="center" vertical="center"/>
    </xf>
    <xf numFmtId="0" fontId="62" fillId="26" borderId="1" xfId="0" applyFont="1" applyFill="1" applyBorder="1" applyAlignment="1">
      <alignment horizontal="center" vertical="center" wrapText="1"/>
    </xf>
    <xf numFmtId="0" fontId="62" fillId="26" borderId="2" xfId="0" applyFont="1" applyFill="1" applyBorder="1" applyAlignment="1">
      <alignment horizontal="center" vertical="center" wrapText="1"/>
    </xf>
    <xf numFmtId="166" fontId="59" fillId="2" borderId="59" xfId="1" applyNumberFormat="1" applyFont="1" applyFill="1" applyBorder="1" applyAlignment="1">
      <alignment horizontal="center" vertical="center" wrapText="1"/>
    </xf>
    <xf numFmtId="0" fontId="60" fillId="2" borderId="55" xfId="0" applyFont="1" applyFill="1" applyBorder="1" applyAlignment="1">
      <alignment horizontal="center" vertical="center" wrapText="1"/>
    </xf>
    <xf numFmtId="0" fontId="62" fillId="26" borderId="57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vertical="center"/>
    </xf>
    <xf numFmtId="0" fontId="53" fillId="0" borderId="39" xfId="0" applyFont="1" applyBorder="1" applyAlignment="1">
      <alignment horizontal="center" vertical="center"/>
    </xf>
    <xf numFmtId="3" fontId="53" fillId="0" borderId="36" xfId="1" applyNumberFormat="1" applyFont="1" applyBorder="1" applyAlignment="1">
      <alignment horizontal="center" vertical="center"/>
    </xf>
    <xf numFmtId="3" fontId="53" fillId="0" borderId="34" xfId="0" applyNumberFormat="1" applyFont="1" applyBorder="1" applyAlignment="1">
      <alignment horizontal="center" vertical="center"/>
    </xf>
    <xf numFmtId="166" fontId="53" fillId="0" borderId="39" xfId="1" applyNumberFormat="1" applyFont="1" applyBorder="1" applyAlignment="1">
      <alignment horizontal="center" vertical="center"/>
    </xf>
    <xf numFmtId="0" fontId="59" fillId="2" borderId="56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53" fillId="2" borderId="46" xfId="0" applyFont="1" applyFill="1" applyBorder="1" applyAlignment="1">
      <alignment horizontal="center" vertical="center"/>
    </xf>
    <xf numFmtId="0" fontId="55" fillId="2" borderId="54" xfId="0" applyFont="1" applyFill="1" applyBorder="1" applyAlignment="1">
      <alignment horizontal="center" vertical="center"/>
    </xf>
    <xf numFmtId="0" fontId="53" fillId="0" borderId="72" xfId="0" applyFont="1" applyBorder="1" applyAlignment="1">
      <alignment horizontal="center" vertical="center" wrapText="1"/>
    </xf>
    <xf numFmtId="0" fontId="53" fillId="2" borderId="59" xfId="0" applyFont="1" applyFill="1" applyBorder="1" applyAlignment="1">
      <alignment horizontal="center" vertical="center"/>
    </xf>
    <xf numFmtId="0" fontId="55" fillId="2" borderId="55" xfId="0" applyFont="1" applyFill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166" fontId="53" fillId="0" borderId="0" xfId="1" applyNumberFormat="1" applyFont="1" applyBorder="1" applyAlignment="1">
      <alignment horizontal="center" vertical="center"/>
    </xf>
    <xf numFmtId="166" fontId="53" fillId="2" borderId="46" xfId="1" applyNumberFormat="1" applyFont="1" applyFill="1" applyBorder="1" applyAlignment="1">
      <alignment horizontal="center" vertical="center"/>
    </xf>
    <xf numFmtId="0" fontId="53" fillId="0" borderId="72" xfId="0" applyFont="1" applyBorder="1" applyAlignment="1">
      <alignment horizontal="center" vertical="center"/>
    </xf>
    <xf numFmtId="166" fontId="53" fillId="2" borderId="59" xfId="1" applyNumberFormat="1" applyFont="1" applyFill="1" applyBorder="1" applyAlignment="1">
      <alignment horizontal="center" vertical="center"/>
    </xf>
    <xf numFmtId="0" fontId="53" fillId="2" borderId="0" xfId="0" applyFont="1" applyFill="1" applyBorder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0" fontId="57" fillId="0" borderId="2" xfId="0" applyFont="1" applyBorder="1" applyAlignment="1">
      <alignment horizontal="center" vertical="center"/>
    </xf>
    <xf numFmtId="166" fontId="57" fillId="0" borderId="56" xfId="1" applyNumberFormat="1" applyFont="1" applyBorder="1" applyAlignment="1">
      <alignment horizontal="center" vertical="center"/>
    </xf>
    <xf numFmtId="0" fontId="55" fillId="0" borderId="76" xfId="0" applyFont="1" applyBorder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166" fontId="57" fillId="0" borderId="59" xfId="1" applyNumberFormat="1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43" fontId="8" fillId="2" borderId="43" xfId="1" applyFont="1" applyFill="1" applyBorder="1" applyAlignment="1">
      <alignment vertical="center"/>
    </xf>
    <xf numFmtId="166" fontId="39" fillId="2" borderId="4" xfId="1" applyNumberFormat="1" applyFont="1" applyFill="1" applyBorder="1" applyAlignment="1">
      <alignment horizontal="center" vertical="center"/>
    </xf>
    <xf numFmtId="166" fontId="39" fillId="2" borderId="8" xfId="1" applyNumberFormat="1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0" fontId="32" fillId="2" borderId="50" xfId="0" applyFont="1" applyFill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5" xfId="0" applyFont="1" applyBorder="1"/>
    <xf numFmtId="0" fontId="36" fillId="0" borderId="10" xfId="0" applyFont="1" applyBorder="1" applyAlignment="1">
      <alignment horizontal="center" vertical="center" wrapText="1"/>
    </xf>
    <xf numFmtId="167" fontId="36" fillId="0" borderId="18" xfId="0" applyNumberFormat="1" applyFont="1" applyBorder="1" applyAlignment="1">
      <alignment horizontal="center" vertical="center"/>
    </xf>
    <xf numFmtId="167" fontId="36" fillId="0" borderId="59" xfId="0" applyNumberFormat="1" applyFont="1" applyBorder="1" applyAlignment="1">
      <alignment horizontal="center" vertical="center"/>
    </xf>
    <xf numFmtId="164" fontId="63" fillId="2" borderId="0" xfId="0" applyNumberFormat="1" applyFont="1" applyFill="1"/>
    <xf numFmtId="0" fontId="24" fillId="0" borderId="0" xfId="0" applyFont="1" applyAlignment="1">
      <alignment horizontal="left"/>
    </xf>
    <xf numFmtId="0" fontId="36" fillId="0" borderId="39" xfId="0" applyFont="1" applyBorder="1" applyAlignment="1">
      <alignment horizontal="center" vertical="center" wrapText="1"/>
    </xf>
    <xf numFmtId="1" fontId="36" fillId="0" borderId="56" xfId="0" applyNumberFormat="1" applyFont="1" applyBorder="1" applyAlignment="1">
      <alignment horizontal="center" vertical="center"/>
    </xf>
    <xf numFmtId="1" fontId="36" fillId="0" borderId="46" xfId="0" applyNumberFormat="1" applyFont="1" applyBorder="1" applyAlignment="1">
      <alignment horizontal="center" vertical="center"/>
    </xf>
    <xf numFmtId="1" fontId="36" fillId="0" borderId="13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165" fontId="32" fillId="0" borderId="35" xfId="1" applyNumberFormat="1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3" fontId="36" fillId="24" borderId="50" xfId="0" applyNumberFormat="1" applyFont="1" applyFill="1" applyBorder="1" applyAlignment="1">
      <alignment horizontal="center" vertical="center"/>
    </xf>
    <xf numFmtId="3" fontId="36" fillId="24" borderId="67" xfId="0" applyNumberFormat="1" applyFont="1" applyFill="1" applyBorder="1" applyAlignment="1">
      <alignment horizontal="center" vertical="center"/>
    </xf>
    <xf numFmtId="3" fontId="36" fillId="24" borderId="70" xfId="0" applyNumberFormat="1" applyFont="1" applyFill="1" applyBorder="1" applyAlignment="1">
      <alignment horizontal="center" vertical="center"/>
    </xf>
    <xf numFmtId="3" fontId="36" fillId="24" borderId="69" xfId="0" applyNumberFormat="1" applyFont="1" applyFill="1" applyBorder="1" applyAlignment="1">
      <alignment horizontal="center" vertical="center"/>
    </xf>
    <xf numFmtId="164" fontId="18" fillId="2" borderId="23" xfId="0" applyNumberFormat="1" applyFont="1" applyFill="1" applyBorder="1" applyAlignment="1">
      <alignment horizontal="center" vertical="top" wrapText="1"/>
    </xf>
    <xf numFmtId="165" fontId="17" fillId="5" borderId="66" xfId="1" applyNumberFormat="1" applyFont="1" applyFill="1" applyBorder="1" applyAlignment="1">
      <alignment horizontal="center" vertical="center"/>
    </xf>
    <xf numFmtId="165" fontId="17" fillId="5" borderId="74" xfId="1" applyNumberFormat="1" applyFont="1" applyFill="1" applyBorder="1" applyAlignment="1">
      <alignment horizontal="center" vertical="center"/>
    </xf>
    <xf numFmtId="166" fontId="39" fillId="2" borderId="26" xfId="1" applyNumberFormat="1" applyFont="1" applyFill="1" applyBorder="1" applyAlignment="1">
      <alignment horizontal="center" vertical="center"/>
    </xf>
    <xf numFmtId="166" fontId="32" fillId="2" borderId="61" xfId="1" applyNumberFormat="1" applyFont="1" applyFill="1" applyBorder="1" applyAlignment="1">
      <alignment horizontal="center" vertical="center"/>
    </xf>
    <xf numFmtId="165" fontId="17" fillId="2" borderId="21" xfId="1" applyNumberFormat="1" applyFont="1" applyFill="1" applyBorder="1" applyAlignment="1">
      <alignment horizontal="center" vertical="center"/>
    </xf>
    <xf numFmtId="166" fontId="32" fillId="2" borderId="39" xfId="1" applyNumberFormat="1" applyFont="1" applyFill="1" applyBorder="1" applyAlignment="1">
      <alignment horizontal="center" vertical="center"/>
    </xf>
    <xf numFmtId="4" fontId="19" fillId="16" borderId="36" xfId="1" applyNumberFormat="1" applyFont="1" applyFill="1" applyBorder="1" applyAlignment="1">
      <alignment horizontal="center" vertical="center" wrapText="1"/>
    </xf>
    <xf numFmtId="4" fontId="19" fillId="16" borderId="23" xfId="1" applyNumberFormat="1" applyFont="1" applyFill="1" applyBorder="1" applyAlignment="1">
      <alignment horizontal="center" vertical="center" wrapText="1"/>
    </xf>
    <xf numFmtId="3" fontId="19" fillId="6" borderId="71" xfId="1" applyNumberFormat="1" applyFont="1" applyFill="1" applyBorder="1" applyAlignment="1">
      <alignment horizontal="center" vertical="center" wrapText="1"/>
    </xf>
    <xf numFmtId="3" fontId="18" fillId="2" borderId="56" xfId="1" applyNumberFormat="1" applyFont="1" applyFill="1" applyBorder="1" applyAlignment="1">
      <alignment horizontal="center" vertical="center" wrapText="1"/>
    </xf>
    <xf numFmtId="3" fontId="19" fillId="6" borderId="70" xfId="1" applyNumberFormat="1" applyFont="1" applyFill="1" applyBorder="1" applyAlignment="1">
      <alignment horizontal="center" vertical="center" wrapText="1"/>
    </xf>
    <xf numFmtId="3" fontId="18" fillId="2" borderId="46" xfId="1" applyNumberFormat="1" applyFont="1" applyFill="1" applyBorder="1" applyAlignment="1">
      <alignment horizontal="center" vertical="center" wrapText="1"/>
    </xf>
    <xf numFmtId="3" fontId="19" fillId="6" borderId="69" xfId="1" applyNumberFormat="1" applyFont="1" applyFill="1" applyBorder="1" applyAlignment="1">
      <alignment horizontal="center" vertical="center" wrapText="1"/>
    </xf>
    <xf numFmtId="3" fontId="18" fillId="2" borderId="59" xfId="1" applyNumberFormat="1" applyFont="1" applyFill="1" applyBorder="1" applyAlignment="1">
      <alignment horizontal="center" vertical="center" wrapText="1"/>
    </xf>
    <xf numFmtId="4" fontId="18" fillId="2" borderId="39" xfId="1" applyNumberFormat="1" applyFont="1" applyFill="1" applyBorder="1" applyAlignment="1">
      <alignment horizontal="center" vertical="center" wrapText="1"/>
    </xf>
    <xf numFmtId="0" fontId="16" fillId="28" borderId="70" xfId="0" applyFont="1" applyFill="1" applyBorder="1" applyAlignment="1">
      <alignment horizontal="center" vertical="center"/>
    </xf>
    <xf numFmtId="0" fontId="5" fillId="28" borderId="16" xfId="0" applyFont="1" applyFill="1" applyBorder="1"/>
    <xf numFmtId="0" fontId="16" fillId="28" borderId="70" xfId="0" applyFont="1" applyFill="1" applyBorder="1" applyAlignment="1">
      <alignment vertical="center"/>
    </xf>
    <xf numFmtId="0" fontId="33" fillId="28" borderId="46" xfId="0" applyFont="1" applyFill="1" applyBorder="1" applyAlignment="1">
      <alignment horizontal="center" vertical="center"/>
    </xf>
    <xf numFmtId="165" fontId="17" fillId="28" borderId="3" xfId="1" applyNumberFormat="1" applyFont="1" applyFill="1" applyBorder="1" applyAlignment="1">
      <alignment horizontal="center" vertical="center"/>
    </xf>
    <xf numFmtId="0" fontId="32" fillId="28" borderId="2" xfId="0" applyNumberFormat="1" applyFont="1" applyFill="1" applyBorder="1" applyAlignment="1">
      <alignment horizontal="center" vertical="center"/>
    </xf>
    <xf numFmtId="167" fontId="36" fillId="28" borderId="46" xfId="0" applyNumberFormat="1" applyFont="1" applyFill="1" applyBorder="1" applyAlignment="1">
      <alignment horizontal="center" vertical="center"/>
    </xf>
    <xf numFmtId="0" fontId="16" fillId="28" borderId="50" xfId="0" applyFont="1" applyFill="1" applyBorder="1" applyAlignment="1">
      <alignment horizontal="center" vertical="center"/>
    </xf>
    <xf numFmtId="165" fontId="17" fillId="2" borderId="32" xfId="1" applyNumberFormat="1" applyFont="1" applyFill="1" applyBorder="1" applyAlignment="1">
      <alignment horizontal="center" vertical="center"/>
    </xf>
    <xf numFmtId="165" fontId="17" fillId="2" borderId="52" xfId="1" applyNumberFormat="1" applyFont="1" applyFill="1" applyBorder="1" applyAlignment="1">
      <alignment horizontal="center" vertical="center"/>
    </xf>
    <xf numFmtId="0" fontId="17" fillId="2" borderId="40" xfId="1" applyNumberFormat="1" applyFont="1" applyFill="1" applyBorder="1" applyAlignment="1">
      <alignment horizontal="center" vertical="center"/>
    </xf>
    <xf numFmtId="14" fontId="56" fillId="0" borderId="78" xfId="0" applyNumberFormat="1" applyFont="1" applyBorder="1" applyAlignment="1">
      <alignment horizontal="left" vertical="center" wrapText="1"/>
    </xf>
    <xf numFmtId="0" fontId="53" fillId="0" borderId="0" xfId="0" applyFont="1" applyAlignment="1">
      <alignment horizontal="center" vertical="center"/>
    </xf>
    <xf numFmtId="0" fontId="53" fillId="0" borderId="34" xfId="0" applyFont="1" applyBorder="1" applyAlignment="1">
      <alignment horizontal="center" vertical="center"/>
    </xf>
    <xf numFmtId="166" fontId="39" fillId="2" borderId="42" xfId="1" applyNumberFormat="1" applyFont="1" applyFill="1" applyBorder="1" applyAlignment="1">
      <alignment horizontal="center" vertical="center"/>
    </xf>
    <xf numFmtId="165" fontId="17" fillId="2" borderId="48" xfId="1" applyNumberFormat="1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166" fontId="17" fillId="2" borderId="14" xfId="1" applyNumberFormat="1" applyFont="1" applyFill="1" applyBorder="1" applyAlignment="1">
      <alignment horizontal="center" vertical="center"/>
    </xf>
    <xf numFmtId="166" fontId="32" fillId="20" borderId="34" xfId="1" applyNumberFormat="1" applyFont="1" applyFill="1" applyBorder="1" applyAlignment="1">
      <alignment horizontal="center" vertical="center"/>
    </xf>
    <xf numFmtId="166" fontId="32" fillId="5" borderId="34" xfId="1" applyNumberFormat="1" applyFont="1" applyFill="1" applyBorder="1" applyAlignment="1">
      <alignment horizontal="center" vertical="center"/>
    </xf>
    <xf numFmtId="166" fontId="32" fillId="10" borderId="34" xfId="1" applyNumberFormat="1" applyFont="1" applyFill="1" applyBorder="1" applyAlignment="1">
      <alignment horizontal="center" vertical="center"/>
    </xf>
    <xf numFmtId="0" fontId="61" fillId="2" borderId="1" xfId="0" applyNumberFormat="1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166" fontId="53" fillId="0" borderId="57" xfId="1" applyNumberFormat="1" applyFont="1" applyBorder="1" applyAlignment="1">
      <alignment horizontal="center" vertical="center"/>
    </xf>
    <xf numFmtId="3" fontId="53" fillId="0" borderId="37" xfId="0" applyNumberFormat="1" applyFont="1" applyBorder="1" applyAlignment="1">
      <alignment horizontal="center" vertical="center"/>
    </xf>
    <xf numFmtId="0" fontId="0" fillId="0" borderId="0" xfId="0" applyAlignment="1"/>
    <xf numFmtId="0" fontId="53" fillId="0" borderId="40" xfId="0" applyFont="1" applyBorder="1" applyAlignment="1">
      <alignment horizontal="center" vertical="center"/>
    </xf>
    <xf numFmtId="3" fontId="53" fillId="0" borderId="6" xfId="0" applyNumberFormat="1" applyFont="1" applyBorder="1" applyAlignment="1">
      <alignment horizontal="center" vertical="center"/>
    </xf>
    <xf numFmtId="3" fontId="53" fillId="0" borderId="2" xfId="0" applyNumberFormat="1" applyFont="1" applyBorder="1" applyAlignment="1">
      <alignment horizontal="center" vertical="center"/>
    </xf>
    <xf numFmtId="0" fontId="55" fillId="0" borderId="47" xfId="0" applyFont="1" applyBorder="1" applyAlignment="1">
      <alignment horizontal="center" vertical="center"/>
    </xf>
    <xf numFmtId="0" fontId="55" fillId="0" borderId="43" xfId="0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3" fontId="53" fillId="0" borderId="9" xfId="0" applyNumberFormat="1" applyFont="1" applyBorder="1" applyAlignment="1">
      <alignment horizontal="center" vertical="center"/>
    </xf>
    <xf numFmtId="0" fontId="55" fillId="0" borderId="80" xfId="0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0" fontId="17" fillId="0" borderId="42" xfId="1" applyNumberFormat="1" applyFont="1" applyBorder="1" applyAlignment="1">
      <alignment horizontal="center" vertical="center"/>
    </xf>
    <xf numFmtId="0" fontId="16" fillId="2" borderId="40" xfId="1" applyNumberFormat="1" applyFont="1" applyFill="1" applyBorder="1" applyAlignment="1">
      <alignment horizontal="center" vertical="center"/>
    </xf>
    <xf numFmtId="0" fontId="32" fillId="0" borderId="40" xfId="1" applyNumberFormat="1" applyFont="1" applyBorder="1" applyAlignment="1">
      <alignment horizontal="center" vertical="center"/>
    </xf>
    <xf numFmtId="0" fontId="17" fillId="0" borderId="40" xfId="1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165" fontId="19" fillId="0" borderId="35" xfId="1" applyNumberFormat="1" applyFont="1" applyBorder="1" applyAlignment="1">
      <alignment horizontal="center" vertical="center" wrapText="1"/>
    </xf>
    <xf numFmtId="165" fontId="17" fillId="2" borderId="33" xfId="1" applyNumberFormat="1" applyFont="1" applyFill="1" applyBorder="1" applyAlignment="1">
      <alignment horizontal="center" vertical="center"/>
    </xf>
    <xf numFmtId="166" fontId="32" fillId="2" borderId="28" xfId="1" applyNumberFormat="1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4" fontId="16" fillId="15" borderId="73" xfId="0" applyNumberFormat="1" applyFont="1" applyFill="1" applyBorder="1" applyAlignment="1">
      <alignment horizontal="right" vertical="center"/>
    </xf>
    <xf numFmtId="4" fontId="25" fillId="2" borderId="6" xfId="0" applyNumberFormat="1" applyFont="1" applyFill="1" applyBorder="1"/>
    <xf numFmtId="0" fontId="0" fillId="0" borderId="1" xfId="0" applyNumberFormat="1" applyBorder="1" applyAlignment="1">
      <alignment horizontal="right" vertical="center"/>
    </xf>
    <xf numFmtId="0" fontId="0" fillId="0" borderId="24" xfId="0" applyBorder="1"/>
    <xf numFmtId="0" fontId="35" fillId="0" borderId="50" xfId="0" applyFont="1" applyBorder="1" applyAlignment="1">
      <alignment horizontal="center"/>
    </xf>
    <xf numFmtId="0" fontId="35" fillId="0" borderId="70" xfId="0" applyFont="1" applyBorder="1" applyAlignment="1">
      <alignment horizontal="center"/>
    </xf>
    <xf numFmtId="0" fontId="35" fillId="0" borderId="67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19" xfId="0" applyBorder="1"/>
    <xf numFmtId="0" fontId="0" fillId="2" borderId="1" xfId="0" applyFill="1" applyBorder="1"/>
    <xf numFmtId="165" fontId="17" fillId="28" borderId="40" xfId="1" applyNumberFormat="1" applyFont="1" applyFill="1" applyBorder="1" applyAlignment="1">
      <alignment horizontal="center" vertical="center" wrapText="1"/>
    </xf>
    <xf numFmtId="0" fontId="0" fillId="2" borderId="6" xfId="0" applyFill="1" applyBorder="1"/>
    <xf numFmtId="14" fontId="18" fillId="2" borderId="35" xfId="1" applyNumberFormat="1" applyFont="1" applyFill="1" applyBorder="1" applyAlignment="1">
      <alignment horizontal="center" vertical="center" wrapText="1"/>
    </xf>
    <xf numFmtId="4" fontId="23" fillId="2" borderId="31" xfId="1" applyNumberFormat="1" applyFont="1" applyFill="1" applyBorder="1" applyAlignment="1">
      <alignment horizontal="center" vertical="center"/>
    </xf>
    <xf numFmtId="4" fontId="18" fillId="2" borderId="28" xfId="1" applyNumberFormat="1" applyFont="1" applyFill="1" applyBorder="1" applyAlignment="1">
      <alignment horizontal="center" vertical="center" wrapText="1"/>
    </xf>
    <xf numFmtId="4" fontId="18" fillId="2" borderId="14" xfId="1" applyNumberFormat="1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left" vertical="center"/>
    </xf>
    <xf numFmtId="4" fontId="18" fillId="2" borderId="34" xfId="1" applyNumberFormat="1" applyFont="1" applyFill="1" applyBorder="1" applyAlignment="1">
      <alignment horizontal="center" vertical="center" wrapText="1"/>
    </xf>
    <xf numFmtId="166" fontId="18" fillId="3" borderId="26" xfId="1" applyNumberFormat="1" applyFont="1" applyFill="1" applyBorder="1" applyAlignment="1">
      <alignment horizontal="right" vertical="center" wrapText="1"/>
    </xf>
    <xf numFmtId="0" fontId="17" fillId="2" borderId="2" xfId="1" applyNumberFormat="1" applyFont="1" applyFill="1" applyBorder="1" applyAlignment="1">
      <alignment horizontal="center" vertical="center" wrapText="1"/>
    </xf>
    <xf numFmtId="165" fontId="39" fillId="3" borderId="16" xfId="1" applyNumberFormat="1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" fontId="18" fillId="13" borderId="46" xfId="1" applyNumberFormat="1" applyFont="1" applyFill="1" applyBorder="1" applyAlignment="1">
      <alignment horizontal="center" vertical="center" wrapText="1"/>
    </xf>
    <xf numFmtId="167" fontId="44" fillId="0" borderId="0" xfId="0" applyNumberFormat="1" applyFont="1"/>
    <xf numFmtId="0" fontId="17" fillId="2" borderId="3" xfId="0" applyFont="1" applyFill="1" applyBorder="1" applyAlignment="1">
      <alignment horizontal="left" vertical="center" wrapText="1"/>
    </xf>
    <xf numFmtId="0" fontId="57" fillId="0" borderId="42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57" fillId="0" borderId="61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2" borderId="19" xfId="0" applyFont="1" applyFill="1" applyBorder="1" applyAlignment="1">
      <alignment horizontal="center" vertical="center"/>
    </xf>
    <xf numFmtId="0" fontId="57" fillId="0" borderId="44" xfId="0" applyFont="1" applyBorder="1" applyAlignment="1">
      <alignment horizontal="center" vertical="center"/>
    </xf>
    <xf numFmtId="0" fontId="57" fillId="0" borderId="62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1" fontId="61" fillId="0" borderId="1" xfId="1" applyNumberFormat="1" applyFont="1" applyBorder="1" applyAlignment="1">
      <alignment horizontal="center"/>
    </xf>
    <xf numFmtId="4" fontId="16" fillId="0" borderId="46" xfId="0" applyNumberFormat="1" applyFont="1" applyBorder="1" applyAlignment="1">
      <alignment horizontal="right" vertical="center"/>
    </xf>
    <xf numFmtId="4" fontId="16" fillId="0" borderId="59" xfId="0" applyNumberFormat="1" applyFont="1" applyBorder="1" applyAlignment="1">
      <alignment horizontal="right" vertical="center"/>
    </xf>
    <xf numFmtId="0" fontId="16" fillId="0" borderId="72" xfId="0" applyFont="1" applyBorder="1" applyAlignment="1">
      <alignment horizontal="left" vertical="center"/>
    </xf>
    <xf numFmtId="0" fontId="16" fillId="0" borderId="59" xfId="0" applyFont="1" applyBorder="1" applyAlignment="1">
      <alignment horizontal="center" vertical="center"/>
    </xf>
    <xf numFmtId="166" fontId="32" fillId="2" borderId="21" xfId="1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0" fillId="0" borderId="4" xfId="0" applyBorder="1"/>
    <xf numFmtId="171" fontId="0" fillId="0" borderId="1" xfId="0" applyNumberFormat="1" applyBorder="1"/>
    <xf numFmtId="164" fontId="50" fillId="28" borderId="73" xfId="0" applyNumberFormat="1" applyFont="1" applyFill="1" applyBorder="1" applyAlignment="1">
      <alignment horizontal="center" vertical="center" wrapText="1"/>
    </xf>
    <xf numFmtId="164" fontId="50" fillId="28" borderId="42" xfId="0" applyNumberFormat="1" applyFont="1" applyFill="1" applyBorder="1" applyAlignment="1">
      <alignment horizontal="center" vertical="center" wrapText="1"/>
    </xf>
    <xf numFmtId="164" fontId="50" fillId="28" borderId="1" xfId="0" applyNumberFormat="1" applyFont="1" applyFill="1" applyBorder="1" applyAlignment="1">
      <alignment horizontal="center" vertical="center" wrapText="1"/>
    </xf>
    <xf numFmtId="165" fontId="17" fillId="10" borderId="15" xfId="1" applyNumberFormat="1" applyFont="1" applyFill="1" applyBorder="1" applyAlignment="1">
      <alignment vertical="center"/>
    </xf>
    <xf numFmtId="166" fontId="17" fillId="2" borderId="71" xfId="1" applyNumberFormat="1" applyFont="1" applyFill="1" applyBorder="1" applyAlignment="1">
      <alignment horizontal="center" vertical="center"/>
    </xf>
    <xf numFmtId="166" fontId="32" fillId="2" borderId="26" xfId="1" applyNumberFormat="1" applyFont="1" applyFill="1" applyBorder="1" applyAlignment="1">
      <alignment horizontal="center" vertical="center"/>
    </xf>
    <xf numFmtId="166" fontId="32" fillId="2" borderId="66" xfId="1" applyNumberFormat="1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17" fillId="0" borderId="63" xfId="0" applyNumberFormat="1" applyFont="1" applyBorder="1" applyAlignment="1">
      <alignment horizontal="right" vertical="center"/>
    </xf>
    <xf numFmtId="0" fontId="7" fillId="2" borderId="25" xfId="0" applyFont="1" applyFill="1" applyBorder="1"/>
    <xf numFmtId="0" fontId="7" fillId="2" borderId="42" xfId="0" applyFont="1" applyFill="1" applyBorder="1"/>
    <xf numFmtId="0" fontId="7" fillId="2" borderId="29" xfId="0" applyFont="1" applyFill="1" applyBorder="1"/>
    <xf numFmtId="0" fontId="0" fillId="2" borderId="31" xfId="0" applyFill="1" applyBorder="1"/>
    <xf numFmtId="0" fontId="7" fillId="2" borderId="47" xfId="0" applyFont="1" applyFill="1" applyBorder="1"/>
    <xf numFmtId="0" fontId="7" fillId="2" borderId="43" xfId="0" applyFont="1" applyFill="1" applyBorder="1"/>
    <xf numFmtId="0" fontId="7" fillId="2" borderId="68" xfId="0" applyFont="1" applyFill="1" applyBorder="1"/>
    <xf numFmtId="0" fontId="7" fillId="2" borderId="56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166" fontId="8" fillId="2" borderId="73" xfId="1" applyNumberFormat="1" applyFont="1" applyFill="1" applyBorder="1" applyAlignment="1">
      <alignment horizontal="center" vertical="center"/>
    </xf>
    <xf numFmtId="166" fontId="8" fillId="2" borderId="54" xfId="1" applyNumberFormat="1" applyFont="1" applyFill="1" applyBorder="1" applyAlignment="1">
      <alignment horizontal="center" vertical="center"/>
    </xf>
    <xf numFmtId="166" fontId="8" fillId="2" borderId="65" xfId="1" applyNumberFormat="1" applyFont="1" applyFill="1" applyBorder="1" applyAlignment="1">
      <alignment horizontal="center" vertical="center"/>
    </xf>
    <xf numFmtId="166" fontId="7" fillId="3" borderId="4" xfId="1" applyNumberFormat="1" applyFont="1" applyFill="1" applyBorder="1" applyAlignment="1">
      <alignment horizontal="center" vertical="center"/>
    </xf>
    <xf numFmtId="4" fontId="16" fillId="15" borderId="11" xfId="0" applyNumberFormat="1" applyFont="1" applyFill="1" applyBorder="1" applyAlignment="1">
      <alignment horizontal="right" vertical="center"/>
    </xf>
    <xf numFmtId="4" fontId="16" fillId="15" borderId="3" xfId="0" applyNumberFormat="1" applyFont="1" applyFill="1" applyBorder="1" applyAlignment="1">
      <alignment horizontal="right" vertical="center"/>
    </xf>
    <xf numFmtId="4" fontId="39" fillId="0" borderId="1" xfId="0" applyNumberFormat="1" applyFont="1" applyBorder="1" applyAlignment="1">
      <alignment horizontal="right" vertical="center"/>
    </xf>
    <xf numFmtId="4" fontId="16" fillId="15" borderId="1" xfId="0" applyNumberFormat="1" applyFont="1" applyFill="1" applyBorder="1" applyAlignment="1">
      <alignment horizontal="right" vertical="center"/>
    </xf>
    <xf numFmtId="4" fontId="39" fillId="0" borderId="5" xfId="0" applyNumberFormat="1" applyFont="1" applyBorder="1" applyAlignment="1">
      <alignment horizontal="right" vertical="center"/>
    </xf>
    <xf numFmtId="4" fontId="16" fillId="0" borderId="11" xfId="0" applyNumberFormat="1" applyFont="1" applyBorder="1" applyAlignment="1">
      <alignment horizontal="right" vertical="center"/>
    </xf>
    <xf numFmtId="166" fontId="32" fillId="2" borderId="12" xfId="1" applyNumberFormat="1" applyFont="1" applyFill="1" applyBorder="1" applyAlignment="1">
      <alignment horizontal="center" vertical="center"/>
    </xf>
    <xf numFmtId="171" fontId="0" fillId="0" borderId="4" xfId="0" applyNumberFormat="1" applyBorder="1"/>
    <xf numFmtId="4" fontId="21" fillId="17" borderId="46" xfId="1" applyNumberFormat="1" applyFont="1" applyFill="1" applyBorder="1" applyAlignment="1">
      <alignment horizontal="center" vertical="center" wrapText="1"/>
    </xf>
    <xf numFmtId="166" fontId="7" fillId="2" borderId="50" xfId="1" applyNumberFormat="1" applyFont="1" applyFill="1" applyBorder="1" applyAlignment="1">
      <alignment horizontal="center" vertical="center" wrapText="1"/>
    </xf>
    <xf numFmtId="4" fontId="67" fillId="17" borderId="6" xfId="0" applyNumberFormat="1" applyFont="1" applyFill="1" applyBorder="1"/>
    <xf numFmtId="166" fontId="7" fillId="3" borderId="0" xfId="1" applyNumberFormat="1" applyFont="1" applyFill="1"/>
    <xf numFmtId="166" fontId="7" fillId="3" borderId="72" xfId="1" applyNumberFormat="1" applyFont="1" applyFill="1" applyBorder="1" applyAlignment="1">
      <alignment horizontal="center" vertical="center"/>
    </xf>
    <xf numFmtId="0" fontId="0" fillId="0" borderId="6" xfId="0" applyBorder="1"/>
    <xf numFmtId="0" fontId="17" fillId="2" borderId="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8" borderId="5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8" fillId="28" borderId="5" xfId="0" applyFont="1" applyFill="1" applyBorder="1" applyAlignment="1">
      <alignment horizontal="center" vertical="center"/>
    </xf>
    <xf numFmtId="0" fontId="18" fillId="0" borderId="5" xfId="0" applyNumberFormat="1" applyFont="1" applyBorder="1" applyAlignment="1">
      <alignment horizontal="center" vertical="center"/>
    </xf>
    <xf numFmtId="0" fontId="18" fillId="0" borderId="44" xfId="0" applyNumberFormat="1" applyFont="1" applyBorder="1" applyAlignment="1">
      <alignment horizontal="center" vertical="center"/>
    </xf>
    <xf numFmtId="4" fontId="18" fillId="2" borderId="10" xfId="1" applyNumberFormat="1" applyFont="1" applyFill="1" applyBorder="1" applyAlignment="1">
      <alignment horizontal="center" vertical="center" wrapText="1"/>
    </xf>
    <xf numFmtId="164" fontId="68" fillId="2" borderId="0" xfId="0" applyNumberFormat="1" applyFont="1" applyFill="1"/>
    <xf numFmtId="165" fontId="15" fillId="2" borderId="9" xfId="1" applyNumberFormat="1" applyFont="1" applyFill="1" applyBorder="1" applyAlignment="1">
      <alignment horizontal="center" vertical="center" wrapText="1"/>
    </xf>
    <xf numFmtId="165" fontId="15" fillId="2" borderId="0" xfId="1" applyNumberFormat="1" applyFont="1" applyFill="1" applyBorder="1" applyAlignment="1">
      <alignment horizontal="center" vertical="center" wrapText="1"/>
    </xf>
    <xf numFmtId="4" fontId="18" fillId="3" borderId="10" xfId="1" applyNumberFormat="1" applyFont="1" applyFill="1" applyBorder="1" applyAlignment="1">
      <alignment horizontal="center" vertical="center" wrapText="1"/>
    </xf>
    <xf numFmtId="4" fontId="18" fillId="3" borderId="16" xfId="1" applyNumberFormat="1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 textRotation="90"/>
    </xf>
    <xf numFmtId="0" fontId="0" fillId="0" borderId="60" xfId="0" applyBorder="1" applyAlignment="1">
      <alignment horizontal="center" vertical="center" textRotation="90" wrapText="1"/>
    </xf>
    <xf numFmtId="0" fontId="0" fillId="0" borderId="61" xfId="0" applyBorder="1" applyAlignment="1">
      <alignment horizontal="center" vertical="center" textRotation="90" wrapText="1"/>
    </xf>
    <xf numFmtId="14" fontId="0" fillId="0" borderId="78" xfId="0" applyNumberForma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6" fillId="0" borderId="15" xfId="0" applyNumberFormat="1" applyFont="1" applyBorder="1" applyAlignment="1">
      <alignment horizontal="right" vertical="center"/>
    </xf>
    <xf numFmtId="0" fontId="18" fillId="2" borderId="5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66" fontId="17" fillId="10" borderId="10" xfId="1" applyNumberFormat="1" applyFont="1" applyFill="1" applyBorder="1" applyAlignment="1">
      <alignment horizontal="center" vertical="center" textRotation="90" wrapText="1"/>
    </xf>
    <xf numFmtId="166" fontId="17" fillId="10" borderId="16" xfId="1" applyNumberFormat="1" applyFont="1" applyFill="1" applyBorder="1" applyAlignment="1">
      <alignment horizontal="center" vertical="center" textRotation="90" wrapText="1"/>
    </xf>
    <xf numFmtId="166" fontId="17" fillId="10" borderId="13" xfId="1" applyNumberFormat="1" applyFont="1" applyFill="1" applyBorder="1" applyAlignment="1">
      <alignment horizontal="center" vertical="center" textRotation="90" wrapText="1"/>
    </xf>
    <xf numFmtId="166" fontId="18" fillId="20" borderId="10" xfId="1" applyNumberFormat="1" applyFont="1" applyFill="1" applyBorder="1" applyAlignment="1">
      <alignment horizontal="center" vertical="center" wrapText="1"/>
    </xf>
    <xf numFmtId="166" fontId="18" fillId="20" borderId="13" xfId="1" applyNumberFormat="1" applyFont="1" applyFill="1" applyBorder="1" applyAlignment="1">
      <alignment horizontal="center" vertical="center" wrapText="1"/>
    </xf>
    <xf numFmtId="165" fontId="22" fillId="10" borderId="10" xfId="1" applyNumberFormat="1" applyFont="1" applyFill="1" applyBorder="1" applyAlignment="1">
      <alignment horizontal="center" vertical="center" textRotation="90" wrapText="1"/>
    </xf>
    <xf numFmtId="165" fontId="22" fillId="10" borderId="16" xfId="1" applyNumberFormat="1" applyFont="1" applyFill="1" applyBorder="1" applyAlignment="1">
      <alignment horizontal="center" vertical="center" textRotation="90" wrapText="1"/>
    </xf>
    <xf numFmtId="165" fontId="22" fillId="10" borderId="13" xfId="1" applyNumberFormat="1" applyFont="1" applyFill="1" applyBorder="1" applyAlignment="1">
      <alignment horizontal="center" vertical="center" textRotation="90" wrapText="1"/>
    </xf>
    <xf numFmtId="0" fontId="19" fillId="16" borderId="10" xfId="0" applyFont="1" applyFill="1" applyBorder="1" applyAlignment="1">
      <alignment horizontal="center" vertical="center" wrapText="1"/>
    </xf>
    <xf numFmtId="0" fontId="19" fillId="16" borderId="16" xfId="0" applyFont="1" applyFill="1" applyBorder="1" applyAlignment="1">
      <alignment horizontal="center" vertical="center" wrapText="1"/>
    </xf>
    <xf numFmtId="165" fontId="18" fillId="3" borderId="56" xfId="1" applyNumberFormat="1" applyFont="1" applyFill="1" applyBorder="1" applyAlignment="1">
      <alignment horizontal="center" vertical="center" wrapText="1"/>
    </xf>
    <xf numFmtId="165" fontId="18" fillId="3" borderId="46" xfId="1" applyNumberFormat="1" applyFont="1" applyFill="1" applyBorder="1" applyAlignment="1">
      <alignment horizontal="center" vertical="center" wrapText="1"/>
    </xf>
    <xf numFmtId="165" fontId="18" fillId="3" borderId="57" xfId="1" applyNumberFormat="1" applyFont="1" applyFill="1" applyBorder="1" applyAlignment="1">
      <alignment horizontal="center" vertical="center" wrapText="1"/>
    </xf>
    <xf numFmtId="4" fontId="33" fillId="2" borderId="15" xfId="1" applyNumberFormat="1" applyFont="1" applyFill="1" applyBorder="1" applyAlignment="1">
      <alignment horizontal="center" vertical="center" wrapText="1"/>
    </xf>
    <xf numFmtId="4" fontId="33" fillId="2" borderId="0" xfId="1" applyNumberFormat="1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/>
    </xf>
    <xf numFmtId="0" fontId="0" fillId="0" borderId="78" xfId="0" applyBorder="1" applyAlignment="1">
      <alignment horizontal="center"/>
    </xf>
    <xf numFmtId="0" fontId="18" fillId="2" borderId="29" xfId="0" applyFont="1" applyFill="1" applyBorder="1" applyAlignment="1">
      <alignment horizontal="center" vertical="center" wrapText="1"/>
    </xf>
    <xf numFmtId="0" fontId="18" fillId="2" borderId="61" xfId="0" applyFont="1" applyFill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 wrapText="1"/>
    </xf>
    <xf numFmtId="165" fontId="18" fillId="3" borderId="10" xfId="1" applyNumberFormat="1" applyFont="1" applyFill="1" applyBorder="1" applyAlignment="1">
      <alignment horizontal="center" vertical="center" wrapText="1"/>
    </xf>
    <xf numFmtId="165" fontId="18" fillId="3" borderId="16" xfId="1" applyNumberFormat="1" applyFont="1" applyFill="1" applyBorder="1" applyAlignment="1">
      <alignment horizontal="center" vertical="center" wrapText="1"/>
    </xf>
    <xf numFmtId="165" fontId="18" fillId="3" borderId="13" xfId="1" applyNumberFormat="1" applyFont="1" applyFill="1" applyBorder="1" applyAlignment="1">
      <alignment horizontal="center" vertical="center" wrapText="1"/>
    </xf>
    <xf numFmtId="4" fontId="18" fillId="3" borderId="13" xfId="1" applyNumberFormat="1" applyFont="1" applyFill="1" applyBorder="1" applyAlignment="1">
      <alignment horizontal="center" vertical="center" wrapText="1"/>
    </xf>
    <xf numFmtId="4" fontId="33" fillId="2" borderId="10" xfId="1" applyNumberFormat="1" applyFont="1" applyFill="1" applyBorder="1" applyAlignment="1">
      <alignment horizontal="center" vertical="center" wrapText="1"/>
    </xf>
    <xf numFmtId="4" fontId="33" fillId="2" borderId="13" xfId="1" applyNumberFormat="1" applyFont="1" applyFill="1" applyBorder="1" applyAlignment="1">
      <alignment horizontal="center" vertical="center" wrapText="1"/>
    </xf>
    <xf numFmtId="0" fontId="32" fillId="22" borderId="10" xfId="0" applyFont="1" applyFill="1" applyBorder="1" applyAlignment="1">
      <alignment horizontal="center" vertical="center" wrapText="1"/>
    </xf>
    <xf numFmtId="0" fontId="32" fillId="22" borderId="16" xfId="0" applyFont="1" applyFill="1" applyBorder="1" applyAlignment="1">
      <alignment horizontal="center" vertical="center" wrapText="1"/>
    </xf>
    <xf numFmtId="0" fontId="32" fillId="22" borderId="13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14" fontId="18" fillId="3" borderId="37" xfId="0" applyNumberFormat="1" applyFont="1" applyFill="1" applyBorder="1" applyAlignment="1">
      <alignment horizontal="center" vertical="center" wrapText="1"/>
    </xf>
    <xf numFmtId="14" fontId="18" fillId="3" borderId="38" xfId="0" applyNumberFormat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164" fontId="16" fillId="0" borderId="36" xfId="0" applyNumberFormat="1" applyFont="1" applyBorder="1" applyAlignment="1">
      <alignment horizontal="right" vertical="center"/>
    </xf>
    <xf numFmtId="164" fontId="16" fillId="0" borderId="38" xfId="0" applyNumberFormat="1" applyFont="1" applyBorder="1" applyAlignment="1">
      <alignment horizontal="right" vertical="center"/>
    </xf>
    <xf numFmtId="0" fontId="18" fillId="0" borderId="3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166" fontId="24" fillId="0" borderId="60" xfId="1" applyNumberFormat="1" applyFont="1" applyBorder="1" applyAlignment="1">
      <alignment horizontal="center" vertical="center" wrapText="1"/>
    </xf>
    <xf numFmtId="166" fontId="24" fillId="0" borderId="61" xfId="1" applyNumberFormat="1" applyFont="1" applyBorder="1" applyAlignment="1">
      <alignment horizontal="center" vertical="center" wrapText="1"/>
    </xf>
    <xf numFmtId="166" fontId="24" fillId="0" borderId="63" xfId="1" applyNumberFormat="1" applyFont="1" applyBorder="1" applyAlignment="1">
      <alignment horizontal="center" vertical="center" wrapText="1"/>
    </xf>
    <xf numFmtId="0" fontId="7" fillId="0" borderId="47" xfId="1" applyNumberFormat="1" applyFont="1" applyBorder="1" applyAlignment="1">
      <alignment horizontal="center" vertical="center" wrapText="1"/>
    </xf>
    <xf numFmtId="0" fontId="7" fillId="0" borderId="43" xfId="1" applyNumberFormat="1" applyFont="1" applyBorder="1" applyAlignment="1">
      <alignment horizontal="center" vertical="center" wrapText="1"/>
    </xf>
    <xf numFmtId="0" fontId="7" fillId="0" borderId="49" xfId="1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6" fontId="7" fillId="0" borderId="15" xfId="1" applyNumberFormat="1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17" fontId="27" fillId="0" borderId="10" xfId="0" applyNumberFormat="1" applyFont="1" applyBorder="1" applyAlignment="1">
      <alignment horizontal="center" vertical="center" wrapText="1"/>
    </xf>
    <xf numFmtId="17" fontId="27" fillId="0" borderId="16" xfId="0" applyNumberFormat="1" applyFont="1" applyBorder="1" applyAlignment="1">
      <alignment horizontal="center" vertical="center" wrapText="1"/>
    </xf>
    <xf numFmtId="0" fontId="24" fillId="0" borderId="10" xfId="0" applyNumberFormat="1" applyFont="1" applyBorder="1" applyAlignment="1">
      <alignment horizontal="center" vertical="center" wrapText="1"/>
    </xf>
    <xf numFmtId="0" fontId="24" fillId="0" borderId="16" xfId="0" applyNumberFormat="1" applyFont="1" applyBorder="1" applyAlignment="1">
      <alignment horizontal="center" vertical="center" wrapText="1"/>
    </xf>
    <xf numFmtId="166" fontId="7" fillId="2" borderId="11" xfId="1" applyNumberFormat="1" applyFont="1" applyFill="1" applyBorder="1" applyAlignment="1">
      <alignment horizontal="center" vertical="center" wrapText="1"/>
    </xf>
    <xf numFmtId="166" fontId="7" fillId="2" borderId="73" xfId="1" applyNumberFormat="1" applyFont="1" applyFill="1" applyBorder="1" applyAlignment="1">
      <alignment horizontal="center" vertical="center" wrapText="1"/>
    </xf>
    <xf numFmtId="0" fontId="53" fillId="0" borderId="58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72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3" fillId="0" borderId="6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70" xfId="0" applyFont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53" fillId="27" borderId="66" xfId="0" applyFont="1" applyFill="1" applyBorder="1" applyAlignment="1">
      <alignment horizontal="center" vertical="center" wrapText="1"/>
    </xf>
    <xf numFmtId="0" fontId="53" fillId="27" borderId="0" xfId="0" applyFont="1" applyFill="1" applyBorder="1" applyAlignment="1">
      <alignment horizontal="center" vertical="center" wrapText="1"/>
    </xf>
    <xf numFmtId="0" fontId="53" fillId="0" borderId="80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top"/>
    </xf>
    <xf numFmtId="0" fontId="53" fillId="0" borderId="78" xfId="0" applyFont="1" applyBorder="1" applyAlignment="1">
      <alignment horizontal="center" vertical="top"/>
    </xf>
    <xf numFmtId="0" fontId="57" fillId="3" borderId="10" xfId="0" applyFont="1" applyFill="1" applyBorder="1" applyAlignment="1">
      <alignment horizontal="center" vertical="center" wrapText="1"/>
    </xf>
    <xf numFmtId="0" fontId="57" fillId="3" borderId="13" xfId="0" applyFont="1" applyFill="1" applyBorder="1" applyAlignment="1">
      <alignment horizontal="center" vertical="center" wrapText="1"/>
    </xf>
    <xf numFmtId="0" fontId="55" fillId="0" borderId="24" xfId="0" applyFont="1" applyBorder="1" applyAlignment="1">
      <alignment horizontal="center" vertical="center" wrapText="1"/>
    </xf>
    <xf numFmtId="0" fontId="55" fillId="0" borderId="64" xfId="0" applyFont="1" applyBorder="1" applyAlignment="1">
      <alignment horizontal="center" vertical="center" wrapText="1"/>
    </xf>
    <xf numFmtId="0" fontId="53" fillId="0" borderId="60" xfId="0" applyFont="1" applyBorder="1" applyAlignment="1">
      <alignment horizontal="center" vertical="top"/>
    </xf>
    <xf numFmtId="0" fontId="53" fillId="0" borderId="63" xfId="0" applyFont="1" applyBorder="1" applyAlignment="1">
      <alignment horizontal="center" vertical="top"/>
    </xf>
    <xf numFmtId="0" fontId="53" fillId="0" borderId="20" xfId="0" applyFont="1" applyBorder="1" applyAlignment="1">
      <alignment horizontal="center" vertical="top"/>
    </xf>
    <xf numFmtId="0" fontId="53" fillId="0" borderId="44" xfId="0" applyFont="1" applyBorder="1" applyAlignment="1">
      <alignment horizontal="center" vertical="top"/>
    </xf>
    <xf numFmtId="0" fontId="53" fillId="0" borderId="75" xfId="0" applyFont="1" applyBorder="1" applyAlignment="1">
      <alignment horizontal="center" vertical="top"/>
    </xf>
    <xf numFmtId="0" fontId="53" fillId="0" borderId="62" xfId="0" applyFont="1" applyBorder="1" applyAlignment="1">
      <alignment horizontal="center" vertical="top"/>
    </xf>
    <xf numFmtId="0" fontId="53" fillId="0" borderId="45" xfId="0" applyFont="1" applyBorder="1" applyAlignment="1">
      <alignment horizontal="center" vertical="center" wrapText="1"/>
    </xf>
    <xf numFmtId="0" fontId="53" fillId="0" borderId="79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1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0000CC"/>
      <color rgb="FFFF3300"/>
      <color rgb="FF00FFCC"/>
      <color rgb="FFFFCCFF"/>
      <color rgb="FF00FFFF"/>
      <color rgb="FFFF6600"/>
      <color rgb="FF19C3FF"/>
      <color rgb="FFFF0066"/>
      <color rgb="FF00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9E4F-0B49-4882-928F-456CD956A3E2}">
  <dimension ref="A1:D15"/>
  <sheetViews>
    <sheetView workbookViewId="0">
      <selection activeCell="B13" sqref="B13"/>
    </sheetView>
  </sheetViews>
  <sheetFormatPr defaultRowHeight="14.4" x14ac:dyDescent="0.3"/>
  <cols>
    <col min="1" max="1" width="10.88671875" customWidth="1"/>
  </cols>
  <sheetData>
    <row r="1" spans="1:4" ht="15" customHeight="1" x14ac:dyDescent="0.3">
      <c r="A1" s="6" t="s">
        <v>57</v>
      </c>
      <c r="B1" s="1309" t="s">
        <v>62</v>
      </c>
      <c r="C1" s="1310"/>
      <c r="D1" s="1310"/>
    </row>
    <row r="2" spans="1:4" ht="27.6" x14ac:dyDescent="0.3">
      <c r="A2" s="7" t="s">
        <v>58</v>
      </c>
      <c r="B2" s="1309"/>
      <c r="C2" s="1310"/>
      <c r="D2" s="1310"/>
    </row>
    <row r="3" spans="1:4" x14ac:dyDescent="0.3">
      <c r="A3" s="8" t="s">
        <v>59</v>
      </c>
      <c r="B3" s="1309"/>
      <c r="C3" s="1310"/>
      <c r="D3" s="1310"/>
    </row>
    <row r="5" spans="1:4" ht="15" customHeight="1" x14ac:dyDescent="0.3">
      <c r="A5" s="6" t="s">
        <v>57</v>
      </c>
      <c r="B5" s="1309" t="s">
        <v>61</v>
      </c>
      <c r="C5" s="1310"/>
      <c r="D5" s="1310"/>
    </row>
    <row r="6" spans="1:4" ht="27.6" x14ac:dyDescent="0.3">
      <c r="A6" s="12" t="s">
        <v>58</v>
      </c>
      <c r="B6" s="1309"/>
      <c r="C6" s="1310"/>
      <c r="D6" s="1310"/>
    </row>
    <row r="7" spans="1:4" x14ac:dyDescent="0.3">
      <c r="A7" s="13" t="s">
        <v>59</v>
      </c>
      <c r="B7" s="1309"/>
      <c r="C7" s="1310"/>
      <c r="D7" s="1310"/>
    </row>
    <row r="9" spans="1:4" ht="15" customHeight="1" x14ac:dyDescent="0.3">
      <c r="A9" s="9" t="s">
        <v>57</v>
      </c>
      <c r="B9" s="1309" t="s">
        <v>60</v>
      </c>
      <c r="C9" s="1310"/>
      <c r="D9" s="1310"/>
    </row>
    <row r="10" spans="1:4" ht="27.6" x14ac:dyDescent="0.3">
      <c r="A10" s="10" t="s">
        <v>58</v>
      </c>
      <c r="B10" s="1309"/>
      <c r="C10" s="1310"/>
      <c r="D10" s="1310"/>
    </row>
    <row r="11" spans="1:4" x14ac:dyDescent="0.3">
      <c r="A11" s="11" t="s">
        <v>59</v>
      </c>
      <c r="B11" s="1309"/>
      <c r="C11" s="1310"/>
      <c r="D11" s="1310"/>
    </row>
    <row r="13" spans="1:4" x14ac:dyDescent="0.3">
      <c r="A13" s="4" t="s">
        <v>51</v>
      </c>
      <c r="B13" s="1" t="s">
        <v>52</v>
      </c>
      <c r="C13" s="1"/>
      <c r="D13" s="2"/>
    </row>
    <row r="14" spans="1:4" x14ac:dyDescent="0.3">
      <c r="A14" s="5" t="s">
        <v>51</v>
      </c>
      <c r="B14" s="1" t="s">
        <v>53</v>
      </c>
      <c r="C14" s="1"/>
      <c r="D14" s="2"/>
    </row>
    <row r="15" spans="1:4" x14ac:dyDescent="0.3">
      <c r="A15" s="3" t="s">
        <v>54</v>
      </c>
      <c r="B15" s="1" t="s">
        <v>55</v>
      </c>
      <c r="C15" s="1"/>
      <c r="D15" s="2"/>
    </row>
  </sheetData>
  <mergeCells count="3">
    <mergeCell ref="B1:D3"/>
    <mergeCell ref="B5:D7"/>
    <mergeCell ref="B9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Y1744"/>
  <sheetViews>
    <sheetView zoomScale="90" zoomScaleNormal="90" workbookViewId="0">
      <pane xSplit="2" ySplit="8" topLeftCell="C57" activePane="bottomRight" state="frozen"/>
      <selection activeCell="C6" sqref="C6"/>
      <selection pane="topRight" activeCell="C6" sqref="C6"/>
      <selection pane="bottomLeft" activeCell="C6" sqref="C6"/>
      <selection pane="bottomRight" activeCell="BJ1" sqref="K1:BJ1048576"/>
    </sheetView>
  </sheetViews>
  <sheetFormatPr defaultColWidth="9.109375" defaultRowHeight="14.4" x14ac:dyDescent="0.3"/>
  <cols>
    <col min="1" max="1" width="9.44140625" style="22" customWidth="1"/>
    <col min="2" max="2" width="39.109375" style="20" customWidth="1"/>
    <col min="3" max="3" width="13.109375" style="14" customWidth="1"/>
    <col min="4" max="4" width="13.109375" style="506" customWidth="1"/>
    <col min="5" max="6" width="13.109375" style="188" customWidth="1"/>
    <col min="7" max="7" width="14.109375" style="17" customWidth="1"/>
    <col min="8" max="8" width="14.5546875" style="96" customWidth="1"/>
    <col min="9" max="9" width="13.88671875" style="16" customWidth="1"/>
    <col min="10" max="10" width="5.33203125" style="18" customWidth="1"/>
    <col min="11" max="18" width="11.6640625" style="18" hidden="1" customWidth="1"/>
    <col min="19" max="19" width="15" style="18" hidden="1" customWidth="1"/>
    <col min="20" max="20" width="11.6640625" style="18" hidden="1" customWidth="1"/>
    <col min="21" max="21" width="12.44140625" style="18" hidden="1" customWidth="1"/>
    <col min="22" max="25" width="11.6640625" style="18" hidden="1" customWidth="1"/>
    <col min="26" max="26" width="11.88671875" style="18" hidden="1" customWidth="1"/>
    <col min="27" max="53" width="11.6640625" style="18" hidden="1" customWidth="1"/>
    <col min="54" max="61" width="12.33203125" style="18" hidden="1" customWidth="1"/>
    <col min="62" max="62" width="15.44140625" style="97" hidden="1" customWidth="1"/>
    <col min="63" max="63" width="5.33203125" style="18" customWidth="1"/>
    <col min="64" max="64" width="11.6640625" style="18" hidden="1" customWidth="1"/>
    <col min="65" max="65" width="14.6640625" style="18" hidden="1" customWidth="1"/>
    <col min="66" max="84" width="11.6640625" style="18" hidden="1" customWidth="1"/>
    <col min="85" max="85" width="11.6640625" style="97" hidden="1" customWidth="1"/>
    <col min="86" max="91" width="11.6640625" style="18" hidden="1" customWidth="1"/>
    <col min="92" max="92" width="14.5546875" style="18" hidden="1" customWidth="1"/>
    <col min="93" max="113" width="11.6640625" style="18" hidden="1" customWidth="1"/>
    <col min="114" max="114" width="15.44140625" style="18" hidden="1" customWidth="1"/>
    <col min="115" max="122" width="11.6640625" style="18" hidden="1" customWidth="1"/>
    <col min="123" max="123" width="14.88671875" style="18" hidden="1" customWidth="1"/>
    <col min="124" max="124" width="5.33203125" style="18" customWidth="1"/>
    <col min="125" max="176" width="11.6640625" style="18" hidden="1" customWidth="1"/>
    <col min="177" max="177" width="14.44140625" style="18" hidden="1" customWidth="1"/>
    <col min="178" max="178" width="5" style="18" customWidth="1"/>
    <col min="179" max="179" width="5" style="18" hidden="1" customWidth="1"/>
    <col min="180" max="189" width="12.6640625" style="18" hidden="1" customWidth="1"/>
    <col min="190" max="190" width="5" style="97" hidden="1" customWidth="1"/>
    <col min="191" max="191" width="4" style="97" hidden="1" customWidth="1"/>
    <col min="192" max="194" width="12.6640625" style="18" hidden="1" customWidth="1"/>
    <col min="195" max="195" width="12.6640625" style="97" hidden="1" customWidth="1"/>
    <col min="196" max="196" width="5.88671875" style="97" hidden="1" customWidth="1"/>
    <col min="197" max="197" width="6" style="18" hidden="1" customWidth="1"/>
    <col min="198" max="198" width="12.6640625" style="18" customWidth="1"/>
    <col min="199" max="199" width="14.88671875" style="21" customWidth="1"/>
    <col min="200" max="200" width="15" style="27" customWidth="1"/>
    <col min="201" max="201" width="14" style="27" customWidth="1"/>
    <col min="202" max="202" width="14.6640625" style="21" customWidth="1"/>
    <col min="203" max="203" width="39.5546875" style="30" customWidth="1"/>
    <col min="204" max="204" width="21.109375" style="22" customWidth="1"/>
    <col min="205" max="205" width="11" style="945" bestFit="1" customWidth="1"/>
    <col min="206" max="16384" width="9.109375" style="22"/>
  </cols>
  <sheetData>
    <row r="1" spans="1:205" ht="14.1" customHeight="1" x14ac:dyDescent="0.3">
      <c r="A1" s="229"/>
      <c r="B1" s="88"/>
      <c r="GQ1" s="19" t="s">
        <v>51</v>
      </c>
      <c r="GR1" s="20" t="s">
        <v>63</v>
      </c>
      <c r="GS1" s="20"/>
      <c r="GU1" s="30" t="s">
        <v>74</v>
      </c>
    </row>
    <row r="2" spans="1:205" ht="14.1" customHeight="1" x14ac:dyDescent="0.3">
      <c r="A2" s="316" t="s">
        <v>51</v>
      </c>
      <c r="B2" s="88" t="s">
        <v>96</v>
      </c>
      <c r="FZ2" s="31"/>
      <c r="GA2" s="31"/>
      <c r="GB2" s="31"/>
      <c r="GC2" s="31"/>
      <c r="GD2" s="31"/>
      <c r="GE2" s="31"/>
      <c r="GF2" s="31"/>
      <c r="GG2" s="31"/>
      <c r="GQ2" s="23" t="s">
        <v>51</v>
      </c>
      <c r="GR2" s="20" t="s">
        <v>53</v>
      </c>
      <c r="GS2" s="20"/>
    </row>
    <row r="3" spans="1:205" ht="14.1" customHeight="1" thickBot="1" x14ac:dyDescent="0.35">
      <c r="A3" s="226" t="s">
        <v>51</v>
      </c>
      <c r="B3" s="88" t="s">
        <v>109</v>
      </c>
      <c r="GQ3" s="48" t="s">
        <v>54</v>
      </c>
      <c r="GR3" s="20" t="s">
        <v>55</v>
      </c>
      <c r="GS3" s="20"/>
    </row>
    <row r="4" spans="1:205" s="88" customFormat="1" ht="14.25" customHeight="1" thickBot="1" x14ac:dyDescent="0.35">
      <c r="A4" s="49"/>
      <c r="B4" s="50"/>
      <c r="C4" s="50"/>
      <c r="D4" s="507"/>
      <c r="E4" s="189"/>
      <c r="F4" s="189"/>
      <c r="G4" s="98"/>
      <c r="H4" s="99"/>
      <c r="I4" s="100"/>
      <c r="J4" s="1319" t="s">
        <v>91</v>
      </c>
      <c r="K4" s="1320"/>
      <c r="L4" s="1320"/>
      <c r="M4" s="1320"/>
      <c r="N4" s="1320"/>
      <c r="O4" s="1320"/>
      <c r="P4" s="1320"/>
      <c r="Q4" s="1320"/>
      <c r="R4" s="1320"/>
      <c r="S4" s="1320"/>
      <c r="T4" s="1320"/>
      <c r="U4" s="1320"/>
      <c r="V4" s="1320"/>
      <c r="W4" s="1320"/>
      <c r="X4" s="1320"/>
      <c r="Y4" s="1320"/>
      <c r="Z4" s="1320"/>
      <c r="AA4" s="1320"/>
      <c r="AB4" s="1320"/>
      <c r="AC4" s="1320"/>
      <c r="AD4" s="1320"/>
      <c r="AE4" s="1320"/>
      <c r="AF4" s="1320"/>
      <c r="AG4" s="1320"/>
      <c r="AH4" s="1320"/>
      <c r="AI4" s="1320"/>
      <c r="AJ4" s="1320"/>
      <c r="AK4" s="1320"/>
      <c r="AL4" s="1320"/>
      <c r="AM4" s="1320"/>
      <c r="AN4" s="1320"/>
      <c r="AO4" s="1320"/>
      <c r="AP4" s="1320"/>
      <c r="AQ4" s="1320"/>
      <c r="AR4" s="1320"/>
      <c r="AS4" s="1320"/>
      <c r="AT4" s="1320"/>
      <c r="AU4" s="1320"/>
      <c r="AV4" s="1320"/>
      <c r="AW4" s="1320"/>
      <c r="AX4" s="1320"/>
      <c r="AY4" s="1320"/>
      <c r="AZ4" s="1320"/>
      <c r="BA4" s="1320"/>
      <c r="BB4" s="1320"/>
      <c r="BC4" s="1320"/>
      <c r="BD4" s="1320"/>
      <c r="BE4" s="1320"/>
      <c r="BF4" s="1320"/>
      <c r="BG4" s="1320"/>
      <c r="BH4" s="1320"/>
      <c r="BI4" s="1320"/>
      <c r="BJ4" s="1320"/>
      <c r="BK4" s="1320"/>
      <c r="BL4" s="1320"/>
      <c r="BM4" s="1320"/>
      <c r="BN4" s="1320"/>
      <c r="BO4" s="1320"/>
      <c r="BP4" s="1320"/>
      <c r="BQ4" s="1320"/>
      <c r="BR4" s="1320"/>
      <c r="BS4" s="1320"/>
      <c r="BT4" s="1320"/>
      <c r="BU4" s="1320"/>
      <c r="BV4" s="1320"/>
      <c r="BW4" s="1320"/>
      <c r="BX4" s="1320"/>
      <c r="BY4" s="1320"/>
      <c r="BZ4" s="1320"/>
      <c r="CA4" s="1320"/>
      <c r="CB4" s="1320"/>
      <c r="CC4" s="1320"/>
      <c r="CD4" s="1320"/>
      <c r="CE4" s="1320"/>
      <c r="CF4" s="1320"/>
      <c r="CG4" s="1320"/>
      <c r="CH4" s="1320"/>
      <c r="CI4" s="1320"/>
      <c r="CJ4" s="1320"/>
      <c r="CK4" s="1320"/>
      <c r="CL4" s="1320"/>
      <c r="CM4" s="1320"/>
      <c r="CN4" s="1320"/>
      <c r="CO4" s="1320"/>
      <c r="CP4" s="1320"/>
      <c r="CQ4" s="1320"/>
      <c r="CR4" s="1320"/>
      <c r="CS4" s="1320"/>
      <c r="CT4" s="1320"/>
      <c r="CU4" s="1320"/>
      <c r="CV4" s="1320"/>
      <c r="CW4" s="1320"/>
      <c r="CX4" s="1320"/>
      <c r="CY4" s="1320"/>
      <c r="CZ4" s="1320"/>
      <c r="DA4" s="1320"/>
      <c r="DB4" s="1320"/>
      <c r="DC4" s="1320"/>
      <c r="DD4" s="1320"/>
      <c r="DE4" s="1320"/>
      <c r="DF4" s="1320"/>
      <c r="DG4" s="1320"/>
      <c r="DH4" s="1320"/>
      <c r="DI4" s="1320"/>
      <c r="DJ4" s="1320"/>
      <c r="DK4" s="1320"/>
      <c r="DL4" s="1320"/>
      <c r="DM4" s="1320"/>
      <c r="DN4" s="1320"/>
      <c r="DO4" s="1320"/>
      <c r="DP4" s="1320"/>
      <c r="DQ4" s="1320"/>
      <c r="DR4" s="1320"/>
      <c r="DS4" s="1320"/>
      <c r="DT4" s="1320"/>
      <c r="DU4" s="1320"/>
      <c r="DV4" s="1320"/>
      <c r="DW4" s="1320"/>
      <c r="DX4" s="1320"/>
      <c r="DY4" s="1320"/>
      <c r="DZ4" s="1320"/>
      <c r="EA4" s="1320"/>
      <c r="EB4" s="1320"/>
      <c r="EC4" s="1320"/>
      <c r="ED4" s="1320"/>
      <c r="EE4" s="1320"/>
      <c r="EF4" s="1320"/>
      <c r="EG4" s="1320"/>
      <c r="EH4" s="1320"/>
      <c r="EI4" s="1320"/>
      <c r="EJ4" s="1320"/>
      <c r="EK4" s="1320"/>
      <c r="EL4" s="1320"/>
      <c r="EM4" s="1320"/>
      <c r="EN4" s="1320"/>
      <c r="EO4" s="1320"/>
      <c r="EP4" s="1320"/>
      <c r="EQ4" s="1320"/>
      <c r="ER4" s="1320"/>
      <c r="ES4" s="1320"/>
      <c r="ET4" s="1320"/>
      <c r="EU4" s="1320"/>
      <c r="EV4" s="1320"/>
      <c r="EW4" s="1320"/>
      <c r="EX4" s="1320"/>
      <c r="EY4" s="1320"/>
      <c r="EZ4" s="1320"/>
      <c r="FA4" s="1320"/>
      <c r="FB4" s="1320"/>
      <c r="FC4" s="1320"/>
      <c r="FD4" s="1320"/>
      <c r="FE4" s="1320"/>
      <c r="FF4" s="1320"/>
      <c r="FG4" s="1320"/>
      <c r="FH4" s="1320"/>
      <c r="FI4" s="1320"/>
      <c r="FJ4" s="1320"/>
      <c r="FK4" s="1320"/>
      <c r="FL4" s="1320"/>
      <c r="FM4" s="1320"/>
      <c r="FN4" s="1320"/>
      <c r="FO4" s="1320"/>
      <c r="FP4" s="1320"/>
      <c r="FQ4" s="1320"/>
      <c r="FR4" s="1320"/>
      <c r="FS4" s="1320"/>
      <c r="FT4" s="1320"/>
      <c r="FU4" s="1321"/>
      <c r="FV4" s="101"/>
      <c r="FW4" s="1316" t="s">
        <v>90</v>
      </c>
      <c r="FX4" s="1316"/>
      <c r="FY4" s="1316"/>
      <c r="FZ4" s="1316"/>
      <c r="GA4" s="1316"/>
      <c r="GB4" s="1316"/>
      <c r="GC4" s="1316"/>
      <c r="GD4" s="1316"/>
      <c r="GE4" s="1316"/>
      <c r="GF4" s="1316"/>
      <c r="GG4" s="1316"/>
      <c r="GH4" s="1316"/>
      <c r="GI4" s="1317" t="s">
        <v>230</v>
      </c>
      <c r="GJ4" s="1318"/>
      <c r="GK4" s="1318"/>
      <c r="GL4" s="1318"/>
      <c r="GM4" s="1318"/>
      <c r="GN4" s="1318"/>
      <c r="GO4" s="431"/>
      <c r="GP4" s="83"/>
      <c r="GQ4" s="84"/>
      <c r="GR4" s="219"/>
      <c r="GS4" s="84"/>
      <c r="GT4" s="85"/>
      <c r="GU4" s="228"/>
      <c r="GV4" s="229"/>
      <c r="GW4" s="946"/>
    </row>
    <row r="5" spans="1:205" s="39" customFormat="1" ht="18" customHeight="1" thickBot="1" x14ac:dyDescent="0.35">
      <c r="A5" s="1322" t="s">
        <v>0</v>
      </c>
      <c r="B5" s="1325" t="s">
        <v>1</v>
      </c>
      <c r="C5" s="1324" t="s">
        <v>2</v>
      </c>
      <c r="D5" s="1324"/>
      <c r="E5" s="1324"/>
      <c r="F5" s="1324"/>
      <c r="G5" s="1327" t="s">
        <v>88</v>
      </c>
      <c r="H5" s="1340"/>
      <c r="I5" s="1340"/>
      <c r="J5" s="1344" t="s">
        <v>42</v>
      </c>
      <c r="K5" s="256">
        <v>2</v>
      </c>
      <c r="L5" s="256">
        <v>3</v>
      </c>
      <c r="M5" s="256">
        <v>7</v>
      </c>
      <c r="N5" s="256">
        <v>9</v>
      </c>
      <c r="O5" s="256">
        <v>10</v>
      </c>
      <c r="P5" s="256">
        <v>11</v>
      </c>
      <c r="Q5" s="256">
        <v>12</v>
      </c>
      <c r="R5" s="256">
        <v>14</v>
      </c>
      <c r="S5" s="256">
        <v>13</v>
      </c>
      <c r="T5" s="256">
        <v>16</v>
      </c>
      <c r="U5" s="256">
        <v>17</v>
      </c>
      <c r="V5" s="256">
        <v>14</v>
      </c>
      <c r="W5" s="256">
        <v>21</v>
      </c>
      <c r="X5" s="256">
        <v>15</v>
      </c>
      <c r="Y5" s="256">
        <v>28</v>
      </c>
      <c r="Z5" s="256">
        <v>15</v>
      </c>
      <c r="AA5" s="256">
        <v>25</v>
      </c>
      <c r="AB5" s="256">
        <v>24</v>
      </c>
      <c r="AC5" s="256">
        <v>26</v>
      </c>
      <c r="AD5" s="256">
        <v>40</v>
      </c>
      <c r="AE5" s="256">
        <v>44</v>
      </c>
      <c r="AF5" s="256">
        <v>45</v>
      </c>
      <c r="AG5" s="256">
        <v>46</v>
      </c>
      <c r="AH5" s="256">
        <v>37</v>
      </c>
      <c r="AI5" s="256">
        <v>30</v>
      </c>
      <c r="AJ5" s="256">
        <v>50</v>
      </c>
      <c r="AK5" s="256">
        <v>12</v>
      </c>
      <c r="AL5" s="256">
        <v>43</v>
      </c>
      <c r="AM5" s="244">
        <v>15</v>
      </c>
      <c r="AN5" s="256">
        <v>38</v>
      </c>
      <c r="AO5" s="256">
        <v>11</v>
      </c>
      <c r="AP5" s="256">
        <v>29</v>
      </c>
      <c r="AQ5" s="256">
        <v>42</v>
      </c>
      <c r="AR5" s="256">
        <v>60</v>
      </c>
      <c r="AS5" s="256">
        <v>61</v>
      </c>
      <c r="AT5" s="256">
        <v>62</v>
      </c>
      <c r="AU5" s="256">
        <v>33</v>
      </c>
      <c r="AV5" s="256">
        <v>53</v>
      </c>
      <c r="AW5" s="256">
        <v>3</v>
      </c>
      <c r="AX5" s="256">
        <v>48</v>
      </c>
      <c r="AY5" s="256">
        <v>35</v>
      </c>
      <c r="AZ5" s="256">
        <v>36</v>
      </c>
      <c r="BA5" s="256">
        <v>34</v>
      </c>
      <c r="BB5" s="256">
        <v>32</v>
      </c>
      <c r="BC5" s="256" t="s">
        <v>483</v>
      </c>
      <c r="BD5" s="256">
        <v>52</v>
      </c>
      <c r="BE5" s="256">
        <v>10</v>
      </c>
      <c r="BF5" s="256">
        <v>27</v>
      </c>
      <c r="BG5" s="256">
        <v>71</v>
      </c>
      <c r="BH5" s="256">
        <v>16</v>
      </c>
      <c r="BI5" s="256">
        <v>25</v>
      </c>
      <c r="BJ5" s="1347" t="s">
        <v>94</v>
      </c>
      <c r="BK5" s="1344" t="s">
        <v>43</v>
      </c>
      <c r="BL5" s="256">
        <v>74</v>
      </c>
      <c r="BM5" s="256">
        <v>13</v>
      </c>
      <c r="BN5" s="256">
        <v>68</v>
      </c>
      <c r="BO5" s="256">
        <v>70</v>
      </c>
      <c r="BP5" s="256">
        <v>73</v>
      </c>
      <c r="BQ5" s="256">
        <v>67</v>
      </c>
      <c r="BR5" s="256">
        <v>85</v>
      </c>
      <c r="BS5" s="256">
        <v>24</v>
      </c>
      <c r="BT5" s="256">
        <v>89</v>
      </c>
      <c r="BU5" s="256">
        <v>93</v>
      </c>
      <c r="BV5" s="256">
        <v>94</v>
      </c>
      <c r="BW5" s="256">
        <v>95</v>
      </c>
      <c r="BX5" s="256">
        <v>24</v>
      </c>
      <c r="BY5" s="256">
        <v>92</v>
      </c>
      <c r="BZ5" s="256">
        <v>97</v>
      </c>
      <c r="CA5" s="256">
        <v>91</v>
      </c>
      <c r="CB5" s="256">
        <v>75</v>
      </c>
      <c r="CC5" s="256">
        <v>101</v>
      </c>
      <c r="CD5" s="256">
        <v>91</v>
      </c>
      <c r="CE5" s="256">
        <v>103</v>
      </c>
      <c r="CF5" s="256">
        <v>90</v>
      </c>
      <c r="CG5" s="256">
        <v>106</v>
      </c>
      <c r="CH5" s="256">
        <v>107</v>
      </c>
      <c r="CI5" s="256">
        <v>108</v>
      </c>
      <c r="CJ5" s="937">
        <v>113</v>
      </c>
      <c r="CK5" s="256">
        <v>42</v>
      </c>
      <c r="CL5" s="256">
        <v>115</v>
      </c>
      <c r="CM5" s="256">
        <v>117</v>
      </c>
      <c r="CN5" s="256">
        <v>76</v>
      </c>
      <c r="CO5" s="256">
        <v>123</v>
      </c>
      <c r="CP5" s="256">
        <v>68</v>
      </c>
      <c r="CQ5" s="256">
        <v>124</v>
      </c>
      <c r="CR5" s="256">
        <v>116</v>
      </c>
      <c r="CS5" s="103">
        <v>41</v>
      </c>
      <c r="CT5" s="103">
        <v>112</v>
      </c>
      <c r="CU5" s="103">
        <v>110</v>
      </c>
      <c r="CV5" s="103">
        <v>111</v>
      </c>
      <c r="CW5" s="256">
        <v>49</v>
      </c>
      <c r="CX5" s="256">
        <v>126</v>
      </c>
      <c r="CY5" s="256">
        <v>98</v>
      </c>
      <c r="CZ5" s="256">
        <v>42</v>
      </c>
      <c r="DA5" s="256">
        <v>130</v>
      </c>
      <c r="DB5" s="256">
        <v>50</v>
      </c>
      <c r="DC5" s="256">
        <v>129</v>
      </c>
      <c r="DD5" s="256">
        <v>128</v>
      </c>
      <c r="DE5" s="256">
        <v>127</v>
      </c>
      <c r="DF5" s="256">
        <v>114</v>
      </c>
      <c r="DG5" s="256">
        <v>135</v>
      </c>
      <c r="DH5" s="256">
        <v>136</v>
      </c>
      <c r="DI5" s="256">
        <v>134</v>
      </c>
      <c r="DJ5" s="256">
        <v>139</v>
      </c>
      <c r="DK5" s="256">
        <v>46</v>
      </c>
      <c r="DL5" s="256">
        <v>142</v>
      </c>
      <c r="DM5" s="256">
        <v>141</v>
      </c>
      <c r="DN5" s="256">
        <v>135</v>
      </c>
      <c r="DO5" s="256">
        <v>136</v>
      </c>
      <c r="DP5" s="256">
        <v>134</v>
      </c>
      <c r="DQ5" s="256">
        <v>55</v>
      </c>
      <c r="DR5" s="256">
        <v>137</v>
      </c>
      <c r="DS5" s="1347" t="s">
        <v>95</v>
      </c>
      <c r="DT5" s="1349" t="s">
        <v>45</v>
      </c>
      <c r="DU5" s="256">
        <v>144</v>
      </c>
      <c r="DV5" s="256">
        <v>150</v>
      </c>
      <c r="DW5" s="256">
        <v>151</v>
      </c>
      <c r="DX5" s="256">
        <v>42</v>
      </c>
      <c r="DY5" s="256">
        <v>145</v>
      </c>
      <c r="DZ5" s="256">
        <v>156</v>
      </c>
      <c r="EA5" s="937">
        <v>162</v>
      </c>
      <c r="EB5" s="256">
        <v>161</v>
      </c>
      <c r="EC5" s="256">
        <v>163</v>
      </c>
      <c r="ED5" s="256">
        <v>164</v>
      </c>
      <c r="EE5" s="256">
        <v>165</v>
      </c>
      <c r="EF5" s="256">
        <v>166</v>
      </c>
      <c r="EG5" s="256">
        <v>168</v>
      </c>
      <c r="EH5" s="256">
        <v>169</v>
      </c>
      <c r="EI5" s="256">
        <v>135</v>
      </c>
      <c r="EJ5" s="256">
        <v>136</v>
      </c>
      <c r="EK5" s="256">
        <v>158</v>
      </c>
      <c r="EL5" s="256">
        <v>171</v>
      </c>
      <c r="EM5" s="256">
        <v>20</v>
      </c>
      <c r="EN5" s="256">
        <v>134</v>
      </c>
      <c r="EO5" s="256">
        <v>135</v>
      </c>
      <c r="EP5" s="256">
        <v>136</v>
      </c>
      <c r="EQ5" s="256">
        <v>167</v>
      </c>
      <c r="ER5" s="256">
        <v>23</v>
      </c>
      <c r="ES5" s="256">
        <v>136</v>
      </c>
      <c r="ET5" s="256">
        <v>172</v>
      </c>
      <c r="EU5" s="256">
        <v>173</v>
      </c>
      <c r="EV5" s="256">
        <v>179</v>
      </c>
      <c r="EW5" s="256">
        <v>50</v>
      </c>
      <c r="EX5" s="256">
        <v>129</v>
      </c>
      <c r="EY5" s="256">
        <v>130</v>
      </c>
      <c r="EZ5" s="1019">
        <v>182</v>
      </c>
      <c r="FA5" s="1019">
        <v>68</v>
      </c>
      <c r="FB5" s="256">
        <v>185</v>
      </c>
      <c r="FC5" s="937">
        <v>183</v>
      </c>
      <c r="FD5" s="256">
        <v>178</v>
      </c>
      <c r="FE5" s="256">
        <v>42</v>
      </c>
      <c r="FF5" s="256">
        <v>191</v>
      </c>
      <c r="FG5" s="937">
        <v>184</v>
      </c>
      <c r="FH5" s="256">
        <v>198</v>
      </c>
      <c r="FI5" s="256">
        <v>191</v>
      </c>
      <c r="FJ5" s="256">
        <v>161</v>
      </c>
      <c r="FK5" s="256">
        <v>199</v>
      </c>
      <c r="FL5" s="256">
        <v>135</v>
      </c>
      <c r="FM5" s="256">
        <v>160</v>
      </c>
      <c r="FN5" s="256">
        <v>190</v>
      </c>
      <c r="FO5" s="256">
        <v>204</v>
      </c>
      <c r="FP5" s="256">
        <v>193</v>
      </c>
      <c r="FQ5" s="256">
        <v>193</v>
      </c>
      <c r="FR5" s="256">
        <v>194</v>
      </c>
      <c r="FS5" s="256">
        <v>208</v>
      </c>
      <c r="FT5" s="256">
        <v>168</v>
      </c>
      <c r="FU5" s="1347" t="s">
        <v>95</v>
      </c>
      <c r="FV5" s="105"/>
      <c r="FW5" s="256"/>
      <c r="FX5" s="244"/>
      <c r="FY5" s="244"/>
      <c r="FZ5" s="396"/>
      <c r="GA5" s="396"/>
      <c r="GB5" s="396"/>
      <c r="GC5" s="396"/>
      <c r="GD5" s="396"/>
      <c r="GE5" s="396"/>
      <c r="GF5" s="396"/>
      <c r="GG5" s="396"/>
      <c r="GH5" s="396"/>
      <c r="GI5" s="166"/>
      <c r="GJ5" s="256"/>
      <c r="GK5" s="1019"/>
      <c r="GL5" s="1019"/>
      <c r="GM5" s="1018"/>
      <c r="GN5" s="526"/>
      <c r="GO5" s="432"/>
      <c r="GP5" s="1354" t="s">
        <v>154</v>
      </c>
      <c r="GQ5" s="1311" t="s">
        <v>39</v>
      </c>
      <c r="GR5" s="1357" t="s">
        <v>38</v>
      </c>
      <c r="GS5" s="1352" t="str">
        <f>G5</f>
        <v>СРЕДНЕМЕСЯЧНЫЙ РАСХОД   за текущий квартал</v>
      </c>
      <c r="GT5" s="1359" t="s">
        <v>89</v>
      </c>
      <c r="GU5" s="1341"/>
      <c r="GV5" s="1339" t="s">
        <v>175</v>
      </c>
      <c r="GW5" s="1334" t="s">
        <v>515</v>
      </c>
    </row>
    <row r="6" spans="1:205" s="174" customFormat="1" ht="64.5" customHeight="1" thickBot="1" x14ac:dyDescent="0.35">
      <c r="A6" s="1323"/>
      <c r="B6" s="1326"/>
      <c r="C6" s="896" t="s">
        <v>37</v>
      </c>
      <c r="D6" s="508" t="s">
        <v>42</v>
      </c>
      <c r="E6" s="190" t="s">
        <v>43</v>
      </c>
      <c r="F6" s="199" t="s">
        <v>45</v>
      </c>
      <c r="G6" s="1328"/>
      <c r="H6" s="171" t="s">
        <v>69</v>
      </c>
      <c r="I6" s="172" t="s">
        <v>93</v>
      </c>
      <c r="J6" s="1345"/>
      <c r="K6" s="399" t="s">
        <v>445</v>
      </c>
      <c r="L6" s="399" t="s">
        <v>446</v>
      </c>
      <c r="M6" s="399" t="s">
        <v>375</v>
      </c>
      <c r="N6" s="399" t="s">
        <v>455</v>
      </c>
      <c r="O6" s="399" t="s">
        <v>361</v>
      </c>
      <c r="P6" s="399" t="s">
        <v>362</v>
      </c>
      <c r="Q6" s="399" t="s">
        <v>360</v>
      </c>
      <c r="R6" s="399" t="s">
        <v>459</v>
      </c>
      <c r="S6" s="399" t="s">
        <v>460</v>
      </c>
      <c r="T6" s="399" t="s">
        <v>264</v>
      </c>
      <c r="U6" s="399" t="s">
        <v>461</v>
      </c>
      <c r="V6" s="399" t="s">
        <v>357</v>
      </c>
      <c r="W6" s="399" t="s">
        <v>381</v>
      </c>
      <c r="X6" s="399" t="s">
        <v>266</v>
      </c>
      <c r="Y6" s="399" t="s">
        <v>341</v>
      </c>
      <c r="Z6" s="399" t="s">
        <v>363</v>
      </c>
      <c r="AA6" s="399" t="s">
        <v>364</v>
      </c>
      <c r="AB6" s="399" t="s">
        <v>363</v>
      </c>
      <c r="AC6" s="399" t="s">
        <v>375</v>
      </c>
      <c r="AD6" s="399" t="s">
        <v>473</v>
      </c>
      <c r="AE6" s="399" t="s">
        <v>472</v>
      </c>
      <c r="AF6" s="399" t="s">
        <v>470</v>
      </c>
      <c r="AG6" s="249" t="s">
        <v>471</v>
      </c>
      <c r="AH6" s="399" t="s">
        <v>404</v>
      </c>
      <c r="AI6" s="399" t="s">
        <v>401</v>
      </c>
      <c r="AJ6" s="399" t="s">
        <v>475</v>
      </c>
      <c r="AK6" s="399" t="s">
        <v>148</v>
      </c>
      <c r="AL6" s="249" t="s">
        <v>310</v>
      </c>
      <c r="AM6" s="249" t="s">
        <v>205</v>
      </c>
      <c r="AN6" s="399" t="s">
        <v>254</v>
      </c>
      <c r="AO6" s="399" t="s">
        <v>108</v>
      </c>
      <c r="AP6" s="399" t="s">
        <v>386</v>
      </c>
      <c r="AQ6" s="399" t="s">
        <v>402</v>
      </c>
      <c r="AR6" s="399" t="s">
        <v>479</v>
      </c>
      <c r="AS6" s="399" t="s">
        <v>480</v>
      </c>
      <c r="AT6" s="399" t="s">
        <v>481</v>
      </c>
      <c r="AU6" s="399" t="s">
        <v>294</v>
      </c>
      <c r="AV6" s="399" t="s">
        <v>478</v>
      </c>
      <c r="AW6" s="399" t="s">
        <v>446</v>
      </c>
      <c r="AX6" s="399" t="s">
        <v>476</v>
      </c>
      <c r="AY6" s="399" t="s">
        <v>443</v>
      </c>
      <c r="AZ6" s="399" t="s">
        <v>442</v>
      </c>
      <c r="BA6" s="399" t="s">
        <v>441</v>
      </c>
      <c r="BB6" s="399" t="s">
        <v>302</v>
      </c>
      <c r="BC6" s="399" t="s">
        <v>474</v>
      </c>
      <c r="BD6" s="399" t="s">
        <v>477</v>
      </c>
      <c r="BE6" s="399" t="s">
        <v>356</v>
      </c>
      <c r="BF6" s="399" t="s">
        <v>482</v>
      </c>
      <c r="BG6" s="399" t="s">
        <v>375</v>
      </c>
      <c r="BH6" s="399" t="s">
        <v>484</v>
      </c>
      <c r="BI6" s="399" t="s">
        <v>485</v>
      </c>
      <c r="BJ6" s="1348"/>
      <c r="BK6" s="1345"/>
      <c r="BL6" s="399" t="s">
        <v>315</v>
      </c>
      <c r="BM6" s="399" t="s">
        <v>460</v>
      </c>
      <c r="BN6" s="399" t="s">
        <v>421</v>
      </c>
      <c r="BO6" s="399" t="s">
        <v>311</v>
      </c>
      <c r="BP6" s="399" t="s">
        <v>494</v>
      </c>
      <c r="BQ6" s="399" t="s">
        <v>440</v>
      </c>
      <c r="BR6" s="399" t="s">
        <v>495</v>
      </c>
      <c r="BS6" s="399" t="s">
        <v>266</v>
      </c>
      <c r="BT6" s="399" t="s">
        <v>497</v>
      </c>
      <c r="BU6" s="399" t="s">
        <v>331</v>
      </c>
      <c r="BV6" s="399" t="s">
        <v>498</v>
      </c>
      <c r="BW6" s="399" t="s">
        <v>499</v>
      </c>
      <c r="BX6" s="399" t="s">
        <v>266</v>
      </c>
      <c r="BY6" s="399" t="s">
        <v>461</v>
      </c>
      <c r="BZ6" s="399" t="s">
        <v>264</v>
      </c>
      <c r="CA6" s="399" t="s">
        <v>357</v>
      </c>
      <c r="CB6" s="399" t="s">
        <v>496</v>
      </c>
      <c r="CC6" s="399" t="s">
        <v>501</v>
      </c>
      <c r="CD6" s="399" t="s">
        <v>364</v>
      </c>
      <c r="CE6" s="399" t="s">
        <v>502</v>
      </c>
      <c r="CF6" s="399" t="s">
        <v>363</v>
      </c>
      <c r="CG6" s="399" t="s">
        <v>508</v>
      </c>
      <c r="CH6" s="399" t="s">
        <v>177</v>
      </c>
      <c r="CI6" s="399" t="s">
        <v>507</v>
      </c>
      <c r="CJ6" s="399" t="s">
        <v>304</v>
      </c>
      <c r="CK6" s="399" t="s">
        <v>205</v>
      </c>
      <c r="CL6" s="249" t="s">
        <v>276</v>
      </c>
      <c r="CM6" s="249" t="s">
        <v>511</v>
      </c>
      <c r="CN6" s="399" t="s">
        <v>455</v>
      </c>
      <c r="CO6" s="399" t="s">
        <v>461</v>
      </c>
      <c r="CP6" s="249" t="s">
        <v>512</v>
      </c>
      <c r="CQ6" s="399" t="s">
        <v>497</v>
      </c>
      <c r="CR6" s="249" t="s">
        <v>513</v>
      </c>
      <c r="CS6" s="249" t="s">
        <v>405</v>
      </c>
      <c r="CT6" s="249" t="s">
        <v>296</v>
      </c>
      <c r="CU6" s="249" t="s">
        <v>396</v>
      </c>
      <c r="CV6" s="249" t="s">
        <v>509</v>
      </c>
      <c r="CW6" s="399" t="s">
        <v>514</v>
      </c>
      <c r="CX6" s="399" t="s">
        <v>375</v>
      </c>
      <c r="CY6" s="399" t="s">
        <v>503</v>
      </c>
      <c r="CZ6" s="399" t="s">
        <v>108</v>
      </c>
      <c r="DA6" s="399" t="s">
        <v>386</v>
      </c>
      <c r="DB6" s="399" t="s">
        <v>148</v>
      </c>
      <c r="DC6" s="399" t="s">
        <v>401</v>
      </c>
      <c r="DD6" s="399" t="s">
        <v>404</v>
      </c>
      <c r="DE6" s="399" t="s">
        <v>254</v>
      </c>
      <c r="DF6" s="249" t="s">
        <v>120</v>
      </c>
      <c r="DG6" s="399" t="s">
        <v>517</v>
      </c>
      <c r="DH6" s="399" t="s">
        <v>518</v>
      </c>
      <c r="DI6" s="399" t="s">
        <v>519</v>
      </c>
      <c r="DJ6" s="399" t="s">
        <v>521</v>
      </c>
      <c r="DK6" s="249" t="s">
        <v>188</v>
      </c>
      <c r="DL6" s="399" t="s">
        <v>522</v>
      </c>
      <c r="DM6" s="399" t="s">
        <v>496</v>
      </c>
      <c r="DN6" s="399" t="s">
        <v>264</v>
      </c>
      <c r="DO6" s="399" t="s">
        <v>357</v>
      </c>
      <c r="DP6" s="399" t="s">
        <v>266</v>
      </c>
      <c r="DQ6" s="399" t="s">
        <v>523</v>
      </c>
      <c r="DR6" s="399" t="s">
        <v>520</v>
      </c>
      <c r="DS6" s="1348"/>
      <c r="DT6" s="1350"/>
      <c r="DU6" s="399" t="s">
        <v>311</v>
      </c>
      <c r="DV6" s="399" t="s">
        <v>331</v>
      </c>
      <c r="DW6" s="399" t="s">
        <v>498</v>
      </c>
      <c r="DX6" s="399" t="s">
        <v>205</v>
      </c>
      <c r="DY6" s="399" t="s">
        <v>421</v>
      </c>
      <c r="DZ6" s="399" t="s">
        <v>534</v>
      </c>
      <c r="EA6" s="399" t="s">
        <v>537</v>
      </c>
      <c r="EB6" s="399" t="s">
        <v>375</v>
      </c>
      <c r="EC6" s="399" t="s">
        <v>481</v>
      </c>
      <c r="ED6" s="399" t="s">
        <v>479</v>
      </c>
      <c r="EE6" s="399" t="s">
        <v>480</v>
      </c>
      <c r="EF6" s="399" t="s">
        <v>420</v>
      </c>
      <c r="EG6" s="399" t="s">
        <v>539</v>
      </c>
      <c r="EH6" s="399" t="s">
        <v>455</v>
      </c>
      <c r="EI6" s="399" t="s">
        <v>484</v>
      </c>
      <c r="EJ6" s="399" t="s">
        <v>485</v>
      </c>
      <c r="EK6" s="399" t="s">
        <v>294</v>
      </c>
      <c r="EL6" s="399" t="s">
        <v>542</v>
      </c>
      <c r="EM6" s="399" t="s">
        <v>144</v>
      </c>
      <c r="EN6" s="399" t="s">
        <v>363</v>
      </c>
      <c r="EO6" s="399" t="s">
        <v>541</v>
      </c>
      <c r="EP6" s="399" t="s">
        <v>364</v>
      </c>
      <c r="EQ6" s="399" t="s">
        <v>538</v>
      </c>
      <c r="ER6" s="249" t="s">
        <v>544</v>
      </c>
      <c r="ES6" s="399" t="s">
        <v>364</v>
      </c>
      <c r="ET6" s="399" t="s">
        <v>310</v>
      </c>
      <c r="EU6" s="399" t="s">
        <v>543</v>
      </c>
      <c r="EV6" s="399" t="s">
        <v>254</v>
      </c>
      <c r="EW6" s="399" t="s">
        <v>148</v>
      </c>
      <c r="EX6" s="399" t="s">
        <v>401</v>
      </c>
      <c r="EY6" s="399" t="s">
        <v>386</v>
      </c>
      <c r="EZ6" s="249" t="s">
        <v>545</v>
      </c>
      <c r="FA6" s="249" t="s">
        <v>405</v>
      </c>
      <c r="FB6" s="399" t="s">
        <v>177</v>
      </c>
      <c r="FC6" s="399" t="s">
        <v>304</v>
      </c>
      <c r="FD6" s="399" t="s">
        <v>404</v>
      </c>
      <c r="FE6" s="399" t="s">
        <v>205</v>
      </c>
      <c r="FF6" s="399" t="s">
        <v>331</v>
      </c>
      <c r="FG6" s="399" t="s">
        <v>546</v>
      </c>
      <c r="FH6" s="399" t="s">
        <v>552</v>
      </c>
      <c r="FI6" s="399" t="s">
        <v>331</v>
      </c>
      <c r="FJ6" s="399" t="s">
        <v>548</v>
      </c>
      <c r="FK6" s="399" t="s">
        <v>496</v>
      </c>
      <c r="FL6" s="399" t="s">
        <v>555</v>
      </c>
      <c r="FM6" s="399" t="s">
        <v>478</v>
      </c>
      <c r="FN6" s="399" t="s">
        <v>419</v>
      </c>
      <c r="FO6" s="399" t="s">
        <v>554</v>
      </c>
      <c r="FP6" s="399" t="s">
        <v>549</v>
      </c>
      <c r="FQ6" s="399" t="s">
        <v>549</v>
      </c>
      <c r="FR6" s="399" t="s">
        <v>550</v>
      </c>
      <c r="FS6" s="399" t="s">
        <v>551</v>
      </c>
      <c r="FT6" s="399" t="s">
        <v>539</v>
      </c>
      <c r="FU6" s="1348"/>
      <c r="FV6" s="173"/>
      <c r="FW6" s="400"/>
      <c r="FX6" s="388"/>
      <c r="FY6" s="388"/>
      <c r="FZ6" s="398"/>
      <c r="GA6" s="398"/>
      <c r="GB6" s="398"/>
      <c r="GC6" s="398"/>
      <c r="GD6" s="398"/>
      <c r="GE6" s="398"/>
      <c r="GF6" s="398"/>
      <c r="GG6" s="398"/>
      <c r="GH6" s="397"/>
      <c r="GI6" s="493"/>
      <c r="GJ6" s="388"/>
      <c r="GK6" s="388"/>
      <c r="GL6" s="388"/>
      <c r="GM6" s="388"/>
      <c r="GN6" s="527"/>
      <c r="GO6" s="849" t="s">
        <v>132</v>
      </c>
      <c r="GP6" s="1355"/>
      <c r="GQ6" s="1312"/>
      <c r="GR6" s="1358"/>
      <c r="GS6" s="1353"/>
      <c r="GT6" s="1360"/>
      <c r="GU6" s="1342"/>
      <c r="GV6" s="1339"/>
      <c r="GW6" s="1334"/>
    </row>
    <row r="7" spans="1:205" s="15" customFormat="1" ht="18" customHeight="1" thickBot="1" x14ac:dyDescent="0.35">
      <c r="A7" s="1323"/>
      <c r="B7" s="131" t="s">
        <v>50</v>
      </c>
      <c r="C7" s="897">
        <v>2025</v>
      </c>
      <c r="D7" s="1329">
        <v>2026</v>
      </c>
      <c r="E7" s="1330"/>
      <c r="F7" s="1331"/>
      <c r="G7" s="187"/>
      <c r="H7" s="320">
        <v>46082</v>
      </c>
      <c r="I7" s="140">
        <v>46112</v>
      </c>
      <c r="J7" s="1346"/>
      <c r="K7" s="34">
        <v>46027</v>
      </c>
      <c r="L7" s="34">
        <v>46028</v>
      </c>
      <c r="M7" s="34">
        <v>46030</v>
      </c>
      <c r="N7" s="34">
        <v>46031</v>
      </c>
      <c r="O7" s="34">
        <v>46031</v>
      </c>
      <c r="P7" s="34">
        <v>46031</v>
      </c>
      <c r="Q7" s="34">
        <v>46031</v>
      </c>
      <c r="R7" s="34">
        <v>46034</v>
      </c>
      <c r="S7" s="34">
        <v>46035</v>
      </c>
      <c r="T7" s="34">
        <v>46035</v>
      </c>
      <c r="U7" s="34">
        <v>46035</v>
      </c>
      <c r="V7" s="34">
        <v>46036</v>
      </c>
      <c r="W7" s="34">
        <v>46036</v>
      </c>
      <c r="X7" s="34">
        <v>46037</v>
      </c>
      <c r="Y7" s="34">
        <v>46038</v>
      </c>
      <c r="Z7" s="34">
        <v>46041</v>
      </c>
      <c r="AA7" s="34">
        <v>46041</v>
      </c>
      <c r="AB7" s="34">
        <v>46042</v>
      </c>
      <c r="AC7" s="34">
        <v>46043</v>
      </c>
      <c r="AD7" s="34">
        <v>46044</v>
      </c>
      <c r="AE7" s="34">
        <v>46044</v>
      </c>
      <c r="AF7" s="34">
        <v>46044</v>
      </c>
      <c r="AG7" s="34">
        <v>46044</v>
      </c>
      <c r="AH7" s="34">
        <v>46045</v>
      </c>
      <c r="AI7" s="34">
        <v>46048</v>
      </c>
      <c r="AJ7" s="34">
        <v>46048</v>
      </c>
      <c r="AK7" s="34">
        <v>46048</v>
      </c>
      <c r="AL7" s="34">
        <v>46048</v>
      </c>
      <c r="AM7" s="34">
        <v>46049</v>
      </c>
      <c r="AN7" s="34">
        <v>46049</v>
      </c>
      <c r="AO7" s="34">
        <v>46049</v>
      </c>
      <c r="AP7" s="34">
        <v>46049</v>
      </c>
      <c r="AQ7" s="34">
        <v>46049</v>
      </c>
      <c r="AR7" s="34">
        <v>46050</v>
      </c>
      <c r="AS7" s="34">
        <v>46050</v>
      </c>
      <c r="AT7" s="34">
        <v>46050</v>
      </c>
      <c r="AU7" s="34">
        <v>46050</v>
      </c>
      <c r="AV7" s="34">
        <v>46050</v>
      </c>
      <c r="AW7" s="34">
        <v>46050</v>
      </c>
      <c r="AX7" s="34">
        <v>46050</v>
      </c>
      <c r="AY7" s="34">
        <v>46051</v>
      </c>
      <c r="AZ7" s="34">
        <v>46051</v>
      </c>
      <c r="BA7" s="34">
        <v>46051</v>
      </c>
      <c r="BB7" s="34">
        <v>46051</v>
      </c>
      <c r="BC7" s="34">
        <v>46051</v>
      </c>
      <c r="BD7" s="34">
        <v>46051</v>
      </c>
      <c r="BE7" s="34">
        <v>46051</v>
      </c>
      <c r="BF7" s="34">
        <v>46051</v>
      </c>
      <c r="BG7" s="34">
        <v>46052</v>
      </c>
      <c r="BH7" s="34">
        <v>46052</v>
      </c>
      <c r="BI7" s="34">
        <v>46052</v>
      </c>
      <c r="BJ7" s="157" t="s">
        <v>42</v>
      </c>
      <c r="BK7" s="1346"/>
      <c r="BL7" s="34">
        <v>46055</v>
      </c>
      <c r="BM7" s="34">
        <v>46055</v>
      </c>
      <c r="BN7" s="34">
        <v>46056</v>
      </c>
      <c r="BO7" s="34">
        <v>46056</v>
      </c>
      <c r="BP7" s="34">
        <v>46056</v>
      </c>
      <c r="BQ7" s="34">
        <v>46056</v>
      </c>
      <c r="BR7" s="34">
        <v>46057</v>
      </c>
      <c r="BS7" s="34">
        <v>46058</v>
      </c>
      <c r="BT7" s="34">
        <v>46058</v>
      </c>
      <c r="BU7" s="34">
        <v>46059</v>
      </c>
      <c r="BV7" s="34">
        <v>46059</v>
      </c>
      <c r="BW7" s="34">
        <v>46059</v>
      </c>
      <c r="BX7" s="34">
        <v>46059</v>
      </c>
      <c r="BY7" s="34">
        <v>46059</v>
      </c>
      <c r="BZ7" s="34">
        <v>46059</v>
      </c>
      <c r="CA7" s="34">
        <v>46059</v>
      </c>
      <c r="CB7" s="34">
        <v>46062</v>
      </c>
      <c r="CC7" s="34">
        <v>46062</v>
      </c>
      <c r="CD7" s="34">
        <v>46062</v>
      </c>
      <c r="CE7" s="34">
        <v>46063</v>
      </c>
      <c r="CF7" s="34">
        <v>46063</v>
      </c>
      <c r="CG7" s="34">
        <v>46064</v>
      </c>
      <c r="CH7" s="34">
        <v>46064</v>
      </c>
      <c r="CI7" s="34">
        <v>46064</v>
      </c>
      <c r="CJ7" s="34">
        <v>46065</v>
      </c>
      <c r="CK7" s="34">
        <v>46066</v>
      </c>
      <c r="CL7" s="34">
        <v>46066</v>
      </c>
      <c r="CM7" s="34">
        <v>46066</v>
      </c>
      <c r="CN7" s="34">
        <v>46066</v>
      </c>
      <c r="CO7" s="34">
        <v>46069</v>
      </c>
      <c r="CP7" s="34">
        <v>46069</v>
      </c>
      <c r="CQ7" s="34">
        <v>46069</v>
      </c>
      <c r="CR7" s="34">
        <v>46069</v>
      </c>
      <c r="CS7" s="34">
        <v>46069</v>
      </c>
      <c r="CT7" s="34">
        <v>46070</v>
      </c>
      <c r="CU7" s="34">
        <v>46071</v>
      </c>
      <c r="CV7" s="34">
        <v>46071</v>
      </c>
      <c r="CW7" s="34">
        <v>46071</v>
      </c>
      <c r="CX7" s="34">
        <v>46072</v>
      </c>
      <c r="CY7" s="34">
        <v>46072</v>
      </c>
      <c r="CZ7" s="34">
        <v>46073</v>
      </c>
      <c r="DA7" s="34">
        <v>46073</v>
      </c>
      <c r="DB7" s="34">
        <v>46073</v>
      </c>
      <c r="DC7" s="34">
        <v>46073</v>
      </c>
      <c r="DD7" s="34">
        <v>46076</v>
      </c>
      <c r="DE7" s="34">
        <v>46076</v>
      </c>
      <c r="DF7" s="34">
        <v>46076</v>
      </c>
      <c r="DG7" s="34">
        <v>46076</v>
      </c>
      <c r="DH7" s="34">
        <v>46076</v>
      </c>
      <c r="DI7" s="34">
        <v>46076</v>
      </c>
      <c r="DJ7" s="34">
        <v>46077</v>
      </c>
      <c r="DK7" s="34">
        <v>46077</v>
      </c>
      <c r="DL7" s="34">
        <v>46077</v>
      </c>
      <c r="DM7" s="34">
        <v>46078</v>
      </c>
      <c r="DN7" s="34">
        <v>46079</v>
      </c>
      <c r="DO7" s="34">
        <v>46079</v>
      </c>
      <c r="DP7" s="34">
        <v>46079</v>
      </c>
      <c r="DQ7" s="34">
        <v>46079</v>
      </c>
      <c r="DR7" s="34">
        <v>46079</v>
      </c>
      <c r="DS7" s="157" t="s">
        <v>43</v>
      </c>
      <c r="DT7" s="1351"/>
      <c r="DU7" s="34">
        <v>46083</v>
      </c>
      <c r="DV7" s="34">
        <v>46084</v>
      </c>
      <c r="DW7" s="34">
        <v>46084</v>
      </c>
      <c r="DX7" s="34">
        <v>46085</v>
      </c>
      <c r="DY7" s="34">
        <v>46085</v>
      </c>
      <c r="DZ7" s="34">
        <v>46086</v>
      </c>
      <c r="EA7" s="34">
        <v>46086</v>
      </c>
      <c r="EB7" s="34">
        <v>46087</v>
      </c>
      <c r="EC7" s="34">
        <v>46092</v>
      </c>
      <c r="ED7" s="34">
        <v>46092</v>
      </c>
      <c r="EE7" s="34">
        <v>46092</v>
      </c>
      <c r="EF7" s="34">
        <v>46092</v>
      </c>
      <c r="EG7" s="34">
        <v>46092</v>
      </c>
      <c r="EH7" s="34">
        <v>46092</v>
      </c>
      <c r="EI7" s="34">
        <v>46092</v>
      </c>
      <c r="EJ7" s="34">
        <v>46092</v>
      </c>
      <c r="EK7" s="34">
        <v>46093</v>
      </c>
      <c r="EL7" s="34">
        <v>46093</v>
      </c>
      <c r="EM7" s="34">
        <v>46093</v>
      </c>
      <c r="EN7" s="34">
        <v>46094</v>
      </c>
      <c r="EO7" s="34">
        <v>46097</v>
      </c>
      <c r="EP7" s="34">
        <v>46098</v>
      </c>
      <c r="EQ7" s="34">
        <v>46098</v>
      </c>
      <c r="ER7" s="34">
        <v>46098</v>
      </c>
      <c r="ES7" s="34">
        <v>46099</v>
      </c>
      <c r="ET7" s="34">
        <v>46099</v>
      </c>
      <c r="EU7" s="34">
        <v>46099</v>
      </c>
      <c r="EV7" s="34">
        <v>46099</v>
      </c>
      <c r="EW7" s="34">
        <v>46099</v>
      </c>
      <c r="EX7" s="34">
        <v>46100</v>
      </c>
      <c r="EY7" s="34">
        <v>46100</v>
      </c>
      <c r="EZ7" s="34">
        <v>46101</v>
      </c>
      <c r="FA7" s="34">
        <v>46104</v>
      </c>
      <c r="FB7" s="34">
        <v>46104</v>
      </c>
      <c r="FC7" s="34">
        <v>46104</v>
      </c>
      <c r="FD7" s="34">
        <v>46104</v>
      </c>
      <c r="FE7" s="34">
        <v>46105</v>
      </c>
      <c r="FF7" s="34">
        <v>46105</v>
      </c>
      <c r="FG7" s="34">
        <v>46106</v>
      </c>
      <c r="FH7" s="34">
        <v>46106</v>
      </c>
      <c r="FI7" s="34">
        <v>46106</v>
      </c>
      <c r="FJ7" s="34">
        <v>46107</v>
      </c>
      <c r="FK7" s="34">
        <v>46108</v>
      </c>
      <c r="FL7" s="34">
        <v>46108</v>
      </c>
      <c r="FM7" s="34">
        <v>46108</v>
      </c>
      <c r="FN7" s="34">
        <v>46108</v>
      </c>
      <c r="FO7" s="34">
        <v>46111</v>
      </c>
      <c r="FP7" s="34">
        <v>46111</v>
      </c>
      <c r="FQ7" s="34">
        <v>46112</v>
      </c>
      <c r="FR7" s="34">
        <v>46112</v>
      </c>
      <c r="FS7" s="34">
        <v>46112</v>
      </c>
      <c r="FT7" s="34">
        <v>46112</v>
      </c>
      <c r="FU7" s="157" t="s">
        <v>45</v>
      </c>
      <c r="FV7" s="95"/>
      <c r="FW7" s="785"/>
      <c r="FX7" s="658"/>
      <c r="FY7" s="658"/>
      <c r="FZ7" s="150"/>
      <c r="GA7" s="150"/>
      <c r="GB7" s="150"/>
      <c r="GC7" s="150"/>
      <c r="GD7" s="150"/>
      <c r="GE7" s="150"/>
      <c r="GF7" s="150"/>
      <c r="GG7" s="150"/>
      <c r="GH7" s="361"/>
      <c r="GI7" s="359"/>
      <c r="GJ7" s="150"/>
      <c r="GK7" s="150"/>
      <c r="GL7" s="150"/>
      <c r="GM7" s="150"/>
      <c r="GN7" s="430"/>
      <c r="GO7" s="434"/>
      <c r="GP7" s="1356"/>
      <c r="GQ7" s="1312"/>
      <c r="GR7" s="444">
        <f>I7</f>
        <v>46112</v>
      </c>
      <c r="GS7" s="1353"/>
      <c r="GT7" s="1360"/>
      <c r="GU7" s="1342"/>
      <c r="GV7" s="1339"/>
      <c r="GW7" s="1334"/>
    </row>
    <row r="8" spans="1:205" s="40" customFormat="1" ht="18" customHeight="1" thickBot="1" x14ac:dyDescent="0.35">
      <c r="A8" s="1323"/>
      <c r="B8" s="291" t="s">
        <v>49</v>
      </c>
      <c r="C8" s="898">
        <v>154.94999999999999</v>
      </c>
      <c r="D8" s="292">
        <f>BJ8</f>
        <v>113.19999999999997</v>
      </c>
      <c r="E8" s="293">
        <f>DS8</f>
        <v>148.79999999999998</v>
      </c>
      <c r="F8" s="380">
        <f>FU8</f>
        <v>108.19999999999997</v>
      </c>
      <c r="G8" s="884"/>
      <c r="H8" s="885"/>
      <c r="I8" s="886"/>
      <c r="J8" s="335"/>
      <c r="K8" s="882">
        <f>1*3</f>
        <v>3</v>
      </c>
      <c r="L8" s="876">
        <v>3</v>
      </c>
      <c r="M8" s="876">
        <f>1*8</f>
        <v>8</v>
      </c>
      <c r="N8" s="876">
        <v>3.5</v>
      </c>
      <c r="O8" s="876">
        <v>0.8</v>
      </c>
      <c r="P8" s="876">
        <f>1</f>
        <v>1</v>
      </c>
      <c r="Q8" s="876">
        <v>1.5</v>
      </c>
      <c r="R8" s="876">
        <f>1*3</f>
        <v>3</v>
      </c>
      <c r="S8" s="876">
        <f>1*1.6</f>
        <v>1.6</v>
      </c>
      <c r="T8" s="876">
        <v>1</v>
      </c>
      <c r="U8" s="876">
        <f>1*1.5</f>
        <v>1.5</v>
      </c>
      <c r="V8" s="876">
        <f>1*4</f>
        <v>4</v>
      </c>
      <c r="W8" s="876">
        <f>1*1.5</f>
        <v>1.5</v>
      </c>
      <c r="X8" s="876">
        <f>1*7</f>
        <v>7</v>
      </c>
      <c r="Y8" s="876">
        <f>1*3</f>
        <v>3</v>
      </c>
      <c r="Z8" s="876">
        <f>1*2</f>
        <v>2</v>
      </c>
      <c r="AA8" s="876">
        <f>1*4</f>
        <v>4</v>
      </c>
      <c r="AB8" s="876">
        <f>1*8</f>
        <v>8</v>
      </c>
      <c r="AC8" s="876">
        <f>1*6</f>
        <v>6</v>
      </c>
      <c r="AD8" s="876">
        <v>0.6</v>
      </c>
      <c r="AE8" s="876">
        <v>1.2</v>
      </c>
      <c r="AF8" s="876">
        <v>0.8</v>
      </c>
      <c r="AG8" s="876">
        <v>0.8</v>
      </c>
      <c r="AH8" s="876">
        <v>3</v>
      </c>
      <c r="AI8" s="876">
        <f>1*4</f>
        <v>4</v>
      </c>
      <c r="AJ8" s="876">
        <v>2.2999999999999998</v>
      </c>
      <c r="AK8" s="876">
        <v>1</v>
      </c>
      <c r="AL8" s="876">
        <v>0.6</v>
      </c>
      <c r="AM8" s="876">
        <v>0.8</v>
      </c>
      <c r="AN8" s="876">
        <v>1</v>
      </c>
      <c r="AO8" s="876">
        <f>1*2</f>
        <v>2</v>
      </c>
      <c r="AP8" s="384">
        <f>1*1.3</f>
        <v>1.3</v>
      </c>
      <c r="AQ8" s="876">
        <v>0.9</v>
      </c>
      <c r="AR8" s="876">
        <v>0.4</v>
      </c>
      <c r="AS8" s="876">
        <v>0.6</v>
      </c>
      <c r="AT8" s="876">
        <v>1</v>
      </c>
      <c r="AU8" s="876">
        <v>1</v>
      </c>
      <c r="AV8" s="876">
        <f>1</f>
        <v>1</v>
      </c>
      <c r="AW8" s="876">
        <v>3</v>
      </c>
      <c r="AX8" s="876">
        <f>1*1.2</f>
        <v>1.2</v>
      </c>
      <c r="AY8" s="384">
        <v>1.5</v>
      </c>
      <c r="AZ8" s="876">
        <v>2</v>
      </c>
      <c r="BA8" s="876">
        <v>2</v>
      </c>
      <c r="BB8" s="876">
        <v>1</v>
      </c>
      <c r="BC8" s="876">
        <f>0.3</f>
        <v>0.3</v>
      </c>
      <c r="BD8" s="876">
        <f>0.3/0.3</f>
        <v>1</v>
      </c>
      <c r="BE8" s="876">
        <v>1.5</v>
      </c>
      <c r="BF8" s="876">
        <v>0.3</v>
      </c>
      <c r="BG8" s="384">
        <f>10</f>
        <v>10</v>
      </c>
      <c r="BH8" s="384">
        <f>1*0.6</f>
        <v>0.6</v>
      </c>
      <c r="BI8" s="384">
        <f>1*1.1</f>
        <v>1.1000000000000001</v>
      </c>
      <c r="BJ8" s="883">
        <f t="shared" ref="BJ8:BJ17" si="0">SUM(K8:BI8)</f>
        <v>113.19999999999997</v>
      </c>
      <c r="BK8" s="134"/>
      <c r="BL8" s="929">
        <v>5</v>
      </c>
      <c r="BM8" s="876">
        <f>1*2.5</f>
        <v>2.5</v>
      </c>
      <c r="BN8" s="876">
        <f>1*1.5</f>
        <v>1.5</v>
      </c>
      <c r="BO8" s="876">
        <f>1*2.4</f>
        <v>2.4</v>
      </c>
      <c r="BP8" s="876">
        <v>1</v>
      </c>
      <c r="BQ8" s="384">
        <f>1*3</f>
        <v>3</v>
      </c>
      <c r="BR8" s="876">
        <v>5</v>
      </c>
      <c r="BS8" s="876">
        <f>1*5.4</f>
        <v>5.4</v>
      </c>
      <c r="BT8" s="876">
        <v>3</v>
      </c>
      <c r="BU8" s="876">
        <f>1*1.9</f>
        <v>1.9</v>
      </c>
      <c r="BV8" s="876">
        <v>0.5</v>
      </c>
      <c r="BW8" s="876">
        <v>0.3</v>
      </c>
      <c r="BX8" s="876">
        <f>1*2.1</f>
        <v>2.1</v>
      </c>
      <c r="BY8" s="876">
        <f>1*2</f>
        <v>2</v>
      </c>
      <c r="BZ8" s="876">
        <v>1</v>
      </c>
      <c r="CA8" s="876">
        <f>1*4</f>
        <v>4</v>
      </c>
      <c r="CB8" s="876">
        <f>1*3</f>
        <v>3</v>
      </c>
      <c r="CC8" s="876">
        <f>1.2/1.2*3</f>
        <v>3</v>
      </c>
      <c r="CD8" s="876">
        <f>1*4</f>
        <v>4</v>
      </c>
      <c r="CE8" s="876">
        <v>1</v>
      </c>
      <c r="CF8" s="876">
        <f>8/8*6</f>
        <v>6</v>
      </c>
      <c r="CG8" s="876">
        <v>0.3</v>
      </c>
      <c r="CH8" s="876">
        <f>1*0.6</f>
        <v>0.6</v>
      </c>
      <c r="CI8" s="876">
        <v>1.5</v>
      </c>
      <c r="CJ8" s="876">
        <v>3</v>
      </c>
      <c r="CK8" s="876">
        <f>0.8/0.8*0.9</f>
        <v>0.9</v>
      </c>
      <c r="CL8" s="876">
        <f>0.6/0.6*0.9</f>
        <v>0.9</v>
      </c>
      <c r="CM8" s="384">
        <v>0.6</v>
      </c>
      <c r="CN8" s="384">
        <v>3.5</v>
      </c>
      <c r="CO8" s="876">
        <f>1*2</f>
        <v>2</v>
      </c>
      <c r="CP8" s="876">
        <f>1*0.3</f>
        <v>0.3</v>
      </c>
      <c r="CQ8" s="876">
        <v>3</v>
      </c>
      <c r="CR8" s="876">
        <v>1</v>
      </c>
      <c r="CS8" s="333">
        <v>2</v>
      </c>
      <c r="CT8" s="475">
        <v>9</v>
      </c>
      <c r="CU8" s="475">
        <v>4</v>
      </c>
      <c r="CV8" s="475">
        <v>5</v>
      </c>
      <c r="CW8" s="876">
        <v>3</v>
      </c>
      <c r="CX8" s="384">
        <f>10</f>
        <v>10</v>
      </c>
      <c r="CY8" s="876">
        <v>0.1</v>
      </c>
      <c r="CZ8" s="876">
        <f>0.8/0.8*3</f>
        <v>3</v>
      </c>
      <c r="DA8" s="384">
        <f>1.3/1.3*1.5</f>
        <v>1.5</v>
      </c>
      <c r="DB8" s="876">
        <f>1*2</f>
        <v>2</v>
      </c>
      <c r="DC8" s="876">
        <f>4/4*4.5</f>
        <v>4.5</v>
      </c>
      <c r="DD8" s="876">
        <v>3</v>
      </c>
      <c r="DE8" s="876">
        <v>1</v>
      </c>
      <c r="DF8" s="876">
        <f>1*0.6</f>
        <v>0.6</v>
      </c>
      <c r="DG8" s="876">
        <v>1</v>
      </c>
      <c r="DH8" s="876">
        <f>1</f>
        <v>1</v>
      </c>
      <c r="DI8" s="876">
        <f>8/8</f>
        <v>1</v>
      </c>
      <c r="DJ8" s="876">
        <f>1.6/1.6*1.5</f>
        <v>1.5</v>
      </c>
      <c r="DK8" s="876">
        <v>0.3</v>
      </c>
      <c r="DL8" s="876">
        <f>1*3</f>
        <v>3</v>
      </c>
      <c r="DM8" s="876">
        <f>1*3</f>
        <v>3</v>
      </c>
      <c r="DN8" s="876">
        <v>1</v>
      </c>
      <c r="DO8" s="876">
        <f>1*4</f>
        <v>4</v>
      </c>
      <c r="DP8" s="876">
        <f>8/8*7.5</f>
        <v>7.5</v>
      </c>
      <c r="DQ8" s="876">
        <f>1*1.5</f>
        <v>1.5</v>
      </c>
      <c r="DR8" s="876">
        <v>0.1</v>
      </c>
      <c r="DS8" s="477">
        <f t="shared" ref="DS8:DS17" si="1">SUM(BL8:DR8)</f>
        <v>148.79999999999998</v>
      </c>
      <c r="DT8" s="135"/>
      <c r="DU8" s="876">
        <v>2.4</v>
      </c>
      <c r="DV8" s="876">
        <v>1.5</v>
      </c>
      <c r="DW8" s="876">
        <v>0.3</v>
      </c>
      <c r="DX8" s="876">
        <f>0.8/0.8*0.9</f>
        <v>0.9</v>
      </c>
      <c r="DY8" s="876">
        <f>1*1.3</f>
        <v>1.3</v>
      </c>
      <c r="DZ8" s="876">
        <v>0.3</v>
      </c>
      <c r="EA8" s="876">
        <v>3.6</v>
      </c>
      <c r="EB8" s="876">
        <f>1*10</f>
        <v>10</v>
      </c>
      <c r="EC8" s="876">
        <v>1</v>
      </c>
      <c r="ED8" s="876">
        <v>0.6</v>
      </c>
      <c r="EE8" s="876">
        <v>0.4</v>
      </c>
      <c r="EF8" s="876">
        <v>1</v>
      </c>
      <c r="EG8" s="876">
        <f>0.3/0.3*0.6</f>
        <v>0.6</v>
      </c>
      <c r="EH8" s="876">
        <v>0.3</v>
      </c>
      <c r="EI8" s="384">
        <f>1*0.8</f>
        <v>0.8</v>
      </c>
      <c r="EJ8" s="384">
        <f>1*1.5</f>
        <v>1.5</v>
      </c>
      <c r="EK8" s="876">
        <v>1</v>
      </c>
      <c r="EL8" s="876">
        <v>1</v>
      </c>
      <c r="EM8" s="876">
        <v>3</v>
      </c>
      <c r="EN8" s="876">
        <f>8/8*5</f>
        <v>5</v>
      </c>
      <c r="EO8" s="876">
        <f>1*5</f>
        <v>5</v>
      </c>
      <c r="EP8" s="876">
        <f>1*2</f>
        <v>2</v>
      </c>
      <c r="EQ8" s="876">
        <v>3</v>
      </c>
      <c r="ER8" s="384">
        <f>1*0.3</f>
        <v>0.3</v>
      </c>
      <c r="ES8" s="876">
        <f>1*3</f>
        <v>3</v>
      </c>
      <c r="ET8" s="876">
        <v>0.6</v>
      </c>
      <c r="EU8" s="876">
        <v>0.9</v>
      </c>
      <c r="EV8" s="876">
        <v>0.5</v>
      </c>
      <c r="EW8" s="876">
        <f>1*2</f>
        <v>2</v>
      </c>
      <c r="EX8" s="876">
        <f>4/4*5</f>
        <v>5</v>
      </c>
      <c r="EY8" s="384">
        <f>1.3/1.3*2</f>
        <v>2</v>
      </c>
      <c r="EZ8" s="1020">
        <v>5</v>
      </c>
      <c r="FA8" s="1021">
        <v>2</v>
      </c>
      <c r="FB8" s="876">
        <f>0.6/0.6*1.2</f>
        <v>1.2</v>
      </c>
      <c r="FC8" s="876">
        <v>3</v>
      </c>
      <c r="FD8" s="876">
        <v>3</v>
      </c>
      <c r="FE8" s="876">
        <f>0.8/0.8*2.5</f>
        <v>2.5</v>
      </c>
      <c r="FF8" s="876">
        <f>1.5/1.5*1.1</f>
        <v>1.1000000000000001</v>
      </c>
      <c r="FG8" s="876">
        <v>4</v>
      </c>
      <c r="FH8" s="876">
        <f>0.3/0.3*0.1</f>
        <v>0.1</v>
      </c>
      <c r="FI8" s="876">
        <f>1.5/1.5*0.6</f>
        <v>0.6</v>
      </c>
      <c r="FJ8" s="876">
        <f>1*10</f>
        <v>10</v>
      </c>
      <c r="FK8" s="876">
        <v>3</v>
      </c>
      <c r="FL8" s="384">
        <f>1*0.7</f>
        <v>0.7</v>
      </c>
      <c r="FM8" s="876">
        <v>1</v>
      </c>
      <c r="FN8" s="876">
        <f>0.5/0.5*0.6</f>
        <v>0.6</v>
      </c>
      <c r="FO8" s="876">
        <f>1*1.2</f>
        <v>1.2</v>
      </c>
      <c r="FP8" s="384">
        <f>3</f>
        <v>3</v>
      </c>
      <c r="FQ8" s="384">
        <f>3</f>
        <v>3</v>
      </c>
      <c r="FR8" s="876">
        <v>0.8</v>
      </c>
      <c r="FS8" s="876">
        <f>1</f>
        <v>1</v>
      </c>
      <c r="FT8" s="876">
        <f>0.3/0.3*0.6</f>
        <v>0.6</v>
      </c>
      <c r="FU8" s="429">
        <f t="shared" ref="FU8:FU17" si="2">SUM(DU8:FT8)</f>
        <v>108.19999999999997</v>
      </c>
      <c r="FV8" s="95"/>
      <c r="FW8" s="875"/>
      <c r="FX8" s="384"/>
      <c r="FY8" s="384"/>
      <c r="FZ8" s="876"/>
      <c r="GA8" s="384"/>
      <c r="GB8" s="876"/>
      <c r="GC8" s="876"/>
      <c r="GD8" s="876"/>
      <c r="GE8" s="876"/>
      <c r="GF8" s="876"/>
      <c r="GG8" s="876"/>
      <c r="GH8" s="928"/>
      <c r="GI8" s="479"/>
      <c r="GJ8" s="1017"/>
      <c r="GK8" s="481"/>
      <c r="GL8" s="480"/>
      <c r="GM8" s="481"/>
      <c r="GN8" s="482"/>
      <c r="GO8" s="483"/>
      <c r="GP8" s="529">
        <f t="shared" ref="GP8:GP17" si="3">SUM(FW8:GO8)</f>
        <v>0</v>
      </c>
      <c r="GQ8" s="528"/>
      <c r="GR8" s="923"/>
      <c r="GS8" s="922"/>
      <c r="GT8" s="486"/>
      <c r="GU8" s="1343"/>
      <c r="GV8" s="1339"/>
      <c r="GW8" s="1334"/>
    </row>
    <row r="9" spans="1:205" ht="15" customHeight="1" x14ac:dyDescent="0.3">
      <c r="A9" s="126">
        <v>1</v>
      </c>
      <c r="B9" s="687" t="s">
        <v>422</v>
      </c>
      <c r="C9" s="899">
        <v>90.47</v>
      </c>
      <c r="D9" s="512">
        <f>29.41+30.6</f>
        <v>60.010000000000005</v>
      </c>
      <c r="E9" s="504">
        <v>87.74</v>
      </c>
      <c r="F9" s="296">
        <f>63.591</f>
        <v>63.591000000000001</v>
      </c>
      <c r="G9" s="720">
        <f>ROUND(AVERAGE(D9:F9),3)</f>
        <v>70.447000000000003</v>
      </c>
      <c r="H9" s="93">
        <v>81.66</v>
      </c>
      <c r="I9" s="93">
        <f>18.069+75+125</f>
        <v>218.06900000000002</v>
      </c>
      <c r="J9" s="335"/>
      <c r="K9" s="319">
        <f>0.675*3</f>
        <v>2.0250000000000004</v>
      </c>
      <c r="L9" s="319">
        <v>2.0259999999999998</v>
      </c>
      <c r="M9" s="319">
        <f>0.842*8</f>
        <v>6.7359999999999998</v>
      </c>
      <c r="N9" s="319">
        <v>0.88200000000000001</v>
      </c>
      <c r="O9" s="319">
        <v>0.52800000000000002</v>
      </c>
      <c r="P9" s="319">
        <f>0.202</f>
        <v>0.20200000000000001</v>
      </c>
      <c r="Q9" s="319"/>
      <c r="R9" s="319">
        <f>0.181*3</f>
        <v>0.54299999999999993</v>
      </c>
      <c r="S9" s="319"/>
      <c r="T9" s="319">
        <f>0.66</f>
        <v>0.66</v>
      </c>
      <c r="U9" s="319">
        <f>0.181*1.5</f>
        <v>0.27149999999999996</v>
      </c>
      <c r="V9" s="319">
        <f>0.181*4</f>
        <v>0.72399999999999998</v>
      </c>
      <c r="W9" s="319">
        <f>0.675*1.5</f>
        <v>1.0125000000000002</v>
      </c>
      <c r="X9" s="319">
        <f>0.181*7</f>
        <v>1.2669999999999999</v>
      </c>
      <c r="Y9" s="319"/>
      <c r="Z9" s="319">
        <f>0.181*2</f>
        <v>0.36199999999999999</v>
      </c>
      <c r="AA9" s="319">
        <f>0.181*4</f>
        <v>0.72399999999999998</v>
      </c>
      <c r="AB9" s="319">
        <f>0.181*8</f>
        <v>1.448</v>
      </c>
      <c r="AC9" s="319">
        <f>0.842*6</f>
        <v>5.0519999999999996</v>
      </c>
      <c r="AD9" s="319"/>
      <c r="AE9" s="319">
        <v>1.5720000000000001</v>
      </c>
      <c r="AF9" s="319">
        <v>0.14000000000000001</v>
      </c>
      <c r="AG9" s="319">
        <v>0.14000000000000001</v>
      </c>
      <c r="AH9" s="319">
        <v>0.54400000000000004</v>
      </c>
      <c r="AI9" s="319">
        <f>1.008*4</f>
        <v>4.032</v>
      </c>
      <c r="AJ9" s="319">
        <v>6.0279999999999996</v>
      </c>
      <c r="AK9" s="319">
        <v>0.30199999999999999</v>
      </c>
      <c r="AL9" s="319">
        <v>0.109</v>
      </c>
      <c r="AM9" s="319">
        <v>0.42699999999999999</v>
      </c>
      <c r="AN9" s="319">
        <v>0.70599999999999996</v>
      </c>
      <c r="AO9" s="319">
        <f>0.534*2</f>
        <v>1.0680000000000001</v>
      </c>
      <c r="AP9" s="245">
        <f>0.66*1.3</f>
        <v>0.8580000000000001</v>
      </c>
      <c r="AQ9" s="319">
        <v>0.16300000000000001</v>
      </c>
      <c r="AR9" s="319">
        <v>7.0000000000000007E-2</v>
      </c>
      <c r="AS9" s="319">
        <v>0.105</v>
      </c>
      <c r="AT9" s="319">
        <v>2.621</v>
      </c>
      <c r="AU9" s="319">
        <v>0.18099999999999999</v>
      </c>
      <c r="AV9" s="319">
        <f>0.66</f>
        <v>0.66</v>
      </c>
      <c r="AW9" s="319">
        <v>2.0259999999999998</v>
      </c>
      <c r="AX9" s="319">
        <f>0.675*1.2</f>
        <v>0.81</v>
      </c>
      <c r="AY9" s="319">
        <v>1.966</v>
      </c>
      <c r="AZ9" s="319">
        <v>0.308</v>
      </c>
      <c r="BA9" s="319">
        <v>0.31</v>
      </c>
      <c r="BB9" s="319">
        <v>0.18099999999999999</v>
      </c>
      <c r="BC9" s="319"/>
      <c r="BD9" s="319">
        <f>0.198/0.3</f>
        <v>0.66</v>
      </c>
      <c r="BE9" s="319">
        <v>0.378</v>
      </c>
      <c r="BF9" s="319">
        <v>0.151</v>
      </c>
      <c r="BG9" s="319">
        <f>8.417</f>
        <v>8.4169999999999998</v>
      </c>
      <c r="BH9" s="319">
        <f>0.66*0.6</f>
        <v>0.39600000000000002</v>
      </c>
      <c r="BI9" s="319">
        <f>0.181*1.1</f>
        <v>0.1991</v>
      </c>
      <c r="BJ9" s="158">
        <f t="shared" si="0"/>
        <v>59.991099999999996</v>
      </c>
      <c r="BK9" s="335"/>
      <c r="BL9" s="319">
        <v>2.52</v>
      </c>
      <c r="BM9" s="319"/>
      <c r="BN9" s="319">
        <f>0.66*1.5</f>
        <v>0.99</v>
      </c>
      <c r="BO9" s="319">
        <f>0.675*2.4</f>
        <v>1.62</v>
      </c>
      <c r="BP9" s="319">
        <v>0.66</v>
      </c>
      <c r="BQ9" s="319">
        <f>0.675*3</f>
        <v>2.0250000000000004</v>
      </c>
      <c r="BR9" s="319"/>
      <c r="BS9" s="319">
        <f>0.181*5.4</f>
        <v>0.97740000000000005</v>
      </c>
      <c r="BT9" s="319">
        <v>2.0259999999999998</v>
      </c>
      <c r="BU9" s="319">
        <f>0.675*1.9</f>
        <v>1.2825</v>
      </c>
      <c r="BV9" s="319">
        <v>0.33</v>
      </c>
      <c r="BW9" s="319">
        <v>0.17199999999999999</v>
      </c>
      <c r="BX9" s="319">
        <f>0.181*2.1</f>
        <v>0.38009999999999999</v>
      </c>
      <c r="BY9" s="319">
        <f>0.181*2</f>
        <v>0.36199999999999999</v>
      </c>
      <c r="BZ9" s="319">
        <f>0.66</f>
        <v>0.66</v>
      </c>
      <c r="CA9" s="319">
        <f>0.181*4</f>
        <v>0.72399999999999998</v>
      </c>
      <c r="CB9" s="319">
        <f>0.675*3</f>
        <v>2.0250000000000004</v>
      </c>
      <c r="CC9" s="319">
        <f>0.81/1.2*3</f>
        <v>2.0250000000000004</v>
      </c>
      <c r="CD9" s="319">
        <f>0.181*4</f>
        <v>0.72399999999999998</v>
      </c>
      <c r="CE9" s="319">
        <v>0.66</v>
      </c>
      <c r="CF9" s="319">
        <f>1.452/8*6</f>
        <v>1.089</v>
      </c>
      <c r="CG9" s="319">
        <v>0.19800000000000001</v>
      </c>
      <c r="CH9" s="319">
        <f>0.202*0.6</f>
        <v>0.1212</v>
      </c>
      <c r="CI9" s="319"/>
      <c r="CJ9" s="319"/>
      <c r="CK9" s="319">
        <f>0.427/0.8*0.9</f>
        <v>0.48037499999999994</v>
      </c>
      <c r="CL9" s="319">
        <f>0.109/0.6*0.9</f>
        <v>0.16350000000000001</v>
      </c>
      <c r="CM9" s="319">
        <v>0.109</v>
      </c>
      <c r="CN9" s="319">
        <v>0.88200000000000001</v>
      </c>
      <c r="CO9" s="319">
        <f>0.181*2</f>
        <v>0.36199999999999999</v>
      </c>
      <c r="CP9" s="319">
        <f>0.66*0.3</f>
        <v>0.19800000000000001</v>
      </c>
      <c r="CQ9" s="319">
        <v>2.0259999999999998</v>
      </c>
      <c r="CR9" s="319">
        <v>0.66</v>
      </c>
      <c r="CS9" s="336">
        <v>3.024</v>
      </c>
      <c r="CT9" s="342">
        <v>23.587</v>
      </c>
      <c r="CU9" s="342">
        <v>2.867</v>
      </c>
      <c r="CV9" s="342">
        <v>1.008</v>
      </c>
      <c r="CW9" s="319">
        <v>4.5359999999999996</v>
      </c>
      <c r="CX9" s="319">
        <f>8.417</f>
        <v>8.4169999999999998</v>
      </c>
      <c r="CY9" s="319">
        <v>0.111</v>
      </c>
      <c r="CZ9" s="319">
        <f>0.427/0.8*3</f>
        <v>1.6012499999999998</v>
      </c>
      <c r="DA9" s="245">
        <f>0.858/1.3*1.5</f>
        <v>0.98999999999999988</v>
      </c>
      <c r="DB9" s="319">
        <f>0.302*2</f>
        <v>0.60399999999999998</v>
      </c>
      <c r="DC9" s="319">
        <f>4.032/4*4.5</f>
        <v>4.5359999999999996</v>
      </c>
      <c r="DD9" s="319">
        <v>0.54400000000000004</v>
      </c>
      <c r="DE9" s="319">
        <v>0.70599999999999996</v>
      </c>
      <c r="DF9" s="319">
        <f>0.181*0.6</f>
        <v>0.10859999999999999</v>
      </c>
      <c r="DG9" s="319">
        <f>0.66</f>
        <v>0.66</v>
      </c>
      <c r="DH9" s="319">
        <f>0.181</f>
        <v>0.18099999999999999</v>
      </c>
      <c r="DI9" s="319">
        <f>1.452/8</f>
        <v>0.18149999999999999</v>
      </c>
      <c r="DJ9" s="319"/>
      <c r="DK9" s="319">
        <v>0.151</v>
      </c>
      <c r="DL9" s="319">
        <f>0.675*3</f>
        <v>2.0250000000000004</v>
      </c>
      <c r="DM9" s="319">
        <f>0.675*3</f>
        <v>2.0250000000000004</v>
      </c>
      <c r="DN9" s="319">
        <f>0.66</f>
        <v>0.66</v>
      </c>
      <c r="DO9" s="319">
        <f>0.181*4</f>
        <v>0.72399999999999998</v>
      </c>
      <c r="DP9" s="319">
        <f>1.452/8*7.5</f>
        <v>1.3612500000000001</v>
      </c>
      <c r="DQ9" s="319">
        <f>0.383*1.5</f>
        <v>0.57450000000000001</v>
      </c>
      <c r="DR9" s="319">
        <v>0.06</v>
      </c>
      <c r="DS9" s="417">
        <f t="shared" si="1"/>
        <v>87.695174999999992</v>
      </c>
      <c r="DT9" s="340"/>
      <c r="DU9" s="319">
        <v>1.621</v>
      </c>
      <c r="DV9" s="319">
        <v>1.0129999999999999</v>
      </c>
      <c r="DW9" s="319">
        <v>0.19800000000000001</v>
      </c>
      <c r="DX9" s="319">
        <f>0.427/0.8*0.9</f>
        <v>0.48037499999999994</v>
      </c>
      <c r="DY9" s="319">
        <f>0.66*1.3</f>
        <v>0.8580000000000001</v>
      </c>
      <c r="DZ9" s="319"/>
      <c r="EA9" s="319">
        <f>0.726</f>
        <v>0.72599999999999998</v>
      </c>
      <c r="EB9" s="319">
        <f>0.842*10</f>
        <v>8.42</v>
      </c>
      <c r="EC9" s="319">
        <v>2.621</v>
      </c>
      <c r="ED9" s="319">
        <v>0.105</v>
      </c>
      <c r="EE9" s="319">
        <v>7.0000000000000007E-2</v>
      </c>
      <c r="EF9" s="319">
        <v>0.18099999999999999</v>
      </c>
      <c r="EG9" s="319">
        <f>0.172/0.3*0.6</f>
        <v>0.34400000000000003</v>
      </c>
      <c r="EH9" s="319">
        <v>0.20300000000000001</v>
      </c>
      <c r="EI9" s="319">
        <f>0.66*0.8</f>
        <v>0.52800000000000002</v>
      </c>
      <c r="EJ9" s="319">
        <f>0.181*1.5</f>
        <v>0.27149999999999996</v>
      </c>
      <c r="EK9" s="319">
        <v>0.18099999999999999</v>
      </c>
      <c r="EL9" s="319">
        <v>0.18099999999999999</v>
      </c>
      <c r="EM9" s="319">
        <v>0.75600000000000001</v>
      </c>
      <c r="EN9" s="319">
        <f>1.452/8*5</f>
        <v>0.90749999999999997</v>
      </c>
      <c r="EO9" s="319">
        <f>0.66*5</f>
        <v>3.3000000000000003</v>
      </c>
      <c r="EP9" s="319">
        <f>0.181*2</f>
        <v>0.36199999999999999</v>
      </c>
      <c r="EQ9" s="319">
        <v>2.0259999999999998</v>
      </c>
      <c r="ER9" s="245">
        <f>0.252*0.3</f>
        <v>7.5600000000000001E-2</v>
      </c>
      <c r="ES9" s="319">
        <f>0.181*3</f>
        <v>0.54299999999999993</v>
      </c>
      <c r="ET9" s="319">
        <v>0.109</v>
      </c>
      <c r="EU9" s="319">
        <v>0.16300000000000001</v>
      </c>
      <c r="EV9" s="319">
        <v>0.35299999999999998</v>
      </c>
      <c r="EW9" s="319">
        <f>0.302*2</f>
        <v>0.60399999999999998</v>
      </c>
      <c r="EX9" s="319">
        <f>4.032/4*5</f>
        <v>5.04</v>
      </c>
      <c r="EY9" s="245">
        <f>0.858/1.3*2</f>
        <v>1.3199999999999998</v>
      </c>
      <c r="EZ9" s="24">
        <v>1.008</v>
      </c>
      <c r="FA9" s="33">
        <v>3.024</v>
      </c>
      <c r="FB9" s="319">
        <f>0.121/0.6*1.2</f>
        <v>0.24199999999999999</v>
      </c>
      <c r="FC9" s="319">
        <v>3.024</v>
      </c>
      <c r="FD9" s="319">
        <v>0.54400000000000004</v>
      </c>
      <c r="FE9" s="319">
        <f>0.427/0.8*2.5</f>
        <v>1.3343749999999999</v>
      </c>
      <c r="FF9" s="319">
        <f>1.013/1.5*1.1</f>
        <v>0.74286666666666656</v>
      </c>
      <c r="FG9" s="319">
        <v>2.7010000000000001</v>
      </c>
      <c r="FH9" s="319">
        <f>0.003/0.3*0.1</f>
        <v>1E-3</v>
      </c>
      <c r="FI9" s="319">
        <f>1.013/1.5*0.6</f>
        <v>0.40519999999999995</v>
      </c>
      <c r="FJ9" s="319">
        <f>0.842*10</f>
        <v>8.42</v>
      </c>
      <c r="FK9" s="319">
        <f>2.026</f>
        <v>2.0259999999999998</v>
      </c>
      <c r="FL9" s="319">
        <f>0.66*0.7</f>
        <v>0.46199999999999997</v>
      </c>
      <c r="FM9" s="319">
        <v>0.66</v>
      </c>
      <c r="FN9" s="319">
        <f>0.101/0.5*0.6</f>
        <v>0.1212</v>
      </c>
      <c r="FO9" s="319">
        <f>0.181*1.2</f>
        <v>0.21719999999999998</v>
      </c>
      <c r="FP9" s="319">
        <f>2.026</f>
        <v>2.0259999999999998</v>
      </c>
      <c r="FQ9" s="319">
        <f>2.026</f>
        <v>2.0259999999999998</v>
      </c>
      <c r="FR9" s="319">
        <v>0.52800000000000002</v>
      </c>
      <c r="FS9" s="319">
        <f>0.181</f>
        <v>0.18099999999999999</v>
      </c>
      <c r="FT9" s="319">
        <f>0.172/0.3*0.6</f>
        <v>0.34400000000000003</v>
      </c>
      <c r="FU9" s="251">
        <f t="shared" si="2"/>
        <v>63.598816666666664</v>
      </c>
      <c r="FV9" s="95"/>
      <c r="FW9" s="245"/>
      <c r="FX9" s="245"/>
      <c r="FY9" s="245"/>
      <c r="FZ9" s="319"/>
      <c r="GA9" s="319"/>
      <c r="GB9" s="319"/>
      <c r="GC9" s="319"/>
      <c r="GD9" s="319"/>
      <c r="GE9" s="319"/>
      <c r="GF9" s="319"/>
      <c r="GG9" s="319"/>
      <c r="GH9" s="28"/>
      <c r="GI9" s="341"/>
      <c r="GJ9" s="245"/>
      <c r="GK9" s="336"/>
      <c r="GL9" s="342"/>
      <c r="GM9" s="336"/>
      <c r="GN9" s="337"/>
      <c r="GO9" s="489"/>
      <c r="GP9" s="490">
        <f t="shared" si="3"/>
        <v>0</v>
      </c>
      <c r="GQ9" s="445">
        <f t="shared" ref="GQ9:GQ17" si="4">I9-GP9</f>
        <v>218.06900000000002</v>
      </c>
      <c r="GR9" s="448">
        <f t="shared" ref="GR9:GR17" si="5">I9</f>
        <v>218.06900000000002</v>
      </c>
      <c r="GS9" s="450">
        <f t="shared" ref="GS9:GS17" si="6">G9</f>
        <v>70.447000000000003</v>
      </c>
      <c r="GT9" s="163">
        <f t="shared" ref="GT9:GT17" si="7">E9</f>
        <v>87.74</v>
      </c>
      <c r="GU9" s="36" t="str">
        <f t="shared" ref="GU9:GU17" si="8">B9</f>
        <v>вит А 1000</v>
      </c>
      <c r="GV9" s="944"/>
    </row>
    <row r="10" spans="1:205" ht="15" customHeight="1" x14ac:dyDescent="0.3">
      <c r="A10" s="127">
        <f>A9+1</f>
        <v>2</v>
      </c>
      <c r="B10" s="688" t="s">
        <v>423</v>
      </c>
      <c r="C10" s="899">
        <f>28.8+3.75+5.23</f>
        <v>37.78</v>
      </c>
      <c r="D10" s="513">
        <f>0.01+26.35</f>
        <v>26.360000000000003</v>
      </c>
      <c r="E10" s="192">
        <v>36.554000000000002</v>
      </c>
      <c r="F10" s="200">
        <f>31.021+4.2</f>
        <v>35.221000000000004</v>
      </c>
      <c r="G10" s="92">
        <f t="shared" ref="G10:G46" si="9">ROUND(AVERAGE(D10:F10),3)</f>
        <v>32.712000000000003</v>
      </c>
      <c r="H10" s="93">
        <v>31.866</v>
      </c>
      <c r="I10" s="93">
        <f>0.845+95.8</f>
        <v>96.644999999999996</v>
      </c>
      <c r="J10" s="94"/>
      <c r="K10" s="319">
        <f>0.397*3</f>
        <v>1.1910000000000001</v>
      </c>
      <c r="L10" s="319">
        <v>1.1919999999999999</v>
      </c>
      <c r="M10" s="319">
        <f>0.407*8</f>
        <v>3.2559999999999998</v>
      </c>
      <c r="N10" s="319">
        <v>0.38</v>
      </c>
      <c r="O10" s="319">
        <v>0.248</v>
      </c>
      <c r="P10" s="319">
        <f>0.097</f>
        <v>9.7000000000000003E-2</v>
      </c>
      <c r="Q10" s="319">
        <v>0.11600000000000001</v>
      </c>
      <c r="R10" s="319">
        <f>0.097*3</f>
        <v>0.29100000000000004</v>
      </c>
      <c r="S10" s="319"/>
      <c r="T10" s="319">
        <f>0.31</f>
        <v>0.31</v>
      </c>
      <c r="U10" s="319">
        <f>0.097*1.5</f>
        <v>0.14550000000000002</v>
      </c>
      <c r="V10" s="319">
        <f>0.097*4</f>
        <v>0.38800000000000001</v>
      </c>
      <c r="W10" s="319">
        <f>0.397*1.5</f>
        <v>0.59550000000000003</v>
      </c>
      <c r="X10" s="319">
        <f>0.097*7</f>
        <v>0.67900000000000005</v>
      </c>
      <c r="Y10" s="319"/>
      <c r="Z10" s="319">
        <f>0.097*2</f>
        <v>0.19400000000000001</v>
      </c>
      <c r="AA10" s="319">
        <f>0.097*4</f>
        <v>0.38800000000000001</v>
      </c>
      <c r="AB10" s="319">
        <f>0.097*8</f>
        <v>0.77600000000000002</v>
      </c>
      <c r="AC10" s="319">
        <f>0.407*6</f>
        <v>2.4419999999999997</v>
      </c>
      <c r="AD10" s="319"/>
      <c r="AE10" s="319">
        <v>0.34899999999999998</v>
      </c>
      <c r="AF10" s="319">
        <v>3.1E-2</v>
      </c>
      <c r="AG10" s="319">
        <v>3.1E-2</v>
      </c>
      <c r="AH10" s="319">
        <v>0.29099999999999998</v>
      </c>
      <c r="AI10" s="319">
        <f>0.397*4</f>
        <v>1.5880000000000001</v>
      </c>
      <c r="AJ10" s="319">
        <v>1.56</v>
      </c>
      <c r="AK10" s="319">
        <v>0.16500000000000001</v>
      </c>
      <c r="AL10" s="319">
        <v>5.8000000000000003E-2</v>
      </c>
      <c r="AM10" s="319">
        <v>0.155</v>
      </c>
      <c r="AN10" s="319">
        <f>0.3+0.01</f>
        <v>0.31</v>
      </c>
      <c r="AO10" s="319">
        <f>0.194*2</f>
        <v>0.38800000000000001</v>
      </c>
      <c r="AP10" s="245">
        <f>0.31*1.3</f>
        <v>0.40300000000000002</v>
      </c>
      <c r="AQ10" s="319">
        <v>8.6999999999999994E-2</v>
      </c>
      <c r="AR10" s="319">
        <v>1.6E-2</v>
      </c>
      <c r="AS10" s="319">
        <v>2.3E-2</v>
      </c>
      <c r="AT10" s="319">
        <v>0.58199999999999996</v>
      </c>
      <c r="AU10" s="319">
        <v>9.7000000000000003E-2</v>
      </c>
      <c r="AV10" s="319">
        <f>0.31</f>
        <v>0.31</v>
      </c>
      <c r="AW10" s="319">
        <v>1.1919999999999999</v>
      </c>
      <c r="AX10" s="319">
        <f>0.397*1.2</f>
        <v>0.47639999999999999</v>
      </c>
      <c r="AY10" s="319">
        <v>0.436</v>
      </c>
      <c r="AZ10" s="319">
        <v>7.0000000000000007E-2</v>
      </c>
      <c r="BA10" s="319">
        <v>7.0000000000000007E-2</v>
      </c>
      <c r="BB10" s="319">
        <v>9.7000000000000003E-2</v>
      </c>
      <c r="BC10" s="319">
        <f>0.024</f>
        <v>2.4E-2</v>
      </c>
      <c r="BD10" s="319">
        <f>0.093/0.3</f>
        <v>0.31</v>
      </c>
      <c r="BE10" s="319">
        <v>8.6999999999999994E-2</v>
      </c>
      <c r="BF10" s="319">
        <v>7.3999999999999996E-2</v>
      </c>
      <c r="BG10" s="319">
        <f>4.071</f>
        <v>4.0709999999999997</v>
      </c>
      <c r="BH10" s="319">
        <f>0.31*0.6</f>
        <v>0.186</v>
      </c>
      <c r="BI10" s="319">
        <f>0.097*1.1</f>
        <v>0.10670000000000002</v>
      </c>
      <c r="BJ10" s="158">
        <f t="shared" si="0"/>
        <v>26.333100000000005</v>
      </c>
      <c r="BK10" s="94"/>
      <c r="BL10" s="319">
        <v>0.64900000000000002</v>
      </c>
      <c r="BM10" s="319"/>
      <c r="BN10" s="319">
        <f>0.31*1.5</f>
        <v>0.46499999999999997</v>
      </c>
      <c r="BO10" s="319">
        <f>0.397*2.4</f>
        <v>0.95279999999999998</v>
      </c>
      <c r="BP10" s="319">
        <v>0.31</v>
      </c>
      <c r="BQ10" s="319">
        <f>0.397*3</f>
        <v>1.1910000000000001</v>
      </c>
      <c r="BR10" s="319"/>
      <c r="BS10" s="319">
        <f>0.097*5.4</f>
        <v>0.52380000000000004</v>
      </c>
      <c r="BT10" s="319">
        <v>1.1919999999999999</v>
      </c>
      <c r="BU10" s="319">
        <f>0.397*1.9</f>
        <v>0.75429999999999997</v>
      </c>
      <c r="BV10" s="319">
        <v>0.155</v>
      </c>
      <c r="BW10" s="319">
        <v>8.1000000000000003E-2</v>
      </c>
      <c r="BX10" s="319">
        <f>0.097*2.1</f>
        <v>0.20370000000000002</v>
      </c>
      <c r="BY10" s="319">
        <f>0.097*2</f>
        <v>0.19400000000000001</v>
      </c>
      <c r="BZ10" s="319">
        <f>0.31</f>
        <v>0.31</v>
      </c>
      <c r="CA10" s="319">
        <f>0.097*4</f>
        <v>0.38800000000000001</v>
      </c>
      <c r="CB10" s="319">
        <f>0.397*3</f>
        <v>1.1910000000000001</v>
      </c>
      <c r="CC10" s="319">
        <f>0.477/1.2*3</f>
        <v>1.1925000000000001</v>
      </c>
      <c r="CD10" s="319">
        <f>0.097*4</f>
        <v>0.38800000000000001</v>
      </c>
      <c r="CE10" s="319">
        <v>0.31</v>
      </c>
      <c r="CF10" s="319">
        <f>0.775/8*6</f>
        <v>0.58125000000000004</v>
      </c>
      <c r="CG10" s="319">
        <v>9.2999999999999999E-2</v>
      </c>
      <c r="CH10" s="319">
        <f>0.097*0.6</f>
        <v>5.8200000000000002E-2</v>
      </c>
      <c r="CI10" s="319">
        <v>0.11600000000000001</v>
      </c>
      <c r="CJ10" s="319"/>
      <c r="CK10" s="319">
        <f>0.155/0.8*0.9</f>
        <v>0.17437499999999997</v>
      </c>
      <c r="CL10" s="319">
        <f>0.058/0.6*0.9</f>
        <v>8.7000000000000008E-2</v>
      </c>
      <c r="CM10" s="319">
        <v>5.8000000000000003E-2</v>
      </c>
      <c r="CN10" s="319">
        <v>0.38</v>
      </c>
      <c r="CO10" s="319">
        <f>0.097*2</f>
        <v>0.19400000000000001</v>
      </c>
      <c r="CP10" s="319">
        <f>0.31*0.3</f>
        <v>9.2999999999999999E-2</v>
      </c>
      <c r="CQ10" s="319">
        <v>1.1919999999999999</v>
      </c>
      <c r="CR10" s="319">
        <v>0.31</v>
      </c>
      <c r="CS10" s="177">
        <v>1.4730000000000001</v>
      </c>
      <c r="CT10" s="271">
        <v>5.234</v>
      </c>
      <c r="CU10" s="271">
        <v>1.093</v>
      </c>
      <c r="CV10" s="271">
        <v>0.26200000000000001</v>
      </c>
      <c r="CW10" s="319">
        <v>2.21</v>
      </c>
      <c r="CX10" s="319">
        <f>4.071</f>
        <v>4.0709999999999997</v>
      </c>
      <c r="CY10" s="319">
        <v>4.0000000000000001E-3</v>
      </c>
      <c r="CZ10" s="319">
        <f>0.155/0.8*3</f>
        <v>0.58124999999999993</v>
      </c>
      <c r="DA10" s="245">
        <f>0.403/1.3*1.5</f>
        <v>0.46499999999999997</v>
      </c>
      <c r="DB10" s="319">
        <f>0.165*2</f>
        <v>0.33</v>
      </c>
      <c r="DC10" s="319">
        <f>1.59/4*4.5</f>
        <v>1.7887500000000001</v>
      </c>
      <c r="DD10" s="319">
        <v>0.29099999999999998</v>
      </c>
      <c r="DE10" s="319">
        <f>0.3+0.01</f>
        <v>0.31</v>
      </c>
      <c r="DF10" s="319">
        <f>0.097*0.6</f>
        <v>5.8200000000000002E-2</v>
      </c>
      <c r="DG10" s="319">
        <f>0.31</f>
        <v>0.31</v>
      </c>
      <c r="DH10" s="319">
        <f>0.097</f>
        <v>9.7000000000000003E-2</v>
      </c>
      <c r="DI10" s="319">
        <f>0.775/8</f>
        <v>9.6875000000000003E-2</v>
      </c>
      <c r="DJ10" s="319"/>
      <c r="DK10" s="319">
        <v>7.3999999999999996E-2</v>
      </c>
      <c r="DL10" s="319">
        <f>0.397*3</f>
        <v>1.1910000000000001</v>
      </c>
      <c r="DM10" s="319">
        <f>0.397*3</f>
        <v>1.1910000000000001</v>
      </c>
      <c r="DN10" s="319">
        <f>0.31</f>
        <v>0.31</v>
      </c>
      <c r="DO10" s="319">
        <f>0.097*4</f>
        <v>0.38800000000000001</v>
      </c>
      <c r="DP10" s="319">
        <f>0.775/8*7.5</f>
        <v>0.7265625</v>
      </c>
      <c r="DQ10" s="319">
        <f>0.136*1.5</f>
        <v>0.20400000000000001</v>
      </c>
      <c r="DR10" s="319">
        <v>1.9E-2</v>
      </c>
      <c r="DS10" s="419">
        <f t="shared" si="1"/>
        <v>36.566562500000003</v>
      </c>
      <c r="DT10" s="57"/>
      <c r="DU10" s="319">
        <v>0.95399999999999996</v>
      </c>
      <c r="DV10" s="319">
        <v>0.59599999999999997</v>
      </c>
      <c r="DW10" s="319">
        <v>9.2999999999999999E-2</v>
      </c>
      <c r="DX10" s="319">
        <f>0.155/0.8*0.9</f>
        <v>0.17437499999999997</v>
      </c>
      <c r="DY10" s="319">
        <f>0.31*1.3</f>
        <v>0.40300000000000002</v>
      </c>
      <c r="DZ10" s="319"/>
      <c r="EA10" s="319">
        <f>0.465</f>
        <v>0.46500000000000002</v>
      </c>
      <c r="EB10" s="319">
        <f>0.407*10</f>
        <v>4.0699999999999994</v>
      </c>
      <c r="EC10" s="319">
        <v>0.58199999999999996</v>
      </c>
      <c r="ED10" s="319">
        <v>2.3E-2</v>
      </c>
      <c r="EE10" s="319">
        <v>1.6E-2</v>
      </c>
      <c r="EF10" s="319">
        <v>9.7000000000000003E-2</v>
      </c>
      <c r="EG10" s="319">
        <f>0.081/0.3*0.6</f>
        <v>0.16200000000000001</v>
      </c>
      <c r="EH10" s="319">
        <v>0.11899999999999999</v>
      </c>
      <c r="EI10" s="319">
        <f>0.31*0.8</f>
        <v>0.248</v>
      </c>
      <c r="EJ10" s="319">
        <f>0.097*1.5</f>
        <v>0.14550000000000002</v>
      </c>
      <c r="EK10" s="319">
        <v>9.7000000000000003E-2</v>
      </c>
      <c r="EL10" s="319">
        <v>9.7000000000000003E-2</v>
      </c>
      <c r="EM10" s="319">
        <v>0.17399999999999999</v>
      </c>
      <c r="EN10" s="319">
        <f>0.775/8*5</f>
        <v>0.484375</v>
      </c>
      <c r="EO10" s="319">
        <f>0.31*5</f>
        <v>1.55</v>
      </c>
      <c r="EP10" s="319">
        <f>0.097*2</f>
        <v>0.19400000000000001</v>
      </c>
      <c r="EQ10" s="319">
        <v>1.1919999999999999</v>
      </c>
      <c r="ER10" s="245">
        <f>0.058*0.3</f>
        <v>1.7399999999999999E-2</v>
      </c>
      <c r="ES10" s="319">
        <f>0.097*3</f>
        <v>0.29100000000000004</v>
      </c>
      <c r="ET10" s="319">
        <v>5.8000000000000003E-2</v>
      </c>
      <c r="EU10" s="319">
        <v>8.6999999999999994E-2</v>
      </c>
      <c r="EV10" s="319">
        <v>0.155</v>
      </c>
      <c r="EW10" s="319">
        <f>0.165*2</f>
        <v>0.33</v>
      </c>
      <c r="EX10" s="319">
        <f>1.59/4*5</f>
        <v>1.9875</v>
      </c>
      <c r="EY10" s="245">
        <f>0.403/1.3*2</f>
        <v>0.62</v>
      </c>
      <c r="EZ10" s="177">
        <v>0.26200000000000001</v>
      </c>
      <c r="FA10" s="271">
        <v>1.4730000000000001</v>
      </c>
      <c r="FB10" s="319">
        <f>0.058/0.6*1.2</f>
        <v>0.11600000000000001</v>
      </c>
      <c r="FC10" s="319">
        <v>5.8150000000000004</v>
      </c>
      <c r="FD10" s="319">
        <v>0.29099999999999998</v>
      </c>
      <c r="FE10" s="319">
        <f>0.155/0.8*2.5</f>
        <v>0.48437499999999994</v>
      </c>
      <c r="FF10" s="319">
        <f>0.596/1.5*1.1</f>
        <v>0.43706666666666666</v>
      </c>
      <c r="FG10" s="319">
        <v>1.59</v>
      </c>
      <c r="FH10" s="319">
        <f>0.003/0.3*0.1</f>
        <v>1E-3</v>
      </c>
      <c r="FI10" s="319">
        <f>0.596/1.5*0.6</f>
        <v>0.23839999999999997</v>
      </c>
      <c r="FJ10" s="319">
        <f>0.407*10</f>
        <v>4.0699999999999994</v>
      </c>
      <c r="FK10" s="319">
        <f>1.24</f>
        <v>1.24</v>
      </c>
      <c r="FL10" s="319">
        <f>0.31*0.7</f>
        <v>0.217</v>
      </c>
      <c r="FM10" s="319">
        <v>0.31</v>
      </c>
      <c r="FN10" s="319">
        <f>0.048/0.5*0.6</f>
        <v>5.7599999999999998E-2</v>
      </c>
      <c r="FO10" s="319">
        <f>0.101*1.2</f>
        <v>0.1212</v>
      </c>
      <c r="FP10" s="319">
        <f>1.24</f>
        <v>1.24</v>
      </c>
      <c r="FQ10" s="319">
        <f>1.24</f>
        <v>1.24</v>
      </c>
      <c r="FR10" s="319">
        <v>0.25800000000000001</v>
      </c>
      <c r="FS10" s="319">
        <f>0.101</f>
        <v>0.10100000000000001</v>
      </c>
      <c r="FT10" s="319">
        <f>0.081/0.3*0.6</f>
        <v>0.16200000000000001</v>
      </c>
      <c r="FU10" s="158">
        <f t="shared" si="2"/>
        <v>35.206791666666675</v>
      </c>
      <c r="FV10" s="95"/>
      <c r="FW10" s="245"/>
      <c r="FX10" s="245"/>
      <c r="FY10" s="245"/>
      <c r="FZ10" s="319"/>
      <c r="GA10" s="319"/>
      <c r="GB10" s="319"/>
      <c r="GC10" s="319"/>
      <c r="GD10" s="319"/>
      <c r="GE10" s="319"/>
      <c r="GF10" s="319"/>
      <c r="GG10" s="319"/>
      <c r="GH10" s="28"/>
      <c r="GI10" s="270"/>
      <c r="GJ10" s="245"/>
      <c r="GK10" s="177"/>
      <c r="GL10" s="271"/>
      <c r="GM10" s="177"/>
      <c r="GN10" s="272"/>
      <c r="GO10" s="435"/>
      <c r="GP10" s="327">
        <f t="shared" si="3"/>
        <v>0</v>
      </c>
      <c r="GQ10" s="445">
        <f t="shared" si="4"/>
        <v>96.644999999999996</v>
      </c>
      <c r="GR10" s="449">
        <f t="shared" si="5"/>
        <v>96.644999999999996</v>
      </c>
      <c r="GS10" s="451">
        <f t="shared" si="6"/>
        <v>32.712000000000003</v>
      </c>
      <c r="GT10" s="239">
        <f t="shared" si="7"/>
        <v>36.554000000000002</v>
      </c>
      <c r="GU10" s="36" t="str">
        <f t="shared" si="8"/>
        <v>вит Д3 500</v>
      </c>
      <c r="GV10" s="944"/>
    </row>
    <row r="11" spans="1:205" ht="15" customHeight="1" x14ac:dyDescent="0.3">
      <c r="A11" s="127">
        <f t="shared" ref="A11:A17" si="10">A10+1</f>
        <v>3</v>
      </c>
      <c r="B11" s="688" t="s">
        <v>424</v>
      </c>
      <c r="C11" s="899">
        <f>31.74+876.66+187.87</f>
        <v>1096.27</v>
      </c>
      <c r="D11" s="513">
        <f>835.24</f>
        <v>835.24</v>
      </c>
      <c r="E11" s="192">
        <f>472.08+568.9</f>
        <v>1040.98</v>
      </c>
      <c r="F11" s="200">
        <f>4.81+973.35</f>
        <v>978.16</v>
      </c>
      <c r="G11" s="92">
        <f t="shared" si="9"/>
        <v>951.46</v>
      </c>
      <c r="H11" s="93">
        <f>4.81+1431.1</f>
        <v>1435.9099999999999</v>
      </c>
      <c r="I11" s="93">
        <f>457.75+2000</f>
        <v>2457.75</v>
      </c>
      <c r="J11" s="94"/>
      <c r="K11" s="319">
        <f>8.971*3</f>
        <v>26.913</v>
      </c>
      <c r="L11" s="319">
        <v>26.914000000000001</v>
      </c>
      <c r="M11" s="319">
        <f>12.096*8</f>
        <v>96.768000000000001</v>
      </c>
      <c r="N11" s="319">
        <v>9.8780000000000001</v>
      </c>
      <c r="O11" s="319">
        <v>8.0640000000000001</v>
      </c>
      <c r="P11" s="319">
        <f>9.193</f>
        <v>9.1929999999999996</v>
      </c>
      <c r="Q11" s="319">
        <v>4.234</v>
      </c>
      <c r="R11" s="319">
        <f>9.475*3</f>
        <v>28.424999999999997</v>
      </c>
      <c r="S11" s="319"/>
      <c r="T11" s="319">
        <f>19.152</f>
        <v>19.152000000000001</v>
      </c>
      <c r="U11" s="319">
        <f>2.419*1.5</f>
        <v>3.6284999999999998</v>
      </c>
      <c r="V11" s="319">
        <f>9.475*4</f>
        <v>37.9</v>
      </c>
      <c r="W11" s="319">
        <f>8.971*1.5</f>
        <v>13.4565</v>
      </c>
      <c r="X11" s="319">
        <f>2.419*7</f>
        <v>16.933</v>
      </c>
      <c r="Y11" s="319">
        <f>2.016*3</f>
        <v>6.048</v>
      </c>
      <c r="Z11" s="319">
        <f>2.419*2</f>
        <v>4.8380000000000001</v>
      </c>
      <c r="AA11" s="319">
        <f>9.475*4</f>
        <v>37.9</v>
      </c>
      <c r="AB11" s="319">
        <f>2.419*8</f>
        <v>19.352</v>
      </c>
      <c r="AC11" s="319">
        <f>12.096*6</f>
        <v>72.575999999999993</v>
      </c>
      <c r="AD11" s="319">
        <v>0.161</v>
      </c>
      <c r="AE11" s="319">
        <v>1.8140000000000001</v>
      </c>
      <c r="AF11" s="319">
        <v>0.32300000000000001</v>
      </c>
      <c r="AG11" s="319">
        <v>0.161</v>
      </c>
      <c r="AH11" s="319">
        <v>7.258</v>
      </c>
      <c r="AI11" s="319">
        <f>8.971*4</f>
        <v>35.884</v>
      </c>
      <c r="AJ11" s="319">
        <v>9.2739999999999991</v>
      </c>
      <c r="AK11" s="319">
        <v>8.0640000000000001</v>
      </c>
      <c r="AL11" s="319">
        <v>1.452</v>
      </c>
      <c r="AM11" s="319">
        <v>8.0640000000000001</v>
      </c>
      <c r="AN11" s="319">
        <v>19.152000000000001</v>
      </c>
      <c r="AO11" s="319">
        <f>10.08*2</f>
        <v>20.16</v>
      </c>
      <c r="AP11" s="245">
        <f>19.152*1.3</f>
        <v>24.897600000000001</v>
      </c>
      <c r="AQ11" s="319">
        <v>8.5280000000000005</v>
      </c>
      <c r="AR11" s="319">
        <v>0.161</v>
      </c>
      <c r="AS11" s="319">
        <v>0.121</v>
      </c>
      <c r="AT11" s="319">
        <v>3.024</v>
      </c>
      <c r="AU11" s="319">
        <v>9.4749999999999996</v>
      </c>
      <c r="AV11" s="319">
        <f>19.152</f>
        <v>19.152000000000001</v>
      </c>
      <c r="AW11" s="319">
        <v>26.914000000000001</v>
      </c>
      <c r="AX11" s="319">
        <f>8.971*1.2</f>
        <v>10.7652</v>
      </c>
      <c r="AY11" s="319">
        <v>2.2679999999999998</v>
      </c>
      <c r="AZ11" s="319">
        <v>0.71</v>
      </c>
      <c r="BA11" s="319">
        <v>0.35499999999999998</v>
      </c>
      <c r="BB11" s="319">
        <v>2.419</v>
      </c>
      <c r="BC11" s="319">
        <f>2.298</f>
        <v>2.298</v>
      </c>
      <c r="BD11" s="319">
        <f>5.746/0.3</f>
        <v>19.153333333333336</v>
      </c>
      <c r="BE11" s="319">
        <v>8.0169999999999995</v>
      </c>
      <c r="BF11" s="319">
        <v>0.20200000000000001</v>
      </c>
      <c r="BG11" s="319">
        <f>120.96</f>
        <v>120.96</v>
      </c>
      <c r="BH11" s="319">
        <f>19.152*0.6</f>
        <v>11.491200000000001</v>
      </c>
      <c r="BI11" s="319">
        <f>9.475*1.1</f>
        <v>10.422500000000001</v>
      </c>
      <c r="BJ11" s="158">
        <f t="shared" si="0"/>
        <v>835.27383333333364</v>
      </c>
      <c r="BK11" s="94"/>
      <c r="BL11" s="319">
        <v>20.16</v>
      </c>
      <c r="BM11" s="319"/>
      <c r="BN11" s="319">
        <f>19.152*1.5</f>
        <v>28.728000000000002</v>
      </c>
      <c r="BO11" s="319">
        <f>8.971*2.4</f>
        <v>21.5304</v>
      </c>
      <c r="BP11" s="319">
        <v>19.152000000000001</v>
      </c>
      <c r="BQ11" s="319">
        <f>8.971*3</f>
        <v>26.913</v>
      </c>
      <c r="BR11" s="319">
        <v>15.12</v>
      </c>
      <c r="BS11" s="319">
        <f>2.419*5.4</f>
        <v>13.062600000000002</v>
      </c>
      <c r="BT11" s="319">
        <v>26.914000000000001</v>
      </c>
      <c r="BU11" s="319">
        <f>8.971*1.9</f>
        <v>17.044899999999998</v>
      </c>
      <c r="BV11" s="319">
        <v>9.5760000000000005</v>
      </c>
      <c r="BW11" s="319">
        <v>3.145</v>
      </c>
      <c r="BX11" s="319">
        <f>2.419*2.1</f>
        <v>5.0799000000000003</v>
      </c>
      <c r="BY11" s="319">
        <f>2.419*2</f>
        <v>4.8380000000000001</v>
      </c>
      <c r="BZ11" s="319">
        <v>23.99</v>
      </c>
      <c r="CA11" s="319">
        <f>9.475*4</f>
        <v>37.9</v>
      </c>
      <c r="CB11" s="319">
        <f>8.971*3</f>
        <v>26.913</v>
      </c>
      <c r="CC11" s="319">
        <f>10.765/1.2*3</f>
        <v>26.912500000000005</v>
      </c>
      <c r="CD11" s="319">
        <f>9.475*4</f>
        <v>37.9</v>
      </c>
      <c r="CE11" s="319">
        <v>19.152000000000001</v>
      </c>
      <c r="CF11" s="319">
        <f>19.354/8*6</f>
        <v>14.515499999999999</v>
      </c>
      <c r="CG11" s="319">
        <v>3.024</v>
      </c>
      <c r="CH11" s="319">
        <f>9.193*0.6</f>
        <v>5.5157999999999996</v>
      </c>
      <c r="CI11" s="319">
        <v>4.234</v>
      </c>
      <c r="CJ11" s="319">
        <v>6.048</v>
      </c>
      <c r="CK11" s="319">
        <f>7.906/0.8*0.9</f>
        <v>8.8942499999999995</v>
      </c>
      <c r="CL11" s="319">
        <f>5.574/0.6*0.9</f>
        <v>8.3610000000000007</v>
      </c>
      <c r="CM11" s="319">
        <v>1.452</v>
      </c>
      <c r="CN11" s="319">
        <v>9.8780000000000001</v>
      </c>
      <c r="CO11" s="319">
        <f>2.372*2</f>
        <v>4.7439999999999998</v>
      </c>
      <c r="CP11" s="319">
        <f>19.152*0.3</f>
        <v>5.7456000000000005</v>
      </c>
      <c r="CQ11" s="319">
        <v>26.385999999999999</v>
      </c>
      <c r="CR11" s="319">
        <v>23.52</v>
      </c>
      <c r="CS11" s="177">
        <v>4.032</v>
      </c>
      <c r="CT11" s="271">
        <v>27.234000000000002</v>
      </c>
      <c r="CU11" s="271">
        <v>45.466999999999999</v>
      </c>
      <c r="CV11" s="271">
        <v>9.8819999999999997</v>
      </c>
      <c r="CW11" s="319">
        <v>5.9290000000000003</v>
      </c>
      <c r="CX11" s="319">
        <v>118.58799999999999</v>
      </c>
      <c r="CY11" s="319">
        <v>0.48399999999999999</v>
      </c>
      <c r="CZ11" s="319">
        <f>7.906/0.8*3</f>
        <v>29.647499999999994</v>
      </c>
      <c r="DA11" s="245">
        <f>24.409/1.3*1.5</f>
        <v>28.16423076923077</v>
      </c>
      <c r="DB11" s="319">
        <f>7.906*2</f>
        <v>15.811999999999999</v>
      </c>
      <c r="DC11" s="319">
        <f>35.181/4*4.5</f>
        <v>39.578624999999995</v>
      </c>
      <c r="DD11" s="319">
        <v>7.1150000000000002</v>
      </c>
      <c r="DE11" s="319">
        <v>18.776</v>
      </c>
      <c r="DF11" s="319">
        <f>9.475*0.6</f>
        <v>5.6849999999999996</v>
      </c>
      <c r="DG11" s="319">
        <v>23.52</v>
      </c>
      <c r="DH11" s="319">
        <f>9.289</f>
        <v>9.2889999999999997</v>
      </c>
      <c r="DI11" s="319">
        <f>18.974/8</f>
        <v>2.37175</v>
      </c>
      <c r="DJ11" s="319"/>
      <c r="DK11" s="319">
        <v>0.20200000000000001</v>
      </c>
      <c r="DL11" s="319">
        <f>8.795*3</f>
        <v>26.384999999999998</v>
      </c>
      <c r="DM11" s="319">
        <f>8.795*3</f>
        <v>26.384999999999998</v>
      </c>
      <c r="DN11" s="319">
        <v>23.52</v>
      </c>
      <c r="DO11" s="319">
        <f>9.289*4</f>
        <v>37.155999999999999</v>
      </c>
      <c r="DP11" s="319">
        <f>18.974/8*7.5</f>
        <v>17.788125000000001</v>
      </c>
      <c r="DQ11" s="319">
        <f>7.511*1.5</f>
        <v>11.266500000000001</v>
      </c>
      <c r="DR11" s="319">
        <v>0.35599999999999998</v>
      </c>
      <c r="DS11" s="419">
        <f t="shared" si="1"/>
        <v>1040.9831807692303</v>
      </c>
      <c r="DT11" s="57"/>
      <c r="DU11" s="319">
        <f>16.393+4.81</f>
        <v>21.202999999999999</v>
      </c>
      <c r="DV11" s="319">
        <v>13.193</v>
      </c>
      <c r="DW11" s="319">
        <v>5.633</v>
      </c>
      <c r="DX11" s="319">
        <f>7.906/0.8*0.9</f>
        <v>8.8942499999999995</v>
      </c>
      <c r="DY11" s="319">
        <f>18.776*1.3</f>
        <v>24.408799999999999</v>
      </c>
      <c r="DZ11" s="319">
        <v>0.88900000000000001</v>
      </c>
      <c r="EA11" s="319">
        <f>5.218</f>
        <v>5.218</v>
      </c>
      <c r="EB11" s="319">
        <f>11.859*10</f>
        <v>118.59</v>
      </c>
      <c r="EC11" s="319">
        <v>2.9649999999999999</v>
      </c>
      <c r="ED11" s="319">
        <v>0.23699999999999999</v>
      </c>
      <c r="EE11" s="319">
        <v>7.9000000000000001E-2</v>
      </c>
      <c r="EF11" s="319">
        <v>2.3719999999999999</v>
      </c>
      <c r="EG11" s="319">
        <f>3.083/0.3*0.6</f>
        <v>6.1660000000000004</v>
      </c>
      <c r="EH11" s="319">
        <v>2.6389999999999998</v>
      </c>
      <c r="EI11" s="319">
        <f>23.52*0.8</f>
        <v>18.815999999999999</v>
      </c>
      <c r="EJ11" s="319">
        <f>9.289*1.5</f>
        <v>13.933499999999999</v>
      </c>
      <c r="EK11" s="319">
        <v>9.2889999999999997</v>
      </c>
      <c r="EL11" s="319">
        <v>9.2889999999999997</v>
      </c>
      <c r="EM11" s="319">
        <v>15.718999999999999</v>
      </c>
      <c r="EN11" s="319">
        <f>18.974/8*5</f>
        <v>11.858750000000001</v>
      </c>
      <c r="EO11" s="319">
        <f>23.52*5</f>
        <v>117.6</v>
      </c>
      <c r="EP11" s="319">
        <f>9.289*2</f>
        <v>18.577999999999999</v>
      </c>
      <c r="EQ11" s="319">
        <v>26.385999999999999</v>
      </c>
      <c r="ER11" s="245">
        <f>5.24*0.3</f>
        <v>1.5720000000000001</v>
      </c>
      <c r="ES11" s="319">
        <f>9.289*3</f>
        <v>27.866999999999997</v>
      </c>
      <c r="ET11" s="319">
        <v>1.423</v>
      </c>
      <c r="EU11" s="319">
        <v>8.36</v>
      </c>
      <c r="EV11" s="319">
        <v>9.3879999999999999</v>
      </c>
      <c r="EW11" s="319">
        <f>7.906*2</f>
        <v>15.811999999999999</v>
      </c>
      <c r="EX11" s="319">
        <f>35.181/4*5</f>
        <v>43.976249999999993</v>
      </c>
      <c r="EY11" s="245">
        <f>24.409/1.3*2</f>
        <v>37.552307692307693</v>
      </c>
      <c r="EZ11" s="177">
        <v>9.8819999999999997</v>
      </c>
      <c r="FA11" s="271">
        <v>3.9529999999999998</v>
      </c>
      <c r="FB11" s="319">
        <f>5.408/0.6*1.2</f>
        <v>10.816000000000001</v>
      </c>
      <c r="FC11" s="319"/>
      <c r="FD11" s="319">
        <v>7.1150000000000002</v>
      </c>
      <c r="FE11" s="319">
        <f>7.906/0.8*2.5</f>
        <v>24.706249999999997</v>
      </c>
      <c r="FF11" s="319">
        <f>13.193/1.5*1.1</f>
        <v>9.6748666666666683</v>
      </c>
      <c r="FG11" s="319">
        <v>35.180999999999997</v>
      </c>
      <c r="FH11" s="319">
        <f>0.059/0.3*0.1</f>
        <v>1.9666666666666666E-2</v>
      </c>
      <c r="FI11" s="319">
        <f>13.193/1.5*0.6</f>
        <v>5.2771999999999997</v>
      </c>
      <c r="FJ11" s="319">
        <f>11.859*10</f>
        <v>118.59</v>
      </c>
      <c r="FK11" s="319">
        <f>26.386</f>
        <v>26.385999999999999</v>
      </c>
      <c r="FL11" s="319">
        <f>23.52*0.7</f>
        <v>16.463999999999999</v>
      </c>
      <c r="FM11" s="319">
        <v>18.776</v>
      </c>
      <c r="FN11" s="319">
        <f>4.447/0.5*0.6</f>
        <v>5.3364000000000003</v>
      </c>
      <c r="FO11" s="319">
        <f>2.372*1.2</f>
        <v>2.8463999999999996</v>
      </c>
      <c r="FP11" s="319">
        <f>26.386</f>
        <v>26.385999999999999</v>
      </c>
      <c r="FQ11" s="319">
        <f>26.386</f>
        <v>26.385999999999999</v>
      </c>
      <c r="FR11" s="319">
        <v>15.021000000000001</v>
      </c>
      <c r="FS11" s="319">
        <f>9.289</f>
        <v>9.2889999999999997</v>
      </c>
      <c r="FT11" s="319">
        <f>3.083/0.3*0.6</f>
        <v>6.1660000000000004</v>
      </c>
      <c r="FU11" s="158">
        <f t="shared" si="2"/>
        <v>978.1786410256409</v>
      </c>
      <c r="FV11" s="95"/>
      <c r="FW11" s="245"/>
      <c r="FX11" s="245"/>
      <c r="FY11" s="245"/>
      <c r="FZ11" s="319"/>
      <c r="GA11" s="319"/>
      <c r="GB11" s="319"/>
      <c r="GC11" s="319"/>
      <c r="GD11" s="319"/>
      <c r="GE11" s="319"/>
      <c r="GF11" s="319"/>
      <c r="GG11" s="319"/>
      <c r="GH11" s="28"/>
      <c r="GI11" s="270"/>
      <c r="GJ11" s="245"/>
      <c r="GK11" s="177"/>
      <c r="GL11" s="271"/>
      <c r="GM11" s="177"/>
      <c r="GN11" s="272"/>
      <c r="GO11" s="435"/>
      <c r="GP11" s="327">
        <f t="shared" si="3"/>
        <v>0</v>
      </c>
      <c r="GQ11" s="445">
        <f t="shared" si="4"/>
        <v>2457.75</v>
      </c>
      <c r="GR11" s="449">
        <f t="shared" si="5"/>
        <v>2457.75</v>
      </c>
      <c r="GS11" s="451">
        <f t="shared" si="6"/>
        <v>951.46</v>
      </c>
      <c r="GT11" s="239">
        <f t="shared" si="7"/>
        <v>1040.98</v>
      </c>
      <c r="GU11" s="36" t="str">
        <f t="shared" si="8"/>
        <v>вит Е 50%</v>
      </c>
      <c r="GV11" s="941"/>
    </row>
    <row r="12" spans="1:205" s="14" customFormat="1" ht="15" customHeight="1" x14ac:dyDescent="0.3">
      <c r="A12" s="127">
        <f t="shared" si="10"/>
        <v>4</v>
      </c>
      <c r="B12" s="689" t="s">
        <v>25</v>
      </c>
      <c r="C12" s="900">
        <v>0</v>
      </c>
      <c r="D12" s="1179">
        <v>0</v>
      </c>
      <c r="E12" s="108">
        <v>0</v>
      </c>
      <c r="F12" s="290">
        <v>0</v>
      </c>
      <c r="G12" s="92">
        <f t="shared" si="9"/>
        <v>0</v>
      </c>
      <c r="H12" s="93">
        <v>0</v>
      </c>
      <c r="I12" s="93">
        <v>0</v>
      </c>
      <c r="J12" s="112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245"/>
      <c r="AQ12" s="319"/>
      <c r="AR12" s="319"/>
      <c r="AS12" s="319"/>
      <c r="AT12" s="319"/>
      <c r="AU12" s="319"/>
      <c r="AV12" s="319"/>
      <c r="AW12" s="319"/>
      <c r="AX12" s="319"/>
      <c r="AY12" s="319"/>
      <c r="AZ12" s="319"/>
      <c r="BA12" s="319"/>
      <c r="BB12" s="319"/>
      <c r="BC12" s="319"/>
      <c r="BD12" s="319"/>
      <c r="BE12" s="319"/>
      <c r="BF12" s="319"/>
      <c r="BG12" s="319"/>
      <c r="BH12" s="319"/>
      <c r="BI12" s="319"/>
      <c r="BJ12" s="158">
        <f t="shared" si="0"/>
        <v>0</v>
      </c>
      <c r="BK12" s="112"/>
      <c r="BL12" s="319"/>
      <c r="BM12" s="319"/>
      <c r="BN12" s="319"/>
      <c r="BO12" s="319"/>
      <c r="BP12" s="319"/>
      <c r="BQ12" s="319"/>
      <c r="BR12" s="319"/>
      <c r="BS12" s="319"/>
      <c r="BT12" s="319"/>
      <c r="BU12" s="319"/>
      <c r="BV12" s="319"/>
      <c r="BW12" s="319"/>
      <c r="BX12" s="319"/>
      <c r="BY12" s="319"/>
      <c r="BZ12" s="319"/>
      <c r="CA12" s="319"/>
      <c r="CB12" s="319"/>
      <c r="CC12" s="319"/>
      <c r="CD12" s="319"/>
      <c r="CE12" s="319"/>
      <c r="CF12" s="319"/>
      <c r="CG12" s="319"/>
      <c r="CH12" s="319"/>
      <c r="CI12" s="319"/>
      <c r="CJ12" s="319"/>
      <c r="CK12" s="319"/>
      <c r="CL12" s="319"/>
      <c r="CM12" s="319"/>
      <c r="CN12" s="319"/>
      <c r="CO12" s="319"/>
      <c r="CP12" s="319"/>
      <c r="CQ12" s="319"/>
      <c r="CR12" s="319"/>
      <c r="CS12" s="177"/>
      <c r="CT12" s="271"/>
      <c r="CU12" s="271"/>
      <c r="CV12" s="271"/>
      <c r="CW12" s="319"/>
      <c r="CX12" s="319"/>
      <c r="CY12" s="319"/>
      <c r="CZ12" s="319"/>
      <c r="DA12" s="245"/>
      <c r="DB12" s="319"/>
      <c r="DC12" s="319"/>
      <c r="DD12" s="319"/>
      <c r="DE12" s="319"/>
      <c r="DF12" s="319"/>
      <c r="DG12" s="319"/>
      <c r="DH12" s="319"/>
      <c r="DI12" s="319"/>
      <c r="DJ12" s="319"/>
      <c r="DK12" s="319"/>
      <c r="DL12" s="319"/>
      <c r="DM12" s="319"/>
      <c r="DN12" s="319"/>
      <c r="DO12" s="319"/>
      <c r="DP12" s="319"/>
      <c r="DQ12" s="319"/>
      <c r="DR12" s="319"/>
      <c r="DS12" s="419">
        <f t="shared" si="1"/>
        <v>0</v>
      </c>
      <c r="DT12" s="57"/>
      <c r="DU12" s="319"/>
      <c r="DV12" s="319"/>
      <c r="DW12" s="319"/>
      <c r="DX12" s="319"/>
      <c r="DY12" s="319"/>
      <c r="DZ12" s="319"/>
      <c r="EA12" s="319"/>
      <c r="EB12" s="319"/>
      <c r="EC12" s="319"/>
      <c r="ED12" s="319"/>
      <c r="EE12" s="319"/>
      <c r="EF12" s="319"/>
      <c r="EG12" s="319"/>
      <c r="EH12" s="319"/>
      <c r="EI12" s="319"/>
      <c r="EJ12" s="319"/>
      <c r="EK12" s="319"/>
      <c r="EL12" s="319"/>
      <c r="EM12" s="319"/>
      <c r="EN12" s="319"/>
      <c r="EO12" s="319"/>
      <c r="EP12" s="319"/>
      <c r="EQ12" s="319"/>
      <c r="ER12" s="245"/>
      <c r="ES12" s="319"/>
      <c r="ET12" s="319"/>
      <c r="EU12" s="319"/>
      <c r="EV12" s="319"/>
      <c r="EW12" s="319"/>
      <c r="EX12" s="319"/>
      <c r="EY12" s="245"/>
      <c r="EZ12" s="177"/>
      <c r="FA12" s="271"/>
      <c r="FB12" s="319"/>
      <c r="FC12" s="319"/>
      <c r="FD12" s="319"/>
      <c r="FE12" s="319"/>
      <c r="FF12" s="319"/>
      <c r="FG12" s="319"/>
      <c r="FH12" s="319"/>
      <c r="FI12" s="319"/>
      <c r="FJ12" s="319"/>
      <c r="FK12" s="319"/>
      <c r="FL12" s="319"/>
      <c r="FM12" s="319"/>
      <c r="FN12" s="319"/>
      <c r="FO12" s="319"/>
      <c r="FP12" s="319"/>
      <c r="FQ12" s="319"/>
      <c r="FR12" s="319"/>
      <c r="FS12" s="319"/>
      <c r="FT12" s="319"/>
      <c r="FU12" s="158">
        <f t="shared" si="2"/>
        <v>0</v>
      </c>
      <c r="FV12" s="113"/>
      <c r="FW12" s="245"/>
      <c r="FX12" s="245"/>
      <c r="FY12" s="245"/>
      <c r="FZ12" s="319"/>
      <c r="GA12" s="319"/>
      <c r="GB12" s="319"/>
      <c r="GC12" s="319"/>
      <c r="GD12" s="319"/>
      <c r="GE12" s="319"/>
      <c r="GF12" s="319"/>
      <c r="GG12" s="319"/>
      <c r="GH12" s="28"/>
      <c r="GI12" s="270"/>
      <c r="GJ12" s="245"/>
      <c r="GK12" s="177"/>
      <c r="GL12" s="271"/>
      <c r="GM12" s="177"/>
      <c r="GN12" s="272"/>
      <c r="GO12" s="435"/>
      <c r="GP12" s="327">
        <f t="shared" si="3"/>
        <v>0</v>
      </c>
      <c r="GQ12" s="445">
        <f t="shared" si="4"/>
        <v>0</v>
      </c>
      <c r="GR12" s="449">
        <f t="shared" si="5"/>
        <v>0</v>
      </c>
      <c r="GS12" s="451">
        <f t="shared" si="6"/>
        <v>0</v>
      </c>
      <c r="GT12" s="239">
        <f t="shared" si="7"/>
        <v>0</v>
      </c>
      <c r="GU12" s="36" t="str">
        <f t="shared" si="8"/>
        <v>вит В1 (тиамин)</v>
      </c>
      <c r="GV12" s="941"/>
      <c r="GW12" s="948"/>
    </row>
    <row r="13" spans="1:205" ht="15" customHeight="1" x14ac:dyDescent="0.3">
      <c r="A13" s="127">
        <f t="shared" si="10"/>
        <v>5</v>
      </c>
      <c r="B13" s="688" t="s">
        <v>3</v>
      </c>
      <c r="C13" s="900">
        <v>0.71</v>
      </c>
      <c r="D13" s="513">
        <v>0.52</v>
      </c>
      <c r="E13" s="192">
        <v>0.73</v>
      </c>
      <c r="F13" s="200">
        <v>0.04</v>
      </c>
      <c r="G13" s="299">
        <f>ROUND(AVERAGE(D13:F13),3)</f>
        <v>0.43</v>
      </c>
      <c r="H13" s="93">
        <v>0.04</v>
      </c>
      <c r="I13" s="93">
        <v>0</v>
      </c>
      <c r="J13" s="94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19"/>
      <c r="BD13" s="319"/>
      <c r="BE13" s="319">
        <v>1.9E-2</v>
      </c>
      <c r="BF13" s="319"/>
      <c r="BG13" s="319">
        <f>0.504</f>
        <v>0.504</v>
      </c>
      <c r="BH13" s="319"/>
      <c r="BI13" s="319"/>
      <c r="BJ13" s="158">
        <f t="shared" si="0"/>
        <v>0.52300000000000002</v>
      </c>
      <c r="BK13" s="94"/>
      <c r="BL13" s="319"/>
      <c r="BM13" s="319"/>
      <c r="BN13" s="319">
        <f>0.05*1.5</f>
        <v>7.5000000000000011E-2</v>
      </c>
      <c r="BO13" s="319">
        <f>0.05*2.4</f>
        <v>0.12</v>
      </c>
      <c r="BP13" s="319"/>
      <c r="BQ13" s="319">
        <f>0.05*3</f>
        <v>0.15000000000000002</v>
      </c>
      <c r="BR13" s="319"/>
      <c r="BS13" s="319"/>
      <c r="BT13" s="319"/>
      <c r="BU13" s="319"/>
      <c r="BV13" s="319"/>
      <c r="BW13" s="319"/>
      <c r="BX13" s="319"/>
      <c r="BY13" s="319"/>
      <c r="BZ13" s="319"/>
      <c r="CA13" s="319"/>
      <c r="CB13" s="319"/>
      <c r="CC13" s="319"/>
      <c r="CD13" s="319"/>
      <c r="CE13" s="319"/>
      <c r="CF13" s="319"/>
      <c r="CG13" s="319"/>
      <c r="CH13" s="319"/>
      <c r="CI13" s="319"/>
      <c r="CJ13" s="319"/>
      <c r="CK13" s="319"/>
      <c r="CL13" s="319"/>
      <c r="CM13" s="319"/>
      <c r="CN13" s="319"/>
      <c r="CO13" s="319"/>
      <c r="CP13" s="319">
        <f>0.05*0.3</f>
        <v>1.4999999999999999E-2</v>
      </c>
      <c r="CQ13" s="319"/>
      <c r="CR13" s="319"/>
      <c r="CS13" s="177"/>
      <c r="CT13" s="271"/>
      <c r="CU13" s="271"/>
      <c r="CV13" s="271"/>
      <c r="CW13" s="319"/>
      <c r="CX13" s="319">
        <v>0.36</v>
      </c>
      <c r="CY13" s="319"/>
      <c r="CZ13" s="319"/>
      <c r="DA13" s="319"/>
      <c r="DB13" s="319"/>
      <c r="DC13" s="319"/>
      <c r="DD13" s="319"/>
      <c r="DE13" s="319"/>
      <c r="DF13" s="319"/>
      <c r="DG13" s="319"/>
      <c r="DH13" s="319"/>
      <c r="DI13" s="319"/>
      <c r="DJ13" s="319"/>
      <c r="DK13" s="319"/>
      <c r="DL13" s="319"/>
      <c r="DM13" s="319"/>
      <c r="DN13" s="319"/>
      <c r="DO13" s="319"/>
      <c r="DP13" s="319"/>
      <c r="DQ13" s="319"/>
      <c r="DR13" s="319"/>
      <c r="DS13" s="419">
        <f t="shared" si="1"/>
        <v>0.72</v>
      </c>
      <c r="DT13" s="57"/>
      <c r="DU13" s="319"/>
      <c r="DV13" s="319"/>
      <c r="DW13" s="319"/>
      <c r="DX13" s="319"/>
      <c r="DY13" s="319"/>
      <c r="DZ13" s="319"/>
      <c r="EA13" s="319"/>
      <c r="EB13" s="319"/>
      <c r="EC13" s="319"/>
      <c r="ED13" s="319"/>
      <c r="EE13" s="319"/>
      <c r="EF13" s="319"/>
      <c r="EG13" s="319"/>
      <c r="EH13" s="319"/>
      <c r="EI13" s="319"/>
      <c r="EJ13" s="319"/>
      <c r="EK13" s="319"/>
      <c r="EL13" s="319"/>
      <c r="EM13" s="319">
        <v>0.04</v>
      </c>
      <c r="EN13" s="319"/>
      <c r="EO13" s="319"/>
      <c r="EP13" s="319"/>
      <c r="EQ13" s="319"/>
      <c r="ER13" s="245"/>
      <c r="ES13" s="319"/>
      <c r="ET13" s="319"/>
      <c r="EU13" s="319"/>
      <c r="EV13" s="319"/>
      <c r="EW13" s="319"/>
      <c r="EX13" s="319"/>
      <c r="EY13" s="319"/>
      <c r="EZ13" s="177"/>
      <c r="FA13" s="271"/>
      <c r="FB13" s="319"/>
      <c r="FC13" s="319"/>
      <c r="FD13" s="319"/>
      <c r="FE13" s="319"/>
      <c r="FF13" s="319"/>
      <c r="FG13" s="319"/>
      <c r="FH13" s="319"/>
      <c r="FI13" s="319"/>
      <c r="FJ13" s="319"/>
      <c r="FK13" s="319"/>
      <c r="FL13" s="319"/>
      <c r="FM13" s="319"/>
      <c r="FN13" s="319"/>
      <c r="FO13" s="319"/>
      <c r="FP13" s="319"/>
      <c r="FQ13" s="319"/>
      <c r="FR13" s="319"/>
      <c r="FS13" s="319"/>
      <c r="FT13" s="319"/>
      <c r="FU13" s="158">
        <f t="shared" si="2"/>
        <v>0.04</v>
      </c>
      <c r="FV13" s="95"/>
      <c r="FW13" s="245"/>
      <c r="FX13" s="245"/>
      <c r="FY13" s="245"/>
      <c r="FZ13" s="319"/>
      <c r="GA13" s="319"/>
      <c r="GB13" s="319"/>
      <c r="GC13" s="319"/>
      <c r="GD13" s="319"/>
      <c r="GE13" s="319"/>
      <c r="GF13" s="319"/>
      <c r="GG13" s="319"/>
      <c r="GH13" s="28"/>
      <c r="GI13" s="270"/>
      <c r="GJ13" s="245"/>
      <c r="GK13" s="177"/>
      <c r="GL13" s="271"/>
      <c r="GM13" s="177"/>
      <c r="GN13" s="272"/>
      <c r="GO13" s="435"/>
      <c r="GP13" s="327">
        <f t="shared" si="3"/>
        <v>0</v>
      </c>
      <c r="GQ13" s="445">
        <f t="shared" si="4"/>
        <v>0</v>
      </c>
      <c r="GR13" s="449">
        <f t="shared" si="5"/>
        <v>0</v>
      </c>
      <c r="GS13" s="451">
        <f t="shared" si="6"/>
        <v>0.43</v>
      </c>
      <c r="GT13" s="239">
        <f t="shared" si="7"/>
        <v>0.73</v>
      </c>
      <c r="GU13" s="36" t="str">
        <f t="shared" si="8"/>
        <v>вит В2</v>
      </c>
      <c r="GV13" s="953">
        <v>46133</v>
      </c>
      <c r="GW13" s="947"/>
    </row>
    <row r="14" spans="1:205" ht="15" customHeight="1" x14ac:dyDescent="0.3">
      <c r="A14" s="127">
        <f t="shared" si="10"/>
        <v>6</v>
      </c>
      <c r="B14" s="688" t="s">
        <v>17</v>
      </c>
      <c r="C14" s="900">
        <v>0.25</v>
      </c>
      <c r="D14" s="513">
        <v>0.08</v>
      </c>
      <c r="E14" s="192">
        <v>0</v>
      </c>
      <c r="F14" s="200">
        <v>0.17</v>
      </c>
      <c r="G14" s="92">
        <f t="shared" si="9"/>
        <v>8.3000000000000004E-2</v>
      </c>
      <c r="H14" s="93">
        <v>14.29</v>
      </c>
      <c r="I14" s="93">
        <v>14.12</v>
      </c>
      <c r="J14" s="94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/>
      <c r="BE14" s="319">
        <v>7.6999999999999999E-2</v>
      </c>
      <c r="BF14" s="319"/>
      <c r="BG14" s="319"/>
      <c r="BH14" s="319"/>
      <c r="BI14" s="319"/>
      <c r="BJ14" s="158">
        <f t="shared" si="0"/>
        <v>7.6999999999999999E-2</v>
      </c>
      <c r="BK14" s="94"/>
      <c r="BL14" s="319"/>
      <c r="BM14" s="319"/>
      <c r="BN14" s="319"/>
      <c r="BO14" s="319"/>
      <c r="BP14" s="319"/>
      <c r="BQ14" s="319"/>
      <c r="BR14" s="319"/>
      <c r="BS14" s="319"/>
      <c r="BT14" s="319"/>
      <c r="BU14" s="319"/>
      <c r="BV14" s="319"/>
      <c r="BW14" s="319"/>
      <c r="BX14" s="319"/>
      <c r="BY14" s="319"/>
      <c r="BZ14" s="319"/>
      <c r="CA14" s="319"/>
      <c r="CB14" s="319"/>
      <c r="CC14" s="319"/>
      <c r="CD14" s="319"/>
      <c r="CE14" s="319"/>
      <c r="CF14" s="319"/>
      <c r="CG14" s="319"/>
      <c r="CH14" s="319"/>
      <c r="CI14" s="319"/>
      <c r="CJ14" s="319"/>
      <c r="CK14" s="319"/>
      <c r="CL14" s="319"/>
      <c r="CM14" s="319"/>
      <c r="CN14" s="319"/>
      <c r="CO14" s="319"/>
      <c r="CP14" s="319"/>
      <c r="CQ14" s="319"/>
      <c r="CR14" s="319"/>
      <c r="CS14" s="177"/>
      <c r="CT14" s="271"/>
      <c r="CU14" s="271"/>
      <c r="CV14" s="271"/>
      <c r="CW14" s="319"/>
      <c r="CX14" s="319"/>
      <c r="CY14" s="319"/>
      <c r="CZ14" s="319"/>
      <c r="DA14" s="319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419">
        <f t="shared" si="1"/>
        <v>0</v>
      </c>
      <c r="DT14" s="57"/>
      <c r="DU14" s="319"/>
      <c r="DV14" s="319"/>
      <c r="DW14" s="319"/>
      <c r="DX14" s="319"/>
      <c r="DY14" s="319"/>
      <c r="DZ14" s="319"/>
      <c r="EA14" s="319"/>
      <c r="EB14" s="319"/>
      <c r="EC14" s="319"/>
      <c r="ED14" s="319"/>
      <c r="EE14" s="319"/>
      <c r="EF14" s="319"/>
      <c r="EG14" s="319"/>
      <c r="EH14" s="319"/>
      <c r="EI14" s="319"/>
      <c r="EJ14" s="319"/>
      <c r="EK14" s="319"/>
      <c r="EL14" s="319"/>
      <c r="EM14" s="319">
        <v>0.154</v>
      </c>
      <c r="EN14" s="319"/>
      <c r="EO14" s="319"/>
      <c r="EP14" s="319"/>
      <c r="EQ14" s="319"/>
      <c r="ER14" s="245">
        <f>0.051*0.3</f>
        <v>1.5299999999999998E-2</v>
      </c>
      <c r="ES14" s="319"/>
      <c r="ET14" s="319"/>
      <c r="EU14" s="319"/>
      <c r="EV14" s="319"/>
      <c r="EW14" s="319"/>
      <c r="EX14" s="319"/>
      <c r="EY14" s="319"/>
      <c r="EZ14" s="177"/>
      <c r="FA14" s="271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319"/>
      <c r="FQ14" s="319"/>
      <c r="FR14" s="319"/>
      <c r="FS14" s="319"/>
      <c r="FT14" s="319"/>
      <c r="FU14" s="158">
        <f t="shared" si="2"/>
        <v>0.16930000000000001</v>
      </c>
      <c r="FV14" s="95"/>
      <c r="FW14" s="245"/>
      <c r="FX14" s="245"/>
      <c r="FY14" s="245"/>
      <c r="FZ14" s="319"/>
      <c r="GA14" s="319"/>
      <c r="GB14" s="319"/>
      <c r="GC14" s="319"/>
      <c r="GD14" s="319"/>
      <c r="GE14" s="319"/>
      <c r="GF14" s="319"/>
      <c r="GG14" s="319"/>
      <c r="GH14" s="28"/>
      <c r="GI14" s="270"/>
      <c r="GJ14" s="245"/>
      <c r="GK14" s="177"/>
      <c r="GL14" s="271"/>
      <c r="GM14" s="177"/>
      <c r="GN14" s="272"/>
      <c r="GO14" s="435"/>
      <c r="GP14" s="327">
        <f t="shared" si="3"/>
        <v>0</v>
      </c>
      <c r="GQ14" s="445">
        <f t="shared" si="4"/>
        <v>14.12</v>
      </c>
      <c r="GR14" s="449">
        <f t="shared" si="5"/>
        <v>14.12</v>
      </c>
      <c r="GS14" s="451">
        <f t="shared" si="6"/>
        <v>8.3000000000000004E-2</v>
      </c>
      <c r="GT14" s="239">
        <f t="shared" si="7"/>
        <v>0</v>
      </c>
      <c r="GU14" s="36" t="str">
        <f t="shared" si="8"/>
        <v>вит В3, Нутравит В5 (кальпан)</v>
      </c>
      <c r="GV14" s="942">
        <v>46455</v>
      </c>
      <c r="GW14" s="947" t="e">
        <f>GQ14/GT14</f>
        <v>#DIV/0!</v>
      </c>
    </row>
    <row r="15" spans="1:205" ht="15" customHeight="1" x14ac:dyDescent="0.3">
      <c r="A15" s="127">
        <f t="shared" si="10"/>
        <v>7</v>
      </c>
      <c r="B15" s="688" t="s">
        <v>6</v>
      </c>
      <c r="C15" s="900">
        <v>0.53</v>
      </c>
      <c r="D15" s="513">
        <v>0.23</v>
      </c>
      <c r="E15" s="192">
        <v>0</v>
      </c>
      <c r="F15" s="200">
        <v>0.51</v>
      </c>
      <c r="G15" s="92">
        <f t="shared" si="9"/>
        <v>0.247</v>
      </c>
      <c r="H15" s="93">
        <v>19.977</v>
      </c>
      <c r="I15" s="93">
        <v>19.466999999999999</v>
      </c>
      <c r="J15" s="94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  <c r="AZ15" s="319"/>
      <c r="BA15" s="319"/>
      <c r="BB15" s="319"/>
      <c r="BC15" s="319"/>
      <c r="BD15" s="319"/>
      <c r="BE15" s="319">
        <v>0.22900000000000001</v>
      </c>
      <c r="BF15" s="319"/>
      <c r="BG15" s="319"/>
      <c r="BH15" s="319"/>
      <c r="BI15" s="319"/>
      <c r="BJ15" s="158">
        <f t="shared" si="0"/>
        <v>0.22900000000000001</v>
      </c>
      <c r="BK15" s="94"/>
      <c r="BL15" s="319"/>
      <c r="BM15" s="319"/>
      <c r="BN15" s="319"/>
      <c r="BO15" s="319"/>
      <c r="BP15" s="319"/>
      <c r="BQ15" s="319"/>
      <c r="BR15" s="319"/>
      <c r="BS15" s="319"/>
      <c r="BT15" s="319"/>
      <c r="BU15" s="319"/>
      <c r="BV15" s="319"/>
      <c r="BW15" s="319"/>
      <c r="BX15" s="319"/>
      <c r="BY15" s="319"/>
      <c r="BZ15" s="319"/>
      <c r="CA15" s="319"/>
      <c r="CB15" s="319"/>
      <c r="CC15" s="319"/>
      <c r="CD15" s="319"/>
      <c r="CE15" s="319"/>
      <c r="CF15" s="319"/>
      <c r="CG15" s="319"/>
      <c r="CH15" s="319"/>
      <c r="CI15" s="319"/>
      <c r="CJ15" s="319"/>
      <c r="CK15" s="319"/>
      <c r="CL15" s="319"/>
      <c r="CM15" s="319"/>
      <c r="CN15" s="319"/>
      <c r="CO15" s="319"/>
      <c r="CP15" s="319"/>
      <c r="CQ15" s="319"/>
      <c r="CR15" s="319"/>
      <c r="CS15" s="177"/>
      <c r="CT15" s="271"/>
      <c r="CU15" s="271"/>
      <c r="CV15" s="271"/>
      <c r="CW15" s="319"/>
      <c r="CX15" s="319"/>
      <c r="CY15" s="319"/>
      <c r="CZ15" s="319"/>
      <c r="DA15" s="319"/>
      <c r="DB15" s="319"/>
      <c r="DC15" s="319"/>
      <c r="DD15" s="319"/>
      <c r="DE15" s="319"/>
      <c r="DF15" s="319"/>
      <c r="DG15" s="319"/>
      <c r="DH15" s="319"/>
      <c r="DI15" s="319"/>
      <c r="DJ15" s="319"/>
      <c r="DK15" s="319"/>
      <c r="DL15" s="319"/>
      <c r="DM15" s="319"/>
      <c r="DN15" s="319"/>
      <c r="DO15" s="319"/>
      <c r="DP15" s="319"/>
      <c r="DQ15" s="319"/>
      <c r="DR15" s="319"/>
      <c r="DS15" s="419">
        <f t="shared" si="1"/>
        <v>0</v>
      </c>
      <c r="DT15" s="57"/>
      <c r="DU15" s="319"/>
      <c r="DV15" s="319"/>
      <c r="DW15" s="319"/>
      <c r="DX15" s="319"/>
      <c r="DY15" s="319"/>
      <c r="DZ15" s="319"/>
      <c r="EA15" s="319"/>
      <c r="EB15" s="319"/>
      <c r="EC15" s="319"/>
      <c r="ED15" s="319"/>
      <c r="EE15" s="319"/>
      <c r="EF15" s="319"/>
      <c r="EG15" s="319"/>
      <c r="EH15" s="319"/>
      <c r="EI15" s="319"/>
      <c r="EJ15" s="319"/>
      <c r="EK15" s="319"/>
      <c r="EL15" s="319"/>
      <c r="EM15" s="319">
        <v>0.45800000000000002</v>
      </c>
      <c r="EN15" s="319"/>
      <c r="EO15" s="319"/>
      <c r="EP15" s="319"/>
      <c r="EQ15" s="319"/>
      <c r="ER15" s="245">
        <f>0.153*0.3</f>
        <v>4.5899999999999996E-2</v>
      </c>
      <c r="ES15" s="319"/>
      <c r="ET15" s="319"/>
      <c r="EU15" s="319"/>
      <c r="EV15" s="319"/>
      <c r="EW15" s="319"/>
      <c r="EX15" s="319"/>
      <c r="EY15" s="319"/>
      <c r="EZ15" s="177"/>
      <c r="FA15" s="271"/>
      <c r="FB15" s="319"/>
      <c r="FC15" s="319"/>
      <c r="FD15" s="319"/>
      <c r="FE15" s="319"/>
      <c r="FF15" s="319"/>
      <c r="FG15" s="319"/>
      <c r="FH15" s="319"/>
      <c r="FI15" s="319"/>
      <c r="FJ15" s="319"/>
      <c r="FK15" s="319"/>
      <c r="FL15" s="319"/>
      <c r="FM15" s="319"/>
      <c r="FN15" s="319"/>
      <c r="FO15" s="319"/>
      <c r="FP15" s="319"/>
      <c r="FQ15" s="319"/>
      <c r="FR15" s="319"/>
      <c r="FS15" s="319"/>
      <c r="FT15" s="319"/>
      <c r="FU15" s="158">
        <f t="shared" si="2"/>
        <v>0.50390000000000001</v>
      </c>
      <c r="FV15" s="95"/>
      <c r="FW15" s="245"/>
      <c r="FX15" s="245"/>
      <c r="FY15" s="245"/>
      <c r="FZ15" s="319"/>
      <c r="GA15" s="319"/>
      <c r="GB15" s="319"/>
      <c r="GC15" s="319"/>
      <c r="GD15" s="319"/>
      <c r="GE15" s="319"/>
      <c r="GF15" s="319"/>
      <c r="GG15" s="319"/>
      <c r="GH15" s="28"/>
      <c r="GI15" s="270"/>
      <c r="GJ15" s="245"/>
      <c r="GK15" s="177"/>
      <c r="GL15" s="271"/>
      <c r="GM15" s="177"/>
      <c r="GN15" s="272"/>
      <c r="GO15" s="435"/>
      <c r="GP15" s="327">
        <f t="shared" si="3"/>
        <v>0</v>
      </c>
      <c r="GQ15" s="445">
        <f t="shared" si="4"/>
        <v>19.466999999999999</v>
      </c>
      <c r="GR15" s="449">
        <f t="shared" si="5"/>
        <v>19.466999999999999</v>
      </c>
      <c r="GS15" s="451">
        <f t="shared" si="6"/>
        <v>0.247</v>
      </c>
      <c r="GT15" s="239">
        <f t="shared" si="7"/>
        <v>0</v>
      </c>
      <c r="GU15" s="36" t="str">
        <f t="shared" si="8"/>
        <v>вит В5 (ниацин)</v>
      </c>
      <c r="GV15" s="943">
        <v>46890</v>
      </c>
      <c r="GW15" s="947" t="e">
        <f t="shared" ref="GW15:GW16" si="11">GQ15/GT15</f>
        <v>#DIV/0!</v>
      </c>
    </row>
    <row r="16" spans="1:205" ht="15" customHeight="1" x14ac:dyDescent="0.3">
      <c r="A16" s="127">
        <f t="shared" si="10"/>
        <v>8</v>
      </c>
      <c r="B16" s="688" t="s">
        <v>425</v>
      </c>
      <c r="C16" s="900">
        <v>0.03</v>
      </c>
      <c r="D16" s="513">
        <v>0.02</v>
      </c>
      <c r="E16" s="192">
        <v>0.51</v>
      </c>
      <c r="F16" s="200">
        <v>0.13300000000000001</v>
      </c>
      <c r="G16" s="92">
        <f t="shared" si="9"/>
        <v>0.221</v>
      </c>
      <c r="H16" s="93">
        <v>14.1</v>
      </c>
      <c r="I16" s="93">
        <v>13.967000000000001</v>
      </c>
      <c r="J16" s="94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  <c r="AZ16" s="319"/>
      <c r="BA16" s="319"/>
      <c r="BB16" s="319"/>
      <c r="BC16" s="319"/>
      <c r="BD16" s="319"/>
      <c r="BE16" s="319">
        <v>1.4999999999999999E-2</v>
      </c>
      <c r="BF16" s="319"/>
      <c r="BG16" s="319"/>
      <c r="BH16" s="319"/>
      <c r="BI16" s="319"/>
      <c r="BJ16" s="158">
        <f t="shared" si="0"/>
        <v>1.4999999999999999E-2</v>
      </c>
      <c r="BK16" s="94"/>
      <c r="BL16" s="319">
        <v>0.50900000000000001</v>
      </c>
      <c r="BM16" s="319"/>
      <c r="BN16" s="319"/>
      <c r="BO16" s="319"/>
      <c r="BP16" s="319"/>
      <c r="BQ16" s="319"/>
      <c r="BR16" s="319"/>
      <c r="BS16" s="319"/>
      <c r="BT16" s="319"/>
      <c r="BU16" s="319"/>
      <c r="BV16" s="319"/>
      <c r="BW16" s="319"/>
      <c r="BX16" s="319"/>
      <c r="BY16" s="319"/>
      <c r="BZ16" s="319"/>
      <c r="CA16" s="319"/>
      <c r="CB16" s="319"/>
      <c r="CC16" s="319"/>
      <c r="CD16" s="319"/>
      <c r="CE16" s="319"/>
      <c r="CF16" s="319"/>
      <c r="CG16" s="319"/>
      <c r="CH16" s="319"/>
      <c r="CI16" s="319"/>
      <c r="CJ16" s="319"/>
      <c r="CK16" s="319"/>
      <c r="CL16" s="319"/>
      <c r="CM16" s="319"/>
      <c r="CN16" s="319"/>
      <c r="CO16" s="319"/>
      <c r="CP16" s="319"/>
      <c r="CQ16" s="319"/>
      <c r="CR16" s="319"/>
      <c r="CS16" s="177"/>
      <c r="CT16" s="271"/>
      <c r="CU16" s="271"/>
      <c r="CV16" s="271"/>
      <c r="CW16" s="319"/>
      <c r="CX16" s="319"/>
      <c r="CY16" s="319"/>
      <c r="CZ16" s="319"/>
      <c r="DA16" s="319"/>
      <c r="DB16" s="319"/>
      <c r="DC16" s="319"/>
      <c r="DD16" s="319"/>
      <c r="DE16" s="319"/>
      <c r="DF16" s="319"/>
      <c r="DG16" s="319"/>
      <c r="DH16" s="319"/>
      <c r="DI16" s="319"/>
      <c r="DJ16" s="319"/>
      <c r="DK16" s="319"/>
      <c r="DL16" s="319"/>
      <c r="DM16" s="319"/>
      <c r="DN16" s="319"/>
      <c r="DO16" s="319"/>
      <c r="DP16" s="319"/>
      <c r="DQ16" s="319"/>
      <c r="DR16" s="319"/>
      <c r="DS16" s="419">
        <f t="shared" si="1"/>
        <v>0.50900000000000001</v>
      </c>
      <c r="DT16" s="57"/>
      <c r="DU16" s="319"/>
      <c r="DV16" s="319"/>
      <c r="DW16" s="319"/>
      <c r="DX16" s="319"/>
      <c r="DY16" s="319"/>
      <c r="DZ16" s="319"/>
      <c r="EA16" s="319"/>
      <c r="EB16" s="319"/>
      <c r="EC16" s="319"/>
      <c r="ED16" s="319"/>
      <c r="EE16" s="319"/>
      <c r="EF16" s="319"/>
      <c r="EG16" s="319"/>
      <c r="EH16" s="319"/>
      <c r="EI16" s="319"/>
      <c r="EJ16" s="319"/>
      <c r="EK16" s="319"/>
      <c r="EL16" s="319"/>
      <c r="EM16" s="319">
        <v>3.1E-2</v>
      </c>
      <c r="EN16" s="319"/>
      <c r="EO16" s="319"/>
      <c r="EP16" s="319"/>
      <c r="EQ16" s="319"/>
      <c r="ER16" s="245">
        <f>0.01*0.3</f>
        <v>3.0000000000000001E-3</v>
      </c>
      <c r="ES16" s="319"/>
      <c r="ET16" s="319"/>
      <c r="EU16" s="319"/>
      <c r="EV16" s="319"/>
      <c r="EW16" s="319"/>
      <c r="EX16" s="319"/>
      <c r="EY16" s="319"/>
      <c r="EZ16" s="177"/>
      <c r="FA16" s="271"/>
      <c r="FB16" s="319"/>
      <c r="FC16" s="319"/>
      <c r="FD16" s="319"/>
      <c r="FE16" s="319"/>
      <c r="FF16" s="319"/>
      <c r="FG16" s="319"/>
      <c r="FH16" s="319"/>
      <c r="FI16" s="319"/>
      <c r="FJ16" s="319"/>
      <c r="FK16" s="319"/>
      <c r="FL16" s="319"/>
      <c r="FM16" s="319"/>
      <c r="FN16" s="319"/>
      <c r="FO16" s="319"/>
      <c r="FP16" s="319"/>
      <c r="FQ16" s="319"/>
      <c r="FR16" s="319"/>
      <c r="FS16" s="319">
        <f>0.102</f>
        <v>0.10199999999999999</v>
      </c>
      <c r="FT16" s="319"/>
      <c r="FU16" s="158">
        <f t="shared" si="2"/>
        <v>0.13600000000000001</v>
      </c>
      <c r="FV16" s="95"/>
      <c r="FW16" s="245"/>
      <c r="FX16" s="245"/>
      <c r="FY16" s="245"/>
      <c r="FZ16" s="319"/>
      <c r="GA16" s="319"/>
      <c r="GB16" s="319"/>
      <c r="GC16" s="319"/>
      <c r="GD16" s="319"/>
      <c r="GE16" s="319"/>
      <c r="GF16" s="319"/>
      <c r="GG16" s="319"/>
      <c r="GH16" s="28"/>
      <c r="GI16" s="270"/>
      <c r="GJ16" s="245"/>
      <c r="GK16" s="177"/>
      <c r="GL16" s="271"/>
      <c r="GM16" s="177"/>
      <c r="GN16" s="272"/>
      <c r="GO16" s="435"/>
      <c r="GP16" s="327">
        <f t="shared" si="3"/>
        <v>0</v>
      </c>
      <c r="GQ16" s="445">
        <f t="shared" si="4"/>
        <v>13.967000000000001</v>
      </c>
      <c r="GR16" s="449">
        <f t="shared" si="5"/>
        <v>13.967000000000001</v>
      </c>
      <c r="GS16" s="451">
        <f t="shared" si="6"/>
        <v>0.221</v>
      </c>
      <c r="GT16" s="239">
        <f t="shared" si="7"/>
        <v>0.51</v>
      </c>
      <c r="GU16" s="36" t="str">
        <f t="shared" si="8"/>
        <v>вит В6 (пиридоксин)</v>
      </c>
      <c r="GV16" s="953">
        <v>46941</v>
      </c>
      <c r="GW16" s="947">
        <f t="shared" si="11"/>
        <v>27.386274509803922</v>
      </c>
    </row>
    <row r="17" spans="1:205" ht="15" customHeight="1" x14ac:dyDescent="0.3">
      <c r="A17" s="127">
        <f t="shared" si="10"/>
        <v>9</v>
      </c>
      <c r="B17" s="688" t="s">
        <v>426</v>
      </c>
      <c r="C17" s="900">
        <f>143.25+16.72+111.24</f>
        <v>271.20999999999998</v>
      </c>
      <c r="D17" s="513">
        <f>7.13+88.76+139.14</f>
        <v>235.02999999999997</v>
      </c>
      <c r="E17" s="192">
        <v>252.97</v>
      </c>
      <c r="F17" s="200">
        <v>167.52</v>
      </c>
      <c r="G17" s="92">
        <f t="shared" si="9"/>
        <v>218.50700000000001</v>
      </c>
      <c r="H17" s="93">
        <v>307.89</v>
      </c>
      <c r="I17" s="93">
        <v>140.37</v>
      </c>
      <c r="J17" s="94"/>
      <c r="K17" s="319"/>
      <c r="L17" s="319"/>
      <c r="M17" s="319">
        <f>5.796*8</f>
        <v>46.368000000000002</v>
      </c>
      <c r="N17" s="319">
        <v>7.056</v>
      </c>
      <c r="O17" s="319"/>
      <c r="P17" s="319">
        <f>2.016</f>
        <v>2.016</v>
      </c>
      <c r="Q17" s="319">
        <v>3.024</v>
      </c>
      <c r="R17" s="319">
        <f>2.016*3</f>
        <v>6.048</v>
      </c>
      <c r="S17" s="319"/>
      <c r="T17" s="319"/>
      <c r="U17" s="319">
        <f>2.016*1.5</f>
        <v>3.024</v>
      </c>
      <c r="V17" s="319">
        <f>2.016*4</f>
        <v>8.0640000000000001</v>
      </c>
      <c r="W17" s="319"/>
      <c r="X17" s="319">
        <f>2.016*7</f>
        <v>14.112</v>
      </c>
      <c r="Y17" s="319"/>
      <c r="Z17" s="319">
        <f>2.016*2</f>
        <v>4.032</v>
      </c>
      <c r="AA17" s="319">
        <f>2.016*4</f>
        <v>8.0640000000000001</v>
      </c>
      <c r="AB17" s="319">
        <f>2.016*8</f>
        <v>16.128</v>
      </c>
      <c r="AC17" s="319">
        <f>5.796*6</f>
        <v>34.776000000000003</v>
      </c>
      <c r="AD17" s="319"/>
      <c r="AE17" s="319"/>
      <c r="AF17" s="319">
        <v>0.53600000000000003</v>
      </c>
      <c r="AG17" s="319">
        <v>0.53600000000000003</v>
      </c>
      <c r="AH17" s="319">
        <f>2.09+3.961</f>
        <v>6.0510000000000002</v>
      </c>
      <c r="AI17" s="319"/>
      <c r="AJ17" s="319">
        <v>3.7090000000000001</v>
      </c>
      <c r="AK17" s="319"/>
      <c r="AL17" s="319">
        <v>1.21</v>
      </c>
      <c r="AM17" s="319"/>
      <c r="AN17" s="319"/>
      <c r="AO17" s="319"/>
      <c r="AP17" s="319"/>
      <c r="AQ17" s="319">
        <v>1.8140000000000001</v>
      </c>
      <c r="AR17" s="319">
        <v>0.26800000000000002</v>
      </c>
      <c r="AS17" s="319">
        <v>0.40200000000000002</v>
      </c>
      <c r="AT17" s="319"/>
      <c r="AU17" s="319">
        <v>2.016</v>
      </c>
      <c r="AV17" s="319"/>
      <c r="AW17" s="319"/>
      <c r="AX17" s="319"/>
      <c r="AY17" s="319"/>
      <c r="AZ17" s="319">
        <v>1.179</v>
      </c>
      <c r="BA17" s="319">
        <v>1.179</v>
      </c>
      <c r="BB17" s="319">
        <v>2.016</v>
      </c>
      <c r="BC17" s="319">
        <f>1.21</f>
        <v>1.21</v>
      </c>
      <c r="BD17" s="319"/>
      <c r="BE17" s="319"/>
      <c r="BF17" s="319"/>
      <c r="BG17" s="319">
        <f>57.96</f>
        <v>57.96</v>
      </c>
      <c r="BH17" s="319"/>
      <c r="BI17" s="319">
        <f>2.016*1.1</f>
        <v>2.2176</v>
      </c>
      <c r="BJ17" s="158">
        <f t="shared" si="0"/>
        <v>235.01559999999998</v>
      </c>
      <c r="BK17" s="94"/>
      <c r="BL17" s="319"/>
      <c r="BM17" s="319"/>
      <c r="BN17" s="319"/>
      <c r="BO17" s="319"/>
      <c r="BP17" s="319"/>
      <c r="BQ17" s="319"/>
      <c r="BR17" s="319"/>
      <c r="BS17" s="319">
        <f>2.016*5.4</f>
        <v>10.8864</v>
      </c>
      <c r="BT17" s="319"/>
      <c r="BU17" s="319"/>
      <c r="BV17" s="319"/>
      <c r="BW17" s="319"/>
      <c r="BX17" s="319">
        <f>2.016*2.1</f>
        <v>4.2336</v>
      </c>
      <c r="BY17" s="319">
        <f>2.016*2</f>
        <v>4.032</v>
      </c>
      <c r="BZ17" s="319"/>
      <c r="CA17" s="319">
        <f>2.016*4</f>
        <v>8.0640000000000001</v>
      </c>
      <c r="CB17" s="319"/>
      <c r="CC17" s="319"/>
      <c r="CD17" s="319">
        <f>2.016*4</f>
        <v>8.0640000000000001</v>
      </c>
      <c r="CE17" s="319"/>
      <c r="CF17" s="319">
        <f>16.128/8*6</f>
        <v>12.096</v>
      </c>
      <c r="CG17" s="319"/>
      <c r="CH17" s="319">
        <f>2.016*0.6</f>
        <v>1.2096</v>
      </c>
      <c r="CI17" s="319">
        <v>3.024</v>
      </c>
      <c r="CJ17" s="319"/>
      <c r="CK17" s="319"/>
      <c r="CL17" s="319">
        <f>1.21/0.6*0.9</f>
        <v>1.8149999999999999</v>
      </c>
      <c r="CM17" s="319">
        <v>1.21</v>
      </c>
      <c r="CN17" s="319">
        <v>7.056</v>
      </c>
      <c r="CO17" s="319">
        <f>2.016*2</f>
        <v>4.032</v>
      </c>
      <c r="CP17" s="319"/>
      <c r="CQ17" s="319"/>
      <c r="CR17" s="319"/>
      <c r="CS17" s="177"/>
      <c r="CT17" s="271">
        <v>90.72</v>
      </c>
      <c r="CU17" s="271"/>
      <c r="CV17" s="271">
        <v>3.78</v>
      </c>
      <c r="CW17" s="319"/>
      <c r="CX17" s="319">
        <f>57.96</f>
        <v>57.96</v>
      </c>
      <c r="CY17" s="319"/>
      <c r="CZ17" s="319"/>
      <c r="DA17" s="319"/>
      <c r="DB17" s="319"/>
      <c r="DC17" s="319"/>
      <c r="DD17" s="319">
        <f>2.09+3.961</f>
        <v>6.0510000000000002</v>
      </c>
      <c r="DE17" s="319"/>
      <c r="DF17" s="319">
        <f>2.016*0.6</f>
        <v>1.2096</v>
      </c>
      <c r="DG17" s="319"/>
      <c r="DH17" s="319">
        <f>2.016</f>
        <v>2.016</v>
      </c>
      <c r="DI17" s="319">
        <f>16.128/8</f>
        <v>2.016</v>
      </c>
      <c r="DJ17" s="319"/>
      <c r="DK17" s="319"/>
      <c r="DL17" s="319"/>
      <c r="DM17" s="319"/>
      <c r="DN17" s="319"/>
      <c r="DO17" s="319">
        <f>2.016*4</f>
        <v>8.0640000000000001</v>
      </c>
      <c r="DP17" s="319">
        <f>16.128/8*7.5</f>
        <v>15.120000000000001</v>
      </c>
      <c r="DQ17" s="319"/>
      <c r="DR17" s="319">
        <v>0.318</v>
      </c>
      <c r="DS17" s="464">
        <f t="shared" si="1"/>
        <v>252.97719999999998</v>
      </c>
      <c r="DT17" s="57"/>
      <c r="DU17" s="319"/>
      <c r="DV17" s="319"/>
      <c r="DW17" s="319"/>
      <c r="DX17" s="319"/>
      <c r="DY17" s="319"/>
      <c r="DZ17" s="319"/>
      <c r="EA17" s="319">
        <f>2.413</f>
        <v>2.4129999999999998</v>
      </c>
      <c r="EB17" s="319">
        <f>5.796*10</f>
        <v>57.96</v>
      </c>
      <c r="EC17" s="319"/>
      <c r="ED17" s="319">
        <v>0.40200000000000002</v>
      </c>
      <c r="EE17" s="319">
        <v>0.26800000000000002</v>
      </c>
      <c r="EF17" s="319">
        <v>2.016</v>
      </c>
      <c r="EG17" s="319"/>
      <c r="EH17" s="319"/>
      <c r="EI17" s="319"/>
      <c r="EJ17" s="319">
        <f>2.016*1.5</f>
        <v>3.024</v>
      </c>
      <c r="EK17" s="319">
        <v>2.016</v>
      </c>
      <c r="EL17" s="319">
        <v>2.016</v>
      </c>
      <c r="EM17" s="319"/>
      <c r="EN17" s="319">
        <f>16.128/8*5</f>
        <v>10.08</v>
      </c>
      <c r="EO17" s="319"/>
      <c r="EP17" s="319">
        <f>2.016*2</f>
        <v>4.032</v>
      </c>
      <c r="EQ17" s="319"/>
      <c r="ER17" s="245"/>
      <c r="ES17" s="319">
        <f>2.016*3</f>
        <v>6.048</v>
      </c>
      <c r="ET17" s="319">
        <v>1.21</v>
      </c>
      <c r="EU17" s="319">
        <v>1.8140000000000001</v>
      </c>
      <c r="EV17" s="319"/>
      <c r="EW17" s="319"/>
      <c r="EX17" s="319"/>
      <c r="EY17" s="319"/>
      <c r="EZ17" s="177">
        <v>3.3519999999999999</v>
      </c>
      <c r="FA17" s="271"/>
      <c r="FB17" s="319">
        <f>1.21/0.6*1.2</f>
        <v>2.42</v>
      </c>
      <c r="FC17" s="319"/>
      <c r="FD17" s="319">
        <v>6.048</v>
      </c>
      <c r="FE17" s="319"/>
      <c r="FF17" s="319"/>
      <c r="FG17" s="319"/>
      <c r="FH17" s="319"/>
      <c r="FI17" s="319"/>
      <c r="FJ17" s="319">
        <f>5.796*10</f>
        <v>57.96</v>
      </c>
      <c r="FK17" s="319"/>
      <c r="FL17" s="319"/>
      <c r="FM17" s="319"/>
      <c r="FN17" s="319"/>
      <c r="FO17" s="319">
        <f>2.016*1.2</f>
        <v>2.4192</v>
      </c>
      <c r="FP17" s="319"/>
      <c r="FQ17" s="319"/>
      <c r="FR17" s="319"/>
      <c r="FS17" s="319">
        <f>2.016</f>
        <v>2.016</v>
      </c>
      <c r="FT17" s="319"/>
      <c r="FU17" s="158">
        <f t="shared" si="2"/>
        <v>167.51419999999999</v>
      </c>
      <c r="FV17" s="95"/>
      <c r="FW17" s="245"/>
      <c r="FX17" s="245"/>
      <c r="FY17" s="245"/>
      <c r="FZ17" s="319"/>
      <c r="GA17" s="319"/>
      <c r="GB17" s="319"/>
      <c r="GC17" s="319"/>
      <c r="GD17" s="319"/>
      <c r="GE17" s="319"/>
      <c r="GF17" s="319"/>
      <c r="GG17" s="319"/>
      <c r="GH17" s="28"/>
      <c r="GI17" s="270"/>
      <c r="GJ17" s="245"/>
      <c r="GK17" s="177"/>
      <c r="GL17" s="271"/>
      <c r="GM17" s="177"/>
      <c r="GN17" s="272"/>
      <c r="GO17" s="435"/>
      <c r="GP17" s="327">
        <f t="shared" si="3"/>
        <v>0</v>
      </c>
      <c r="GQ17" s="445">
        <f t="shared" si="4"/>
        <v>140.37</v>
      </c>
      <c r="GR17" s="449">
        <f t="shared" si="5"/>
        <v>140.37</v>
      </c>
      <c r="GS17" s="451">
        <f t="shared" si="6"/>
        <v>218.50700000000001</v>
      </c>
      <c r="GT17" s="239">
        <f t="shared" si="7"/>
        <v>252.97</v>
      </c>
      <c r="GU17" s="36" t="str">
        <f t="shared" si="8"/>
        <v xml:space="preserve">вит Н (биотин) </v>
      </c>
      <c r="GV17" s="402"/>
    </row>
    <row r="18" spans="1:205" ht="15" customHeight="1" x14ac:dyDescent="0.3">
      <c r="A18" s="1043"/>
      <c r="B18" s="1044"/>
      <c r="C18" s="1041"/>
      <c r="D18" s="1045"/>
      <c r="E18" s="1046"/>
      <c r="F18" s="1047"/>
      <c r="G18" s="1048"/>
      <c r="H18" s="1028">
        <f>SUM(H9:H17)</f>
        <v>1905.7329999999997</v>
      </c>
      <c r="I18" s="1028">
        <f>SUM(I9:I17)</f>
        <v>2960.3879999999999</v>
      </c>
      <c r="J18" s="94"/>
      <c r="K18" s="1029"/>
      <c r="L18" s="1029"/>
      <c r="M18" s="1029"/>
      <c r="N18" s="1029"/>
      <c r="O18" s="1029"/>
      <c r="P18" s="1029"/>
      <c r="Q18" s="1029"/>
      <c r="R18" s="1029"/>
      <c r="S18" s="1029"/>
      <c r="T18" s="1029"/>
      <c r="U18" s="1029"/>
      <c r="V18" s="1029"/>
      <c r="W18" s="1029"/>
      <c r="X18" s="1029"/>
      <c r="Y18" s="1029"/>
      <c r="Z18" s="1029"/>
      <c r="AA18" s="1029"/>
      <c r="AB18" s="1029"/>
      <c r="AC18" s="1029"/>
      <c r="AD18" s="1029"/>
      <c r="AE18" s="1029"/>
      <c r="AF18" s="1029"/>
      <c r="AG18" s="1029"/>
      <c r="AH18" s="1029"/>
      <c r="AI18" s="1029"/>
      <c r="AJ18" s="1029"/>
      <c r="AK18" s="1029"/>
      <c r="AL18" s="1029"/>
      <c r="AM18" s="1029"/>
      <c r="AN18" s="1029"/>
      <c r="AO18" s="1029"/>
      <c r="AP18" s="1029"/>
      <c r="AQ18" s="1029"/>
      <c r="AR18" s="1029"/>
      <c r="AS18" s="1029"/>
      <c r="AT18" s="1029"/>
      <c r="AU18" s="1029"/>
      <c r="AV18" s="1029"/>
      <c r="AW18" s="1029"/>
      <c r="AX18" s="1029"/>
      <c r="AY18" s="1029"/>
      <c r="AZ18" s="1029"/>
      <c r="BA18" s="1029"/>
      <c r="BB18" s="1029"/>
      <c r="BC18" s="1029"/>
      <c r="BD18" s="1029"/>
      <c r="BE18" s="1029"/>
      <c r="BF18" s="1029"/>
      <c r="BG18" s="1029"/>
      <c r="BH18" s="1029"/>
      <c r="BI18" s="1029"/>
      <c r="BJ18" s="1031"/>
      <c r="BK18" s="94"/>
      <c r="BL18" s="1029"/>
      <c r="BM18" s="1029"/>
      <c r="BN18" s="1029"/>
      <c r="BO18" s="1029"/>
      <c r="BP18" s="1029"/>
      <c r="BQ18" s="1029"/>
      <c r="BR18" s="1029"/>
      <c r="BS18" s="1029"/>
      <c r="BT18" s="1029"/>
      <c r="BU18" s="1029"/>
      <c r="BV18" s="1029"/>
      <c r="BW18" s="1029"/>
      <c r="BX18" s="1029"/>
      <c r="BY18" s="1029"/>
      <c r="BZ18" s="1029"/>
      <c r="CA18" s="1029"/>
      <c r="CB18" s="1029"/>
      <c r="CC18" s="1029"/>
      <c r="CD18" s="1029"/>
      <c r="CE18" s="1029"/>
      <c r="CF18" s="1029"/>
      <c r="CG18" s="1029"/>
      <c r="CH18" s="1029"/>
      <c r="CI18" s="1029"/>
      <c r="CJ18" s="1029"/>
      <c r="CK18" s="1029"/>
      <c r="CL18" s="1029"/>
      <c r="CM18" s="1029"/>
      <c r="CN18" s="1029"/>
      <c r="CO18" s="1029"/>
      <c r="CP18" s="1029"/>
      <c r="CQ18" s="1029"/>
      <c r="CR18" s="1029"/>
      <c r="CS18" s="1032"/>
      <c r="CT18" s="1033"/>
      <c r="CU18" s="1033"/>
      <c r="CV18" s="1033"/>
      <c r="CW18" s="1029"/>
      <c r="CX18" s="1029"/>
      <c r="CY18" s="1029"/>
      <c r="CZ18" s="1029"/>
      <c r="DA18" s="1029"/>
      <c r="DB18" s="1029"/>
      <c r="DC18" s="1029"/>
      <c r="DD18" s="1029"/>
      <c r="DE18" s="1029"/>
      <c r="DF18" s="1029"/>
      <c r="DG18" s="1029"/>
      <c r="DH18" s="1029"/>
      <c r="DI18" s="1029"/>
      <c r="DJ18" s="1029"/>
      <c r="DK18" s="1029"/>
      <c r="DL18" s="1029"/>
      <c r="DM18" s="1029"/>
      <c r="DN18" s="1029"/>
      <c r="DO18" s="1029"/>
      <c r="DP18" s="1029"/>
      <c r="DQ18" s="1029"/>
      <c r="DR18" s="1029"/>
      <c r="DS18" s="1050"/>
      <c r="DT18" s="57"/>
      <c r="DU18" s="1029"/>
      <c r="DV18" s="1029"/>
      <c r="DW18" s="1029"/>
      <c r="DX18" s="1029"/>
      <c r="DY18" s="1029"/>
      <c r="DZ18" s="1029"/>
      <c r="EA18" s="1029"/>
      <c r="EB18" s="1029"/>
      <c r="EC18" s="1029"/>
      <c r="ED18" s="1029"/>
      <c r="EE18" s="1029"/>
      <c r="EF18" s="1029"/>
      <c r="EG18" s="1029"/>
      <c r="EH18" s="1029"/>
      <c r="EI18" s="1029"/>
      <c r="EJ18" s="1029"/>
      <c r="EK18" s="1029"/>
      <c r="EL18" s="1029"/>
      <c r="EM18" s="1029"/>
      <c r="EN18" s="1029"/>
      <c r="EO18" s="1029"/>
      <c r="EP18" s="1029"/>
      <c r="EQ18" s="1029"/>
      <c r="ER18" s="1030"/>
      <c r="ES18" s="1029"/>
      <c r="ET18" s="1029"/>
      <c r="EU18" s="1029"/>
      <c r="EV18" s="1029"/>
      <c r="EW18" s="1029"/>
      <c r="EX18" s="1029"/>
      <c r="EY18" s="1029"/>
      <c r="EZ18" s="1032"/>
      <c r="FA18" s="1033"/>
      <c r="FB18" s="1029"/>
      <c r="FC18" s="1029"/>
      <c r="FD18" s="1029"/>
      <c r="FE18" s="1029"/>
      <c r="FF18" s="1029"/>
      <c r="FG18" s="1029"/>
      <c r="FH18" s="1029"/>
      <c r="FI18" s="1029"/>
      <c r="FJ18" s="1029"/>
      <c r="FK18" s="1029"/>
      <c r="FL18" s="1029"/>
      <c r="FM18" s="1029"/>
      <c r="FN18" s="1029"/>
      <c r="FO18" s="1029"/>
      <c r="FP18" s="1029"/>
      <c r="FQ18" s="1029"/>
      <c r="FR18" s="1029"/>
      <c r="FS18" s="1029"/>
      <c r="FT18" s="1029"/>
      <c r="FU18" s="1029"/>
      <c r="FV18" s="95"/>
      <c r="FW18" s="1030"/>
      <c r="FX18" s="1030"/>
      <c r="FY18" s="1030"/>
      <c r="FZ18" s="1029"/>
      <c r="GA18" s="1029"/>
      <c r="GB18" s="1029"/>
      <c r="GC18" s="1029"/>
      <c r="GD18" s="1029"/>
      <c r="GE18" s="1029"/>
      <c r="GF18" s="1029"/>
      <c r="GG18" s="1029"/>
      <c r="GH18" s="1034"/>
      <c r="GI18" s="1035"/>
      <c r="GJ18" s="1030"/>
      <c r="GK18" s="1032"/>
      <c r="GL18" s="1033"/>
      <c r="GM18" s="1032"/>
      <c r="GN18" s="1036"/>
      <c r="GO18" s="1037"/>
      <c r="GP18" s="1038"/>
      <c r="GQ18" s="1038"/>
      <c r="GR18" s="1049"/>
      <c r="GS18" s="1040"/>
      <c r="GT18" s="1040"/>
      <c r="GU18" s="1041"/>
      <c r="GV18" s="1042"/>
    </row>
    <row r="19" spans="1:205" ht="15" customHeight="1" x14ac:dyDescent="0.3">
      <c r="A19" s="127">
        <f>A17+1</f>
        <v>10</v>
      </c>
      <c r="B19" s="690" t="s">
        <v>56</v>
      </c>
      <c r="C19" s="900">
        <f>3914.16+10971.21</f>
        <v>14885.369999999999</v>
      </c>
      <c r="D19" s="513">
        <v>10047.629999999999</v>
      </c>
      <c r="E19" s="192">
        <v>15140.75</v>
      </c>
      <c r="F19" s="200">
        <f>3840.41+8549.98</f>
        <v>12390.39</v>
      </c>
      <c r="G19" s="92">
        <f t="shared" si="9"/>
        <v>12526.257</v>
      </c>
      <c r="H19" s="93">
        <f>3840.41+20000</f>
        <v>23840.41</v>
      </c>
      <c r="I19" s="93">
        <v>11450.02</v>
      </c>
      <c r="J19" s="94"/>
      <c r="K19" s="319">
        <f>159.957*3</f>
        <v>479.87099999999998</v>
      </c>
      <c r="L19" s="319">
        <v>478.24200000000002</v>
      </c>
      <c r="M19" s="319">
        <f>70.56*8</f>
        <v>564.48</v>
      </c>
      <c r="N19" s="319">
        <v>10.263</v>
      </c>
      <c r="O19" s="319">
        <v>185.07</v>
      </c>
      <c r="P19" s="319">
        <f>69.051</f>
        <v>69.051000000000002</v>
      </c>
      <c r="Q19" s="319">
        <v>249.458</v>
      </c>
      <c r="R19" s="319">
        <f>93.283*3</f>
        <v>279.84899999999999</v>
      </c>
      <c r="S19" s="319"/>
      <c r="T19" s="319">
        <f>208.128</f>
        <v>208.12799999999999</v>
      </c>
      <c r="U19" s="319"/>
      <c r="V19" s="319">
        <f>93.283*4</f>
        <v>373.13200000000001</v>
      </c>
      <c r="W19" s="319">
        <f>159.957*1.5</f>
        <v>239.93549999999999</v>
      </c>
      <c r="X19" s="319"/>
      <c r="Y19" s="319">
        <f>18.327*3</f>
        <v>54.981000000000009</v>
      </c>
      <c r="Z19" s="319"/>
      <c r="AA19" s="319">
        <f>93.283*4</f>
        <v>373.13200000000001</v>
      </c>
      <c r="AB19" s="319"/>
      <c r="AC19" s="319">
        <f>70.56*6</f>
        <v>423.36</v>
      </c>
      <c r="AD19" s="319">
        <v>16.128</v>
      </c>
      <c r="AE19" s="319">
        <v>149.55099999999999</v>
      </c>
      <c r="AF19" s="319">
        <v>1.9550000000000001</v>
      </c>
      <c r="AG19" s="319">
        <v>1.9550000000000001</v>
      </c>
      <c r="AH19" s="319">
        <v>302.20400000000001</v>
      </c>
      <c r="AI19" s="319">
        <f>444.145*4</f>
        <v>1776.58</v>
      </c>
      <c r="AJ19" s="319">
        <v>84.305000000000007</v>
      </c>
      <c r="AK19" s="319">
        <v>91.635999999999996</v>
      </c>
      <c r="AL19" s="319">
        <v>60.441000000000003</v>
      </c>
      <c r="AM19" s="319">
        <v>87.971000000000004</v>
      </c>
      <c r="AN19" s="319">
        <v>208.13499999999999</v>
      </c>
      <c r="AO19" s="319">
        <f>109.964*2</f>
        <v>219.928</v>
      </c>
      <c r="AP19" s="245">
        <f>208.128*1.3</f>
        <v>270.56639999999999</v>
      </c>
      <c r="AQ19" s="319">
        <v>92.343999999999994</v>
      </c>
      <c r="AR19" s="319">
        <v>0.97699999999999998</v>
      </c>
      <c r="AS19" s="319">
        <v>1.466</v>
      </c>
      <c r="AT19" s="319">
        <v>249.251</v>
      </c>
      <c r="AU19" s="319">
        <v>93.283000000000001</v>
      </c>
      <c r="AV19" s="319">
        <f>208.128</f>
        <v>208.12799999999999</v>
      </c>
      <c r="AW19" s="319">
        <v>478.24200000000002</v>
      </c>
      <c r="AX19" s="319">
        <f>159.957*1.2</f>
        <v>191.94839999999999</v>
      </c>
      <c r="AY19" s="319">
        <v>186.93799999999999</v>
      </c>
      <c r="AZ19" s="319">
        <v>4.3120000000000003</v>
      </c>
      <c r="BA19" s="319">
        <v>4.3120000000000003</v>
      </c>
      <c r="BB19" s="319">
        <v>93.412999999999997</v>
      </c>
      <c r="BC19" s="319"/>
      <c r="BD19" s="319">
        <f>62.438/0.3</f>
        <v>208.12666666666669</v>
      </c>
      <c r="BE19" s="319">
        <v>41.235999999999997</v>
      </c>
      <c r="BF19" s="319">
        <v>0.27500000000000002</v>
      </c>
      <c r="BG19" s="319">
        <f>705.6</f>
        <v>705.6</v>
      </c>
      <c r="BH19" s="319">
        <f>208.128*0.6</f>
        <v>124.87679999999999</v>
      </c>
      <c r="BI19" s="319">
        <f>93.283*1.1</f>
        <v>102.61130000000001</v>
      </c>
      <c r="BJ19" s="158">
        <f t="shared" ref="BJ19:BJ35" si="12">SUM(K19:BI19)</f>
        <v>10047.64806666667</v>
      </c>
      <c r="BK19" s="94"/>
      <c r="BL19" s="319">
        <v>606.73400000000004</v>
      </c>
      <c r="BM19" s="319"/>
      <c r="BN19" s="319">
        <f>208.128*1.5</f>
        <v>312.19200000000001</v>
      </c>
      <c r="BO19" s="319">
        <f>159.414*2.4</f>
        <v>382.59359999999998</v>
      </c>
      <c r="BP19" s="319">
        <v>208.12799999999999</v>
      </c>
      <c r="BQ19" s="319">
        <f>159.957*3</f>
        <v>479.87099999999998</v>
      </c>
      <c r="BR19" s="319"/>
      <c r="BS19" s="319"/>
      <c r="BT19" s="319">
        <v>478.24200000000002</v>
      </c>
      <c r="BU19" s="319">
        <f>159.957*1.9</f>
        <v>303.91829999999999</v>
      </c>
      <c r="BV19" s="319">
        <v>104.06399999999999</v>
      </c>
      <c r="BW19" s="319">
        <v>45.076000000000001</v>
      </c>
      <c r="BX19" s="319"/>
      <c r="BY19" s="319"/>
      <c r="BZ19" s="319">
        <f>208.128</f>
        <v>208.12799999999999</v>
      </c>
      <c r="CA19" s="319">
        <f>93.283*4</f>
        <v>373.13200000000001</v>
      </c>
      <c r="CB19" s="319">
        <f>159.957*3</f>
        <v>479.87099999999998</v>
      </c>
      <c r="CC19" s="319">
        <f>191.948/1.2*3</f>
        <v>479.87</v>
      </c>
      <c r="CD19" s="319">
        <f>93.283*4</f>
        <v>373.13200000000001</v>
      </c>
      <c r="CE19" s="319">
        <v>208.12799999999999</v>
      </c>
      <c r="CF19" s="319"/>
      <c r="CG19" s="319">
        <v>69.400999999999996</v>
      </c>
      <c r="CH19" s="319">
        <f>69.051*0.6</f>
        <v>41.430599999999998</v>
      </c>
      <c r="CI19" s="319">
        <v>249.458</v>
      </c>
      <c r="CJ19" s="319">
        <v>54.981999999999999</v>
      </c>
      <c r="CK19" s="319">
        <f>87.971/0.8*0.9</f>
        <v>98.967375000000004</v>
      </c>
      <c r="CL19" s="319">
        <f>61.563/0.6*0.9</f>
        <v>92.344500000000011</v>
      </c>
      <c r="CM19" s="319">
        <v>60.441000000000003</v>
      </c>
      <c r="CN19" s="319">
        <v>10.263</v>
      </c>
      <c r="CO19" s="319"/>
      <c r="CP19" s="319">
        <f>208.128*0.3</f>
        <v>62.438399999999994</v>
      </c>
      <c r="CQ19" s="319">
        <v>478.24200000000002</v>
      </c>
      <c r="CR19" s="319">
        <v>208.12799999999999</v>
      </c>
      <c r="CS19" s="177">
        <v>5.4980000000000002</v>
      </c>
      <c r="CT19" s="271">
        <v>1649.4549999999999</v>
      </c>
      <c r="CU19" s="271">
        <v>997.00400000000002</v>
      </c>
      <c r="CV19" s="271">
        <v>67.444000000000003</v>
      </c>
      <c r="CW19" s="319">
        <v>8.2469999999999999</v>
      </c>
      <c r="CX19" s="319">
        <f>705.6</f>
        <v>705.6</v>
      </c>
      <c r="CY19" s="319"/>
      <c r="CZ19" s="319">
        <f>87.971/0.8*3</f>
        <v>329.89125000000001</v>
      </c>
      <c r="DA19" s="245">
        <f>270.676/1.3*1.5</f>
        <v>312.31846153846152</v>
      </c>
      <c r="DB19" s="319">
        <f>91.636*2</f>
        <v>183.27199999999999</v>
      </c>
      <c r="DC19" s="319">
        <f>1776.813/4*4.5</f>
        <v>1998.9146250000001</v>
      </c>
      <c r="DD19" s="319">
        <v>302.20400000000001</v>
      </c>
      <c r="DE19" s="319">
        <v>208.13499999999999</v>
      </c>
      <c r="DF19" s="319">
        <f>93.283*0.6</f>
        <v>55.969799999999999</v>
      </c>
      <c r="DG19" s="319">
        <f>208.212</f>
        <v>208.21199999999999</v>
      </c>
      <c r="DH19" s="319">
        <f>93.347</f>
        <v>93.346999999999994</v>
      </c>
      <c r="DI19" s="319"/>
      <c r="DJ19" s="319"/>
      <c r="DK19" s="319">
        <v>0.27500000000000002</v>
      </c>
      <c r="DL19" s="319">
        <f>160.014*3</f>
        <v>480.04200000000003</v>
      </c>
      <c r="DM19" s="319">
        <f>160.014*3</f>
        <v>480.04200000000003</v>
      </c>
      <c r="DN19" s="319">
        <f>208.212</f>
        <v>208.21199999999999</v>
      </c>
      <c r="DO19" s="319">
        <f>93.347*4</f>
        <v>373.38799999999998</v>
      </c>
      <c r="DP19" s="319"/>
      <c r="DQ19" s="319">
        <f>1.833*1.5</f>
        <v>2.7494999999999998</v>
      </c>
      <c r="DR19" s="319">
        <v>1.375</v>
      </c>
      <c r="DS19" s="275">
        <f t="shared" ref="DS19:DS35" si="13">SUM(BL19:DR19)</f>
        <v>15140.771411538459</v>
      </c>
      <c r="DT19" s="57"/>
      <c r="DU19" s="319">
        <v>382.733</v>
      </c>
      <c r="DV19" s="319">
        <v>239.964</v>
      </c>
      <c r="DW19" s="319">
        <v>62.463999999999999</v>
      </c>
      <c r="DX19" s="319">
        <f>87.971/0.8*0.9</f>
        <v>98.967375000000004</v>
      </c>
      <c r="DY19" s="319">
        <f>208.212*1.3</f>
        <v>270.67559999999997</v>
      </c>
      <c r="DZ19" s="319"/>
      <c r="EA19" s="319">
        <v>8.7970000000000006</v>
      </c>
      <c r="EB19" s="319">
        <f>70.56*10</f>
        <v>705.6</v>
      </c>
      <c r="EC19" s="319">
        <v>249.251</v>
      </c>
      <c r="ED19" s="319">
        <v>1.466</v>
      </c>
      <c r="EE19" s="319">
        <v>0.97699999999999998</v>
      </c>
      <c r="EF19" s="319">
        <v>93.433000000000007</v>
      </c>
      <c r="EG19" s="319">
        <f>45.09/0.3*0.6</f>
        <v>90.18</v>
      </c>
      <c r="EH19" s="319">
        <v>48.003999999999998</v>
      </c>
      <c r="EI19" s="319">
        <f>208.212*0.8</f>
        <v>166.56960000000001</v>
      </c>
      <c r="EJ19" s="319">
        <f>93.347*1.5</f>
        <v>140.0205</v>
      </c>
      <c r="EK19" s="319">
        <v>93.346999999999994</v>
      </c>
      <c r="EL19" s="319">
        <v>93.347999999999999</v>
      </c>
      <c r="EM19" s="319">
        <v>82.472999999999999</v>
      </c>
      <c r="EN19" s="319"/>
      <c r="EO19" s="319">
        <f>208.212*5</f>
        <v>1041.06</v>
      </c>
      <c r="EP19" s="319">
        <f>93.347*2</f>
        <v>186.69399999999999</v>
      </c>
      <c r="EQ19" s="319">
        <v>478.41699999999997</v>
      </c>
      <c r="ER19" s="245">
        <f>27.491*0.3</f>
        <v>8.2472999999999992</v>
      </c>
      <c r="ES19" s="319">
        <f>93.347*3</f>
        <v>280.041</v>
      </c>
      <c r="ET19" s="319">
        <v>60.451999999999998</v>
      </c>
      <c r="EU19" s="319">
        <v>92.38</v>
      </c>
      <c r="EV19" s="319">
        <v>104.11</v>
      </c>
      <c r="EW19" s="319">
        <f>91.636*2</f>
        <v>183.27199999999999</v>
      </c>
      <c r="EX19" s="319">
        <f>1776.813/4*5</f>
        <v>2221.0162500000001</v>
      </c>
      <c r="EY19" s="245">
        <f>270.676/1.3*2</f>
        <v>416.42461538461538</v>
      </c>
      <c r="EZ19" s="177">
        <v>61.396000000000001</v>
      </c>
      <c r="FA19" s="271">
        <v>5.4980000000000002</v>
      </c>
      <c r="FB19" s="319">
        <f>41.461/0.6*1.2</f>
        <v>82.922000000000011</v>
      </c>
      <c r="FC19" s="319"/>
      <c r="FD19" s="319">
        <v>302.262</v>
      </c>
      <c r="FE19" s="319">
        <f>87.971/0.8*2.5</f>
        <v>274.90937500000001</v>
      </c>
      <c r="FF19" s="319">
        <f>240.021/1.5*1.1</f>
        <v>176.0154</v>
      </c>
      <c r="FG19" s="319">
        <v>640.05700000000002</v>
      </c>
      <c r="FH19" s="319"/>
      <c r="FI19" s="319">
        <f>240.021/1.5*0.6</f>
        <v>96.00839999999998</v>
      </c>
      <c r="FJ19" s="319">
        <f>70.56*10</f>
        <v>705.6</v>
      </c>
      <c r="FK19" s="319">
        <f>480.853</f>
        <v>480.85300000000001</v>
      </c>
      <c r="FL19" s="319">
        <f>208.212*0.7</f>
        <v>145.74839999999998</v>
      </c>
      <c r="FM19" s="319">
        <v>208.21199999999999</v>
      </c>
      <c r="FN19" s="319"/>
      <c r="FO19" s="319"/>
      <c r="FP19" s="319">
        <f>480.042</f>
        <v>480.04199999999997</v>
      </c>
      <c r="FQ19" s="319">
        <f>480.042</f>
        <v>480.04199999999997</v>
      </c>
      <c r="FR19" s="319">
        <v>166.57</v>
      </c>
      <c r="FS19" s="319">
        <f>93.652</f>
        <v>93.652000000000001</v>
      </c>
      <c r="FT19" s="319">
        <f>45.09/0.3*0.6</f>
        <v>90.18</v>
      </c>
      <c r="FU19" s="158">
        <f t="shared" ref="FU19:FU35" si="14">SUM(DU19:FT19)</f>
        <v>12390.351815384613</v>
      </c>
      <c r="FV19" s="95"/>
      <c r="FW19" s="245"/>
      <c r="FX19" s="245"/>
      <c r="FY19" s="245"/>
      <c r="FZ19" s="319"/>
      <c r="GA19" s="319"/>
      <c r="GB19" s="319"/>
      <c r="GC19" s="319"/>
      <c r="GD19" s="319"/>
      <c r="GE19" s="319"/>
      <c r="GF19" s="319"/>
      <c r="GG19" s="319"/>
      <c r="GH19" s="28"/>
      <c r="GI19" s="270"/>
      <c r="GJ19" s="245"/>
      <c r="GK19" s="177"/>
      <c r="GL19" s="271"/>
      <c r="GM19" s="177"/>
      <c r="GN19" s="272"/>
      <c r="GO19" s="435"/>
      <c r="GP19" s="327">
        <f t="shared" ref="GP19:GP35" si="15">SUM(FW19:GO19)</f>
        <v>0</v>
      </c>
      <c r="GQ19" s="558">
        <f t="shared" ref="GQ19:GQ35" si="16">I19-GP19</f>
        <v>11450.02</v>
      </c>
      <c r="GR19" s="449">
        <f t="shared" ref="GR19:GR35" si="17">I19</f>
        <v>11450.02</v>
      </c>
      <c r="GS19" s="451">
        <f t="shared" ref="GS19:GS35" si="18">G19</f>
        <v>12526.257</v>
      </c>
      <c r="GT19" s="239">
        <f t="shared" ref="GT19:GT35" si="19">E19</f>
        <v>15140.75</v>
      </c>
      <c r="GU19" s="36" t="str">
        <f t="shared" ref="GU19:GU35" si="20">B19</f>
        <v>окись магния, порошок магнезитовый</v>
      </c>
      <c r="GV19" s="402"/>
    </row>
    <row r="20" spans="1:205" ht="15" customHeight="1" x14ac:dyDescent="0.3">
      <c r="A20" s="127">
        <f>A19+1</f>
        <v>11</v>
      </c>
      <c r="B20" s="691" t="s">
        <v>142</v>
      </c>
      <c r="C20" s="900">
        <f>7803.13+3000+1522.55</f>
        <v>12325.68</v>
      </c>
      <c r="D20" s="514">
        <v>7659.51</v>
      </c>
      <c r="E20" s="192">
        <f>7767.32+3207.89+655.2</f>
        <v>11630.41</v>
      </c>
      <c r="F20" s="201">
        <f>50.62+6061.38+1679.13</f>
        <v>7791.13</v>
      </c>
      <c r="G20" s="92">
        <f t="shared" si="9"/>
        <v>9027.0169999999998</v>
      </c>
      <c r="H20" s="93">
        <f>50.62+13792.11+2000+2344.8</f>
        <v>18187.530000000002</v>
      </c>
      <c r="I20" s="93">
        <f>7730.73+2000+1000+665.67</f>
        <v>11396.4</v>
      </c>
      <c r="J20" s="94"/>
      <c r="K20" s="319">
        <f>98.695*3</f>
        <v>296.08499999999998</v>
      </c>
      <c r="L20" s="319">
        <v>301.03300000000002</v>
      </c>
      <c r="M20" s="319">
        <f>65.52*8</f>
        <v>524.16</v>
      </c>
      <c r="N20" s="319"/>
      <c r="O20" s="319">
        <v>43.543999999999997</v>
      </c>
      <c r="P20" s="319">
        <f>87.34</f>
        <v>87.34</v>
      </c>
      <c r="Q20" s="319">
        <v>43.673000000000002</v>
      </c>
      <c r="R20" s="319">
        <f>111.391*3</f>
        <v>334.173</v>
      </c>
      <c r="S20" s="319">
        <f>342.72*1.6</f>
        <v>548.35200000000009</v>
      </c>
      <c r="T20" s="319">
        <f>147.236</f>
        <v>147.23599999999999</v>
      </c>
      <c r="U20" s="319">
        <f>66.833*1.5</f>
        <v>100.2495</v>
      </c>
      <c r="V20" s="319">
        <f>111.391*4</f>
        <v>445.56400000000002</v>
      </c>
      <c r="W20" s="319">
        <f>98.695*1.5</f>
        <v>148.04249999999999</v>
      </c>
      <c r="X20" s="319">
        <f>66.834*7</f>
        <v>467.83800000000002</v>
      </c>
      <c r="Y20" s="319"/>
      <c r="Z20" s="319">
        <f>66.834*2</f>
        <v>133.66800000000001</v>
      </c>
      <c r="AA20" s="319">
        <f>111.391*4</f>
        <v>445.56400000000002</v>
      </c>
      <c r="AB20" s="319">
        <f>66.834*8</f>
        <v>534.67200000000003</v>
      </c>
      <c r="AC20" s="319">
        <f>65.52*6</f>
        <v>393.12</v>
      </c>
      <c r="AD20" s="319"/>
      <c r="AE20" s="319"/>
      <c r="AF20" s="319"/>
      <c r="AG20" s="319"/>
      <c r="AH20" s="319">
        <v>100.251</v>
      </c>
      <c r="AI20" s="319">
        <f>100.252*4</f>
        <v>401.00799999999998</v>
      </c>
      <c r="AJ20" s="319"/>
      <c r="AK20" s="319"/>
      <c r="AL20" s="319">
        <v>20.05</v>
      </c>
      <c r="AM20" s="319"/>
      <c r="AN20" s="319">
        <v>147.23599999999999</v>
      </c>
      <c r="AO20" s="319"/>
      <c r="AP20" s="245">
        <f>147.236*1.3</f>
        <v>191.4068</v>
      </c>
      <c r="AQ20" s="319">
        <v>61.137999999999998</v>
      </c>
      <c r="AR20" s="319"/>
      <c r="AS20" s="319"/>
      <c r="AT20" s="319"/>
      <c r="AU20" s="319">
        <v>111.39100000000001</v>
      </c>
      <c r="AV20" s="319">
        <f>147.236</f>
        <v>147.23599999999999</v>
      </c>
      <c r="AW20" s="319">
        <v>301.03300000000002</v>
      </c>
      <c r="AX20" s="319">
        <f>98.695*1.2</f>
        <v>118.43399999999998</v>
      </c>
      <c r="AY20" s="319"/>
      <c r="AZ20" s="319"/>
      <c r="BA20" s="319"/>
      <c r="BB20" s="319">
        <v>33.417000000000002</v>
      </c>
      <c r="BC20" s="319">
        <f>19.312</f>
        <v>19.312000000000001</v>
      </c>
      <c r="BD20" s="319">
        <f>44.171/0.3</f>
        <v>147.23666666666668</v>
      </c>
      <c r="BE20" s="319"/>
      <c r="BF20" s="319"/>
      <c r="BG20" s="319">
        <f>655.2</f>
        <v>655.20000000000005</v>
      </c>
      <c r="BH20" s="319">
        <f>147.236*0.6</f>
        <v>88.341599999999985</v>
      </c>
      <c r="BI20" s="319">
        <f>111.391*1.1</f>
        <v>122.53010000000002</v>
      </c>
      <c r="BJ20" s="158">
        <f t="shared" si="12"/>
        <v>7659.5351666666656</v>
      </c>
      <c r="BK20" s="94"/>
      <c r="BL20" s="319">
        <v>383.95800000000003</v>
      </c>
      <c r="BM20" s="319">
        <f>342.72*2.5</f>
        <v>856.80000000000007</v>
      </c>
      <c r="BN20" s="319">
        <f>147.236*1.5</f>
        <v>220.85399999999998</v>
      </c>
      <c r="BO20" s="319">
        <f>100.344*2.4</f>
        <v>240.82559999999998</v>
      </c>
      <c r="BP20" s="319">
        <v>147.23599999999999</v>
      </c>
      <c r="BQ20" s="319">
        <f>98.695*3</f>
        <v>296.08499999999998</v>
      </c>
      <c r="BR20" s="319">
        <v>886.66899999999998</v>
      </c>
      <c r="BS20" s="319">
        <f>66.834*5.4</f>
        <v>360.90360000000004</v>
      </c>
      <c r="BT20" s="319">
        <v>301.03300000000002</v>
      </c>
      <c r="BU20" s="319">
        <f>98.695*1.9</f>
        <v>187.52049999999997</v>
      </c>
      <c r="BV20" s="319">
        <v>73.617999999999995</v>
      </c>
      <c r="BW20" s="319">
        <v>23.417000000000002</v>
      </c>
      <c r="BX20" s="319">
        <f>66.834*2.1</f>
        <v>140.35140000000001</v>
      </c>
      <c r="BY20" s="319">
        <f>66.833*2</f>
        <v>133.666</v>
      </c>
      <c r="BZ20" s="319">
        <f>147.236</f>
        <v>147.23599999999999</v>
      </c>
      <c r="CA20" s="319">
        <f>111.391*4</f>
        <v>445.56400000000002</v>
      </c>
      <c r="CB20" s="319">
        <f>98.695*3</f>
        <v>296.08499999999998</v>
      </c>
      <c r="CC20" s="319">
        <f>118.433/1.2*3</f>
        <v>296.08250000000004</v>
      </c>
      <c r="CD20" s="319">
        <f>111.391*4</f>
        <v>445.56400000000002</v>
      </c>
      <c r="CE20" s="319">
        <v>147.23599999999999</v>
      </c>
      <c r="CF20" s="319">
        <f>534.667/8*6</f>
        <v>401.00025000000005</v>
      </c>
      <c r="CG20" s="319">
        <v>16.329000000000001</v>
      </c>
      <c r="CH20" s="319">
        <f>87.34*0.6</f>
        <v>52.404000000000003</v>
      </c>
      <c r="CI20" s="319">
        <v>43.673000000000002</v>
      </c>
      <c r="CJ20" s="319"/>
      <c r="CK20" s="319"/>
      <c r="CL20" s="319">
        <f>40.759/0.6*0.9</f>
        <v>61.138500000000008</v>
      </c>
      <c r="CM20" s="319">
        <v>20.05</v>
      </c>
      <c r="CN20" s="319"/>
      <c r="CO20" s="319">
        <f>66.833*2</f>
        <v>133.666</v>
      </c>
      <c r="CP20" s="319">
        <f>147.236*0.3</f>
        <v>44.170799999999993</v>
      </c>
      <c r="CQ20" s="319">
        <v>301.03300000000002</v>
      </c>
      <c r="CR20" s="319">
        <v>147.23599999999999</v>
      </c>
      <c r="CS20" s="177"/>
      <c r="CT20" s="271"/>
      <c r="CU20" s="271"/>
      <c r="CV20" s="271">
        <v>201.6</v>
      </c>
      <c r="CW20" s="319"/>
      <c r="CX20" s="319">
        <f>655.2</f>
        <v>655.20000000000005</v>
      </c>
      <c r="CY20" s="319"/>
      <c r="CZ20" s="319"/>
      <c r="DA20" s="245">
        <f>192.131/1.3*1.5</f>
        <v>221.68961538461537</v>
      </c>
      <c r="DB20" s="319"/>
      <c r="DC20" s="319">
        <f>402.523/4*4.5</f>
        <v>452.83837500000004</v>
      </c>
      <c r="DD20" s="319">
        <v>100.251</v>
      </c>
      <c r="DE20" s="319">
        <v>147.23599999999999</v>
      </c>
      <c r="DF20" s="319">
        <f>111.391*0.6</f>
        <v>66.834599999999995</v>
      </c>
      <c r="DG20" s="319">
        <f>147.793</f>
        <v>147.79300000000001</v>
      </c>
      <c r="DH20" s="319">
        <f>111.812</f>
        <v>111.812</v>
      </c>
      <c r="DI20" s="319">
        <f>536.689/8</f>
        <v>67.086124999999996</v>
      </c>
      <c r="DJ20" s="319">
        <f>548.352/1.6*1.5</f>
        <v>514.07999999999993</v>
      </c>
      <c r="DK20" s="319"/>
      <c r="DL20" s="319">
        <f>99.068*3</f>
        <v>297.20400000000001</v>
      </c>
      <c r="DM20" s="319">
        <f>99.068*3</f>
        <v>297.20400000000001</v>
      </c>
      <c r="DN20" s="319">
        <f>147.793</f>
        <v>147.79300000000001</v>
      </c>
      <c r="DO20" s="319">
        <f>111.812*4</f>
        <v>447.24799999999999</v>
      </c>
      <c r="DP20" s="319">
        <f>536.689/8*7.5</f>
        <v>503.14593749999995</v>
      </c>
      <c r="DQ20" s="319"/>
      <c r="DR20" s="319"/>
      <c r="DS20" s="419">
        <f t="shared" si="13"/>
        <v>11630.420802884615</v>
      </c>
      <c r="DT20" s="57"/>
      <c r="DU20" s="319">
        <v>241.73699999999999</v>
      </c>
      <c r="DV20" s="319">
        <f>50.62+97.613</f>
        <v>148.233</v>
      </c>
      <c r="DW20" s="319">
        <v>44.338000000000001</v>
      </c>
      <c r="DX20" s="319"/>
      <c r="DY20" s="319">
        <f>147.793*1.3</f>
        <v>192.13090000000003</v>
      </c>
      <c r="DZ20" s="319">
        <v>53.401000000000003</v>
      </c>
      <c r="EA20" s="319"/>
      <c r="EB20" s="319">
        <f>65.52*10</f>
        <v>655.19999999999993</v>
      </c>
      <c r="EC20" s="319"/>
      <c r="ED20" s="319"/>
      <c r="EE20" s="319"/>
      <c r="EF20" s="319">
        <v>33.543999999999997</v>
      </c>
      <c r="EG20" s="319">
        <f>23.506/0.3*0.6</f>
        <v>47.012</v>
      </c>
      <c r="EH20" s="319">
        <v>29.72</v>
      </c>
      <c r="EI20" s="319">
        <f>147.793*0.8</f>
        <v>118.23440000000001</v>
      </c>
      <c r="EJ20" s="319">
        <f>111.812*1.5</f>
        <v>167.71799999999999</v>
      </c>
      <c r="EK20" s="319">
        <v>111.812</v>
      </c>
      <c r="EL20" s="319">
        <v>111.812</v>
      </c>
      <c r="EM20" s="319"/>
      <c r="EN20" s="319">
        <f>536.689/8*5</f>
        <v>335.43062499999996</v>
      </c>
      <c r="EO20" s="319">
        <f>147.793*5</f>
        <v>738.96500000000003</v>
      </c>
      <c r="EP20" s="319">
        <f>111.812*2</f>
        <v>223.624</v>
      </c>
      <c r="EQ20" s="319">
        <v>302.17099999999999</v>
      </c>
      <c r="ER20" s="245"/>
      <c r="ES20" s="319">
        <f>111.812*3</f>
        <v>335.43599999999998</v>
      </c>
      <c r="ET20" s="319">
        <v>20.126000000000001</v>
      </c>
      <c r="EU20" s="319">
        <v>61.369</v>
      </c>
      <c r="EV20" s="319">
        <v>73.896000000000001</v>
      </c>
      <c r="EW20" s="319"/>
      <c r="EX20" s="319">
        <f>402.523/4*5</f>
        <v>503.15375000000006</v>
      </c>
      <c r="EY20" s="245">
        <f>192.131/1.3*2</f>
        <v>295.58615384615382</v>
      </c>
      <c r="EZ20" s="177"/>
      <c r="FA20" s="271"/>
      <c r="FB20" s="319">
        <f>52.602/0.6*1.2</f>
        <v>105.20399999999999</v>
      </c>
      <c r="FC20" s="319"/>
      <c r="FD20" s="319">
        <v>100.631</v>
      </c>
      <c r="FE20" s="319"/>
      <c r="FF20" s="319">
        <f>148.602/1.5*1.1</f>
        <v>108.9748</v>
      </c>
      <c r="FG20" s="319">
        <v>396.27100000000002</v>
      </c>
      <c r="FH20" s="319"/>
      <c r="FI20" s="319">
        <f>148.602/1.5*0.6</f>
        <v>59.440799999999996</v>
      </c>
      <c r="FJ20" s="319">
        <f>65.52*10</f>
        <v>655.19999999999993</v>
      </c>
      <c r="FK20" s="319">
        <f>267.933</f>
        <v>267.93299999999999</v>
      </c>
      <c r="FL20" s="319">
        <f>147.793*0.7</f>
        <v>103.4551</v>
      </c>
      <c r="FM20" s="319">
        <v>147.79300000000001</v>
      </c>
      <c r="FN20" s="319">
        <f>50.4/0.5*0.6</f>
        <v>60.48</v>
      </c>
      <c r="FO20" s="319">
        <f>67.086*1.2</f>
        <v>80.503199999999993</v>
      </c>
      <c r="FP20" s="319">
        <f>297.203</f>
        <v>297.20299999999997</v>
      </c>
      <c r="FQ20" s="319">
        <f>297.203</f>
        <v>297.20299999999997</v>
      </c>
      <c r="FR20" s="319">
        <v>118.235</v>
      </c>
      <c r="FS20" s="319">
        <f>100.8</f>
        <v>100.8</v>
      </c>
      <c r="FT20" s="319">
        <f>23.506/0.3*0.6</f>
        <v>47.012</v>
      </c>
      <c r="FU20" s="158">
        <f t="shared" si="14"/>
        <v>7790.9887288461532</v>
      </c>
      <c r="FV20" s="95"/>
      <c r="FW20" s="245"/>
      <c r="FX20" s="245"/>
      <c r="FY20" s="245"/>
      <c r="FZ20" s="319"/>
      <c r="GA20" s="319"/>
      <c r="GB20" s="319"/>
      <c r="GC20" s="319"/>
      <c r="GD20" s="319"/>
      <c r="GE20" s="319"/>
      <c r="GF20" s="319"/>
      <c r="GG20" s="319"/>
      <c r="GH20" s="28"/>
      <c r="GI20" s="270"/>
      <c r="GJ20" s="245"/>
      <c r="GK20" s="177"/>
      <c r="GL20" s="271"/>
      <c r="GM20" s="177"/>
      <c r="GN20" s="272"/>
      <c r="GO20" s="435"/>
      <c r="GP20" s="327">
        <f t="shared" si="15"/>
        <v>0</v>
      </c>
      <c r="GQ20" s="445">
        <f t="shared" si="16"/>
        <v>11396.4</v>
      </c>
      <c r="GR20" s="449">
        <f t="shared" si="17"/>
        <v>11396.4</v>
      </c>
      <c r="GS20" s="451">
        <f t="shared" si="18"/>
        <v>9027.0169999999998</v>
      </c>
      <c r="GT20" s="239">
        <f t="shared" si="19"/>
        <v>11630.41</v>
      </c>
      <c r="GU20" s="36" t="str">
        <f t="shared" si="20"/>
        <v>сульфат магния б/водный, магний с/кисл.</v>
      </c>
      <c r="GV20" s="402"/>
    </row>
    <row r="21" spans="1:205" ht="15" customHeight="1" x14ac:dyDescent="0.3">
      <c r="A21" s="127">
        <f t="shared" ref="A21:A47" si="21">A20+1</f>
        <v>12</v>
      </c>
      <c r="B21" s="691" t="s">
        <v>141</v>
      </c>
      <c r="C21" s="900">
        <v>0</v>
      </c>
      <c r="D21" s="1205">
        <v>0</v>
      </c>
      <c r="E21" s="192">
        <v>0</v>
      </c>
      <c r="F21" s="201">
        <v>0</v>
      </c>
      <c r="G21" s="92">
        <f t="shared" si="9"/>
        <v>0</v>
      </c>
      <c r="H21" s="93">
        <v>0</v>
      </c>
      <c r="I21" s="93">
        <v>0</v>
      </c>
      <c r="J21" s="94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245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158">
        <f t="shared" si="12"/>
        <v>0</v>
      </c>
      <c r="BK21" s="94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177"/>
      <c r="CT21" s="271"/>
      <c r="CU21" s="271"/>
      <c r="CV21" s="271"/>
      <c r="CW21" s="319"/>
      <c r="CX21" s="319"/>
      <c r="CY21" s="319"/>
      <c r="CZ21" s="319"/>
      <c r="DA21" s="245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419">
        <f t="shared" si="13"/>
        <v>0</v>
      </c>
      <c r="DT21" s="57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245"/>
      <c r="ES21" s="319"/>
      <c r="ET21" s="319"/>
      <c r="EU21" s="319"/>
      <c r="EV21" s="319"/>
      <c r="EW21" s="319"/>
      <c r="EX21" s="319"/>
      <c r="EY21" s="245"/>
      <c r="EZ21" s="177"/>
      <c r="FA21" s="271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158">
        <f t="shared" si="14"/>
        <v>0</v>
      </c>
      <c r="FV21" s="95"/>
      <c r="FW21" s="245"/>
      <c r="FX21" s="245"/>
      <c r="FY21" s="245"/>
      <c r="FZ21" s="319"/>
      <c r="GA21" s="319"/>
      <c r="GB21" s="319"/>
      <c r="GC21" s="319"/>
      <c r="GD21" s="319"/>
      <c r="GE21" s="319"/>
      <c r="GF21" s="319"/>
      <c r="GG21" s="319"/>
      <c r="GH21" s="28"/>
      <c r="GI21" s="270"/>
      <c r="GJ21" s="245"/>
      <c r="GK21" s="177"/>
      <c r="GL21" s="271"/>
      <c r="GM21" s="177"/>
      <c r="GN21" s="272"/>
      <c r="GO21" s="435"/>
      <c r="GP21" s="327">
        <f t="shared" si="15"/>
        <v>0</v>
      </c>
      <c r="GQ21" s="445">
        <f t="shared" si="16"/>
        <v>0</v>
      </c>
      <c r="GR21" s="449">
        <f t="shared" si="17"/>
        <v>0</v>
      </c>
      <c r="GS21" s="451">
        <f t="shared" si="18"/>
        <v>0</v>
      </c>
      <c r="GT21" s="239">
        <f t="shared" si="19"/>
        <v>0</v>
      </c>
      <c r="GU21" s="36" t="str">
        <f t="shared" si="20"/>
        <v>сульфат магния Кизерит</v>
      </c>
      <c r="GV21" s="402"/>
    </row>
    <row r="22" spans="1:205" ht="15" customHeight="1" x14ac:dyDescent="0.3">
      <c r="A22" s="127">
        <f t="shared" si="21"/>
        <v>13</v>
      </c>
      <c r="B22" s="688" t="s">
        <v>11</v>
      </c>
      <c r="C22" s="901">
        <f>69.23+71.59</f>
        <v>140.82</v>
      </c>
      <c r="D22" s="514">
        <v>81.34</v>
      </c>
      <c r="E22" s="192">
        <v>154.63999999999999</v>
      </c>
      <c r="F22" s="201">
        <v>44.27</v>
      </c>
      <c r="G22" s="92">
        <f t="shared" si="9"/>
        <v>93.417000000000002</v>
      </c>
      <c r="H22" s="93">
        <v>211.43</v>
      </c>
      <c r="I22" s="93">
        <v>167.16</v>
      </c>
      <c r="J22" s="94"/>
      <c r="K22" s="319"/>
      <c r="L22" s="319"/>
      <c r="M22" s="319"/>
      <c r="N22" s="319">
        <v>14.112</v>
      </c>
      <c r="O22" s="319"/>
      <c r="P22" s="319">
        <f>3.384</f>
        <v>3.3839999999999999</v>
      </c>
      <c r="Q22" s="319">
        <v>23.824999999999999</v>
      </c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>
        <v>0.59099999999999997</v>
      </c>
      <c r="AE22" s="319">
        <v>7.9420000000000002</v>
      </c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245"/>
      <c r="AQ22" s="319"/>
      <c r="AR22" s="319"/>
      <c r="AS22" s="319"/>
      <c r="AT22" s="319">
        <v>13.135</v>
      </c>
      <c r="AU22" s="319"/>
      <c r="AV22" s="319"/>
      <c r="AW22" s="319"/>
      <c r="AX22" s="319"/>
      <c r="AY22" s="319">
        <v>9.8510000000000009</v>
      </c>
      <c r="AZ22" s="319"/>
      <c r="BA22" s="319"/>
      <c r="BB22" s="319"/>
      <c r="BC22" s="319">
        <f>4.435</f>
        <v>4.4349999999999996</v>
      </c>
      <c r="BD22" s="319"/>
      <c r="BE22" s="319">
        <v>3.0550000000000002</v>
      </c>
      <c r="BF22" s="319">
        <v>1.018</v>
      </c>
      <c r="BG22" s="319"/>
      <c r="BH22" s="319"/>
      <c r="BI22" s="319"/>
      <c r="BJ22" s="158">
        <f t="shared" si="12"/>
        <v>81.348000000000013</v>
      </c>
      <c r="BK22" s="94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>
        <f>3.384*0.6</f>
        <v>2.0303999999999998</v>
      </c>
      <c r="CI22" s="319">
        <v>23.824999999999999</v>
      </c>
      <c r="CJ22" s="319"/>
      <c r="CK22" s="319"/>
      <c r="CL22" s="319"/>
      <c r="CM22" s="319"/>
      <c r="CN22" s="319">
        <v>14.112</v>
      </c>
      <c r="CO22" s="319"/>
      <c r="CP22" s="319"/>
      <c r="CQ22" s="319"/>
      <c r="CR22" s="319"/>
      <c r="CS22" s="177">
        <v>20.364000000000001</v>
      </c>
      <c r="CT22" s="271"/>
      <c r="CU22" s="271">
        <v>52.537999999999997</v>
      </c>
      <c r="CV22" s="271">
        <v>5.1109999999999998</v>
      </c>
      <c r="CW22" s="319">
        <v>30.545000000000002</v>
      </c>
      <c r="CX22" s="319"/>
      <c r="CY22" s="319"/>
      <c r="CZ22" s="319"/>
      <c r="DA22" s="245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>
        <v>1.018</v>
      </c>
      <c r="DL22" s="319"/>
      <c r="DM22" s="319"/>
      <c r="DN22" s="319"/>
      <c r="DO22" s="319"/>
      <c r="DP22" s="319"/>
      <c r="DQ22" s="319">
        <f>3.394*1.5</f>
        <v>5.0910000000000002</v>
      </c>
      <c r="DR22" s="319"/>
      <c r="DS22" s="419">
        <f t="shared" si="13"/>
        <v>154.6344</v>
      </c>
      <c r="DT22" s="57"/>
      <c r="DU22" s="319"/>
      <c r="DV22" s="319"/>
      <c r="DW22" s="319"/>
      <c r="DX22" s="319"/>
      <c r="DY22" s="319"/>
      <c r="DZ22" s="319"/>
      <c r="EA22" s="319"/>
      <c r="EB22" s="319"/>
      <c r="EC22" s="319">
        <v>13.135</v>
      </c>
      <c r="ED22" s="319"/>
      <c r="EE22" s="319"/>
      <c r="EF22" s="319"/>
      <c r="EG22" s="319"/>
      <c r="EH22" s="319"/>
      <c r="EI22" s="319"/>
      <c r="EJ22" s="319"/>
      <c r="EK22" s="319"/>
      <c r="EL22" s="319"/>
      <c r="EM22" s="319">
        <v>6.109</v>
      </c>
      <c r="EN22" s="319"/>
      <c r="EO22" s="319"/>
      <c r="EP22" s="319"/>
      <c r="EQ22" s="319"/>
      <c r="ER22" s="245">
        <f>2.036*0.3</f>
        <v>0.61080000000000001</v>
      </c>
      <c r="ES22" s="319"/>
      <c r="ET22" s="319"/>
      <c r="EU22" s="319"/>
      <c r="EV22" s="319"/>
      <c r="EW22" s="319"/>
      <c r="EX22" s="319"/>
      <c r="EY22" s="245"/>
      <c r="EZ22" s="177"/>
      <c r="FA22" s="271">
        <v>20.364000000000001</v>
      </c>
      <c r="FB22" s="319">
        <f>2.031/0.6*1.2</f>
        <v>4.0620000000000003</v>
      </c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158">
        <f t="shared" si="14"/>
        <v>44.280799999999999</v>
      </c>
      <c r="FV22" s="95"/>
      <c r="FW22" s="245"/>
      <c r="FX22" s="245"/>
      <c r="FY22" s="245"/>
      <c r="FZ22" s="319"/>
      <c r="GA22" s="319"/>
      <c r="GB22" s="319"/>
      <c r="GC22" s="319"/>
      <c r="GD22" s="319"/>
      <c r="GE22" s="319"/>
      <c r="GF22" s="319"/>
      <c r="GG22" s="319"/>
      <c r="GH22" s="28"/>
      <c r="GI22" s="270"/>
      <c r="GJ22" s="245"/>
      <c r="GK22" s="177"/>
      <c r="GL22" s="271"/>
      <c r="GM22" s="177"/>
      <c r="GN22" s="272"/>
      <c r="GO22" s="435"/>
      <c r="GP22" s="327">
        <f t="shared" si="15"/>
        <v>0</v>
      </c>
      <c r="GQ22" s="445">
        <f t="shared" si="16"/>
        <v>167.16</v>
      </c>
      <c r="GR22" s="449">
        <f t="shared" si="17"/>
        <v>167.16</v>
      </c>
      <c r="GS22" s="451">
        <f t="shared" si="18"/>
        <v>93.417000000000002</v>
      </c>
      <c r="GT22" s="239">
        <f t="shared" si="19"/>
        <v>154.63999999999999</v>
      </c>
      <c r="GU22" s="36" t="str">
        <f t="shared" si="20"/>
        <v>сера</v>
      </c>
      <c r="GV22" s="402"/>
    </row>
    <row r="23" spans="1:205" ht="15" customHeight="1" x14ac:dyDescent="0.3">
      <c r="A23" s="127">
        <f t="shared" si="21"/>
        <v>14</v>
      </c>
      <c r="B23" s="688" t="s">
        <v>12</v>
      </c>
      <c r="C23" s="901">
        <v>99.05</v>
      </c>
      <c r="D23" s="514">
        <v>10.75</v>
      </c>
      <c r="E23" s="192">
        <f>48.84+32.37</f>
        <v>81.210000000000008</v>
      </c>
      <c r="F23" s="201">
        <f>0.32+23.39</f>
        <v>23.71</v>
      </c>
      <c r="G23" s="92">
        <f t="shared" si="9"/>
        <v>38.557000000000002</v>
      </c>
      <c r="H23" s="93">
        <f>0.32+167.63</f>
        <v>167.95</v>
      </c>
      <c r="I23" s="93">
        <v>144.24</v>
      </c>
      <c r="J23" s="94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>
        <v>0.17299999999999999</v>
      </c>
      <c r="AG23" s="319">
        <v>0.17299999999999999</v>
      </c>
      <c r="AH23" s="319"/>
      <c r="AI23" s="319"/>
      <c r="AJ23" s="319">
        <v>7.4790000000000001</v>
      </c>
      <c r="AK23" s="319"/>
      <c r="AL23" s="319"/>
      <c r="AM23" s="319"/>
      <c r="AN23" s="319"/>
      <c r="AO23" s="319"/>
      <c r="AP23" s="245"/>
      <c r="AQ23" s="319"/>
      <c r="AR23" s="319">
        <v>8.6999999999999994E-2</v>
      </c>
      <c r="AS23" s="319">
        <v>0.13</v>
      </c>
      <c r="AT23" s="319"/>
      <c r="AU23" s="319"/>
      <c r="AV23" s="319"/>
      <c r="AW23" s="319"/>
      <c r="AX23" s="319"/>
      <c r="AY23" s="319"/>
      <c r="AZ23" s="319">
        <v>0.38300000000000001</v>
      </c>
      <c r="BA23" s="319">
        <v>0.38300000000000001</v>
      </c>
      <c r="BB23" s="319"/>
      <c r="BC23" s="319"/>
      <c r="BD23" s="319"/>
      <c r="BE23" s="319">
        <f>0.29+0.685</f>
        <v>0.97500000000000009</v>
      </c>
      <c r="BF23" s="319">
        <v>0.97499999999999998</v>
      </c>
      <c r="BG23" s="319"/>
      <c r="BH23" s="319"/>
      <c r="BI23" s="319"/>
      <c r="BJ23" s="158">
        <f t="shared" si="12"/>
        <v>10.757999999999999</v>
      </c>
      <c r="BK23" s="94"/>
      <c r="BL23" s="319"/>
      <c r="BM23" s="319"/>
      <c r="BN23" s="319"/>
      <c r="BO23" s="319"/>
      <c r="BP23" s="319"/>
      <c r="BQ23" s="319"/>
      <c r="BR23" s="319"/>
      <c r="BS23" s="319"/>
      <c r="BT23" s="319"/>
      <c r="BU23" s="319"/>
      <c r="BV23" s="319"/>
      <c r="BW23" s="319"/>
      <c r="BX23" s="319"/>
      <c r="BY23" s="319"/>
      <c r="BZ23" s="319"/>
      <c r="CA23" s="319"/>
      <c r="CB23" s="319"/>
      <c r="CC23" s="319"/>
      <c r="CD23" s="319"/>
      <c r="CE23" s="319"/>
      <c r="CF23" s="319"/>
      <c r="CG23" s="319"/>
      <c r="CH23" s="319"/>
      <c r="CI23" s="319"/>
      <c r="CJ23" s="319"/>
      <c r="CK23" s="319"/>
      <c r="CL23" s="319"/>
      <c r="CM23" s="319"/>
      <c r="CN23" s="319"/>
      <c r="CO23" s="319"/>
      <c r="CP23" s="319"/>
      <c r="CQ23" s="319"/>
      <c r="CR23" s="319"/>
      <c r="CS23" s="177">
        <v>19.510000000000002</v>
      </c>
      <c r="CT23" s="271">
        <v>29.265000000000001</v>
      </c>
      <c r="CU23" s="271"/>
      <c r="CV23" s="271">
        <v>1.1200000000000001</v>
      </c>
      <c r="CW23" s="319">
        <v>30.24</v>
      </c>
      <c r="CX23" s="319"/>
      <c r="CY23" s="319">
        <v>6.2E-2</v>
      </c>
      <c r="CZ23" s="319"/>
      <c r="DA23" s="245"/>
      <c r="DB23" s="319"/>
      <c r="DC23" s="319"/>
      <c r="DD23" s="319"/>
      <c r="DE23" s="319"/>
      <c r="DF23" s="319"/>
      <c r="DG23" s="319"/>
      <c r="DH23" s="319"/>
      <c r="DI23" s="319"/>
      <c r="DJ23" s="319"/>
      <c r="DK23" s="319">
        <v>1.008</v>
      </c>
      <c r="DL23" s="319"/>
      <c r="DM23" s="319"/>
      <c r="DN23" s="319"/>
      <c r="DO23" s="319"/>
      <c r="DP23" s="319"/>
      <c r="DQ23" s="319"/>
      <c r="DR23" s="319"/>
      <c r="DS23" s="419">
        <f t="shared" si="13"/>
        <v>81.204999999999998</v>
      </c>
      <c r="DT23" s="57"/>
      <c r="DU23" s="319"/>
      <c r="DV23" s="319"/>
      <c r="DW23" s="319"/>
      <c r="DX23" s="319"/>
      <c r="DY23" s="319"/>
      <c r="DZ23" s="319"/>
      <c r="EA23" s="319"/>
      <c r="EB23" s="319"/>
      <c r="EC23" s="319"/>
      <c r="ED23" s="319">
        <v>0.13</v>
      </c>
      <c r="EE23" s="319">
        <v>8.6999999999999994E-2</v>
      </c>
      <c r="EF23" s="319"/>
      <c r="EG23" s="319"/>
      <c r="EH23" s="319"/>
      <c r="EI23" s="319"/>
      <c r="EJ23" s="319"/>
      <c r="EK23" s="319"/>
      <c r="EL23" s="319"/>
      <c r="EM23" s="319">
        <f>1.912+0.1</f>
        <v>2.012</v>
      </c>
      <c r="EN23" s="319"/>
      <c r="EO23" s="319"/>
      <c r="EP23" s="319"/>
      <c r="EQ23" s="319"/>
      <c r="ER23" s="245">
        <f>0.672*0.3</f>
        <v>0.2016</v>
      </c>
      <c r="ES23" s="319"/>
      <c r="ET23" s="319"/>
      <c r="EU23" s="319"/>
      <c r="EV23" s="319"/>
      <c r="EW23" s="319"/>
      <c r="EX23" s="319"/>
      <c r="EY23" s="245"/>
      <c r="EZ23" s="177">
        <v>1.1200000000000001</v>
      </c>
      <c r="FA23" s="271">
        <v>20.16</v>
      </c>
      <c r="FB23" s="319"/>
      <c r="FC23" s="319"/>
      <c r="FD23" s="319"/>
      <c r="FE23" s="319"/>
      <c r="FF23" s="319"/>
      <c r="FG23" s="319"/>
      <c r="FH23" s="319"/>
      <c r="FI23" s="319"/>
      <c r="FJ23" s="319"/>
      <c r="FK23" s="319"/>
      <c r="FL23" s="319"/>
      <c r="FM23" s="319"/>
      <c r="FN23" s="319"/>
      <c r="FO23" s="319"/>
      <c r="FP23" s="319"/>
      <c r="FQ23" s="319"/>
      <c r="FR23" s="319"/>
      <c r="FS23" s="319"/>
      <c r="FT23" s="319"/>
      <c r="FU23" s="158">
        <f t="shared" si="14"/>
        <v>23.710599999999999</v>
      </c>
      <c r="FV23" s="95"/>
      <c r="FW23" s="245"/>
      <c r="FX23" s="245"/>
      <c r="FY23" s="245"/>
      <c r="FZ23" s="319"/>
      <c r="GA23" s="319"/>
      <c r="GB23" s="319"/>
      <c r="GC23" s="319"/>
      <c r="GD23" s="319"/>
      <c r="GE23" s="319"/>
      <c r="GF23" s="319"/>
      <c r="GG23" s="319"/>
      <c r="GH23" s="28"/>
      <c r="GI23" s="270"/>
      <c r="GJ23" s="245"/>
      <c r="GK23" s="177"/>
      <c r="GL23" s="271"/>
      <c r="GM23" s="177"/>
      <c r="GN23" s="272"/>
      <c r="GO23" s="435"/>
      <c r="GP23" s="327">
        <f t="shared" si="15"/>
        <v>0</v>
      </c>
      <c r="GQ23" s="445">
        <f t="shared" si="16"/>
        <v>144.24</v>
      </c>
      <c r="GR23" s="449">
        <f t="shared" si="17"/>
        <v>144.24</v>
      </c>
      <c r="GS23" s="451">
        <f t="shared" si="18"/>
        <v>38.557000000000002</v>
      </c>
      <c r="GT23" s="239">
        <f t="shared" si="19"/>
        <v>81.210000000000008</v>
      </c>
      <c r="GU23" s="36" t="str">
        <f t="shared" si="20"/>
        <v>сульфат железа</v>
      </c>
      <c r="GV23" s="402"/>
    </row>
    <row r="24" spans="1:205" ht="15" customHeight="1" x14ac:dyDescent="0.3">
      <c r="A24" s="127">
        <f t="shared" si="21"/>
        <v>15</v>
      </c>
      <c r="B24" s="688" t="s">
        <v>9</v>
      </c>
      <c r="C24" s="901">
        <f>71.702+127.488</f>
        <v>199.19</v>
      </c>
      <c r="D24" s="514">
        <v>218.5</v>
      </c>
      <c r="E24" s="192">
        <v>200.94</v>
      </c>
      <c r="F24" s="201">
        <v>223.58</v>
      </c>
      <c r="G24" s="92">
        <f t="shared" si="9"/>
        <v>214.34</v>
      </c>
      <c r="H24" s="93">
        <v>453.072</v>
      </c>
      <c r="I24" s="93">
        <v>229.49199999999999</v>
      </c>
      <c r="J24" s="94"/>
      <c r="K24" s="319">
        <f>4.435*3</f>
        <v>13.305</v>
      </c>
      <c r="L24" s="319"/>
      <c r="M24" s="319">
        <f>6.048*8</f>
        <v>48.384</v>
      </c>
      <c r="N24" s="319">
        <f>5.08</f>
        <v>5.08</v>
      </c>
      <c r="O24" s="319">
        <v>5.484</v>
      </c>
      <c r="P24" s="319"/>
      <c r="Q24" s="319"/>
      <c r="R24" s="319"/>
      <c r="S24" s="319"/>
      <c r="T24" s="319"/>
      <c r="U24" s="319"/>
      <c r="V24" s="319"/>
      <c r="W24" s="319">
        <f>6.653*1.5</f>
        <v>9.9794999999999998</v>
      </c>
      <c r="X24" s="319">
        <f>0.968*7</f>
        <v>6.7759999999999998</v>
      </c>
      <c r="Y24" s="319"/>
      <c r="Z24" s="319">
        <f>0.968*2</f>
        <v>1.9359999999999999</v>
      </c>
      <c r="AA24" s="319"/>
      <c r="AB24" s="319">
        <f>0.968*8</f>
        <v>7.7439999999999998</v>
      </c>
      <c r="AC24" s="319">
        <f>6.048*6</f>
        <v>36.287999999999997</v>
      </c>
      <c r="AD24" s="319"/>
      <c r="AE24" s="319"/>
      <c r="AF24" s="319">
        <v>0.151</v>
      </c>
      <c r="AG24" s="319">
        <v>0.151</v>
      </c>
      <c r="AH24" s="319"/>
      <c r="AI24" s="319"/>
      <c r="AJ24" s="319">
        <v>6.492</v>
      </c>
      <c r="AK24" s="319">
        <v>1.21</v>
      </c>
      <c r="AL24" s="319"/>
      <c r="AM24" s="319">
        <v>1.129</v>
      </c>
      <c r="AN24" s="319"/>
      <c r="AO24" s="319">
        <f>1.411*2</f>
        <v>2.8220000000000001</v>
      </c>
      <c r="AP24" s="245"/>
      <c r="AQ24" s="319"/>
      <c r="AR24" s="319">
        <v>7.4999999999999997E-2</v>
      </c>
      <c r="AS24" s="319">
        <v>0.113</v>
      </c>
      <c r="AT24" s="319"/>
      <c r="AU24" s="319">
        <v>1.21</v>
      </c>
      <c r="AV24" s="319"/>
      <c r="AW24" s="319"/>
      <c r="AX24" s="319">
        <f>4.435*1.2</f>
        <v>5.3219999999999992</v>
      </c>
      <c r="AY24" s="319"/>
      <c r="AZ24" s="319">
        <v>0.33200000000000002</v>
      </c>
      <c r="BA24" s="319">
        <v>0.33200000000000002</v>
      </c>
      <c r="BB24" s="319">
        <v>0.96799999999999997</v>
      </c>
      <c r="BC24" s="319"/>
      <c r="BD24" s="319">
        <f>0.765/0.3</f>
        <v>2.5500000000000003</v>
      </c>
      <c r="BE24" s="319"/>
      <c r="BF24" s="319">
        <v>0.20200000000000001</v>
      </c>
      <c r="BG24" s="319">
        <f>60.48</f>
        <v>60.48</v>
      </c>
      <c r="BH24" s="319"/>
      <c r="BI24" s="319"/>
      <c r="BJ24" s="158">
        <f t="shared" si="12"/>
        <v>218.51549999999997</v>
      </c>
      <c r="BK24" s="94"/>
      <c r="BL24" s="319">
        <v>10.08</v>
      </c>
      <c r="BM24" s="319"/>
      <c r="BN24" s="319"/>
      <c r="BO24" s="319"/>
      <c r="BP24" s="319"/>
      <c r="BQ24" s="319">
        <f>4.435*3</f>
        <v>13.305</v>
      </c>
      <c r="BR24" s="319"/>
      <c r="BS24" s="319">
        <f>0.968*5.4</f>
        <v>5.2271999999999998</v>
      </c>
      <c r="BT24" s="319"/>
      <c r="BU24" s="319">
        <f>6.653*1.9</f>
        <v>12.640699999999999</v>
      </c>
      <c r="BV24" s="319">
        <v>1.2749999999999999</v>
      </c>
      <c r="BW24" s="319"/>
      <c r="BX24" s="319">
        <f>0.968*2.1</f>
        <v>2.0327999999999999</v>
      </c>
      <c r="BY24" s="319"/>
      <c r="BZ24" s="319"/>
      <c r="CA24" s="319"/>
      <c r="CB24" s="319">
        <f>4.435*3</f>
        <v>13.305</v>
      </c>
      <c r="CC24" s="319">
        <f>5.322/1.2*3</f>
        <v>13.305000000000001</v>
      </c>
      <c r="CD24" s="319"/>
      <c r="CE24" s="319"/>
      <c r="CF24" s="319">
        <f>7.741/8*6</f>
        <v>5.8057499999999997</v>
      </c>
      <c r="CG24" s="319">
        <v>2.056</v>
      </c>
      <c r="CH24" s="319"/>
      <c r="CI24" s="319"/>
      <c r="CJ24" s="319"/>
      <c r="CK24" s="319">
        <f>1.129/0.8*0.9</f>
        <v>1.2701249999999999</v>
      </c>
      <c r="CL24" s="319"/>
      <c r="CM24" s="319"/>
      <c r="CN24" s="319">
        <v>5.08</v>
      </c>
      <c r="CO24" s="319"/>
      <c r="CP24" s="319"/>
      <c r="CQ24" s="319"/>
      <c r="CR24" s="319"/>
      <c r="CS24" s="177">
        <v>4.032</v>
      </c>
      <c r="CT24" s="271"/>
      <c r="CU24" s="271"/>
      <c r="CV24" s="271"/>
      <c r="CW24" s="319">
        <v>6.048</v>
      </c>
      <c r="CX24" s="319">
        <f>60.48</f>
        <v>60.48</v>
      </c>
      <c r="CY24" s="319"/>
      <c r="CZ24" s="319">
        <f>1.129/0.8*3</f>
        <v>4.2337499999999997</v>
      </c>
      <c r="DA24" s="245"/>
      <c r="DB24" s="319">
        <f>1.21*2</f>
        <v>2.42</v>
      </c>
      <c r="DC24" s="319"/>
      <c r="DD24" s="319"/>
      <c r="DE24" s="319"/>
      <c r="DF24" s="319">
        <f>1.21*0.6</f>
        <v>0.72599999999999998</v>
      </c>
      <c r="DG24" s="319"/>
      <c r="DH24" s="319"/>
      <c r="DI24" s="319">
        <f>7.741/8</f>
        <v>0.96762499999999996</v>
      </c>
      <c r="DJ24" s="319"/>
      <c r="DK24" s="319">
        <v>0.20200000000000001</v>
      </c>
      <c r="DL24" s="319">
        <f>4.435*3</f>
        <v>13.305</v>
      </c>
      <c r="DM24" s="319">
        <f>4.435*3</f>
        <v>13.305</v>
      </c>
      <c r="DN24" s="319"/>
      <c r="DO24" s="319"/>
      <c r="DP24" s="319">
        <f>7.741/8*7.5</f>
        <v>7.2571874999999997</v>
      </c>
      <c r="DQ24" s="319">
        <f>1.452*1.5</f>
        <v>2.1779999999999999</v>
      </c>
      <c r="DR24" s="319">
        <v>0.36299999999999999</v>
      </c>
      <c r="DS24" s="419">
        <f t="shared" si="13"/>
        <v>200.90013749999994</v>
      </c>
      <c r="DT24" s="57"/>
      <c r="DU24" s="319"/>
      <c r="DV24" s="319">
        <v>9.9789999999999992</v>
      </c>
      <c r="DW24" s="319">
        <v>0.76500000000000001</v>
      </c>
      <c r="DX24" s="319">
        <f>1.129/0.8*0.9</f>
        <v>1.2701249999999999</v>
      </c>
      <c r="DY24" s="319"/>
      <c r="DZ24" s="319"/>
      <c r="EA24" s="319">
        <f>0.677</f>
        <v>0.67700000000000005</v>
      </c>
      <c r="EB24" s="319">
        <f>6.048*10</f>
        <v>60.480000000000004</v>
      </c>
      <c r="EC24" s="319"/>
      <c r="ED24" s="319">
        <v>0.113</v>
      </c>
      <c r="EE24" s="319">
        <v>7.4999999999999997E-2</v>
      </c>
      <c r="EF24" s="319">
        <v>0.96799999999999997</v>
      </c>
      <c r="EG24" s="319"/>
      <c r="EH24" s="319">
        <v>1.331</v>
      </c>
      <c r="EI24" s="319"/>
      <c r="EJ24" s="319"/>
      <c r="EK24" s="319">
        <v>1.21</v>
      </c>
      <c r="EL24" s="319">
        <v>1.21</v>
      </c>
      <c r="EM24" s="319"/>
      <c r="EN24" s="319">
        <f>7.741/8*5</f>
        <v>4.8381249999999998</v>
      </c>
      <c r="EO24" s="319"/>
      <c r="EP24" s="319"/>
      <c r="EQ24" s="319"/>
      <c r="ER24" s="245"/>
      <c r="ES24" s="319"/>
      <c r="ET24" s="319"/>
      <c r="EU24" s="319"/>
      <c r="EV24" s="319"/>
      <c r="EW24" s="319">
        <f>1.21*2</f>
        <v>2.42</v>
      </c>
      <c r="EX24" s="319"/>
      <c r="EY24" s="245"/>
      <c r="EZ24" s="177"/>
      <c r="FA24" s="271">
        <v>4.032</v>
      </c>
      <c r="FB24" s="319"/>
      <c r="FC24" s="319"/>
      <c r="FD24" s="319"/>
      <c r="FE24" s="319">
        <f>1.129/0.8*2.5</f>
        <v>3.5281249999999997</v>
      </c>
      <c r="FF24" s="319">
        <f>9.979/1.5*1.1</f>
        <v>7.3179333333333334</v>
      </c>
      <c r="FG24" s="319">
        <v>17.741</v>
      </c>
      <c r="FH24" s="319"/>
      <c r="FI24" s="319">
        <f>9.979/1.5*0.6</f>
        <v>3.9915999999999991</v>
      </c>
      <c r="FJ24" s="319">
        <f>6.048*10</f>
        <v>60.480000000000004</v>
      </c>
      <c r="FK24" s="319">
        <f>13.306</f>
        <v>13.305999999999999</v>
      </c>
      <c r="FL24" s="319"/>
      <c r="FM24" s="319"/>
      <c r="FN24" s="319"/>
      <c r="FO24" s="319"/>
      <c r="FP24" s="319">
        <f>13.306</f>
        <v>13.305999999999999</v>
      </c>
      <c r="FQ24" s="319">
        <f>13.306</f>
        <v>13.305999999999999</v>
      </c>
      <c r="FR24" s="319"/>
      <c r="FS24" s="319">
        <f>1.21</f>
        <v>1.21</v>
      </c>
      <c r="FT24" s="319"/>
      <c r="FU24" s="158">
        <f t="shared" si="14"/>
        <v>223.5549083333334</v>
      </c>
      <c r="FV24" s="95"/>
      <c r="FW24" s="245"/>
      <c r="FX24" s="245"/>
      <c r="FY24" s="245"/>
      <c r="FZ24" s="319"/>
      <c r="GA24" s="319"/>
      <c r="GB24" s="319"/>
      <c r="GC24" s="319"/>
      <c r="GD24" s="319"/>
      <c r="GE24" s="319"/>
      <c r="GF24" s="319"/>
      <c r="GG24" s="319"/>
      <c r="GH24" s="28"/>
      <c r="GI24" s="270"/>
      <c r="GJ24" s="245"/>
      <c r="GK24" s="177"/>
      <c r="GL24" s="271"/>
      <c r="GM24" s="177"/>
      <c r="GN24" s="272"/>
      <c r="GO24" s="435"/>
      <c r="GP24" s="327">
        <f t="shared" si="15"/>
        <v>0</v>
      </c>
      <c r="GQ24" s="558">
        <f t="shared" si="16"/>
        <v>229.49199999999999</v>
      </c>
      <c r="GR24" s="449">
        <f t="shared" si="17"/>
        <v>229.49199999999999</v>
      </c>
      <c r="GS24" s="451">
        <f t="shared" si="18"/>
        <v>214.34</v>
      </c>
      <c r="GT24" s="239">
        <f t="shared" si="19"/>
        <v>200.94</v>
      </c>
      <c r="GU24" s="36" t="str">
        <f t="shared" si="20"/>
        <v>медный купорос</v>
      </c>
      <c r="GV24" s="402"/>
    </row>
    <row r="25" spans="1:205" ht="15" customHeight="1" x14ac:dyDescent="0.3">
      <c r="A25" s="127">
        <f t="shared" si="21"/>
        <v>16</v>
      </c>
      <c r="B25" s="689" t="s">
        <v>48</v>
      </c>
      <c r="C25" s="901">
        <f>5.47+849.07</f>
        <v>854.54000000000008</v>
      </c>
      <c r="D25" s="262">
        <v>868.88</v>
      </c>
      <c r="E25" s="108">
        <f>216.61+531.79</f>
        <v>748.4</v>
      </c>
      <c r="F25" s="162">
        <v>893.57</v>
      </c>
      <c r="G25" s="92">
        <f t="shared" si="9"/>
        <v>836.95</v>
      </c>
      <c r="H25" s="93">
        <v>1468.21</v>
      </c>
      <c r="I25" s="93">
        <v>574.64</v>
      </c>
      <c r="J25" s="94"/>
      <c r="K25" s="319">
        <f>18.568*3</f>
        <v>55.704000000000008</v>
      </c>
      <c r="L25" s="319"/>
      <c r="M25" s="319">
        <f>24.802*8</f>
        <v>198.416</v>
      </c>
      <c r="N25" s="319">
        <v>18.568000000000001</v>
      </c>
      <c r="O25" s="319">
        <v>20.16</v>
      </c>
      <c r="P25" s="319">
        <f>2.631</f>
        <v>2.6309999999999998</v>
      </c>
      <c r="Q25" s="319"/>
      <c r="R25" s="319"/>
      <c r="S25" s="319"/>
      <c r="T25" s="319"/>
      <c r="U25" s="319"/>
      <c r="V25" s="319"/>
      <c r="W25" s="319">
        <f>27.853*1.5</f>
        <v>41.779499999999999</v>
      </c>
      <c r="X25" s="319">
        <f>2.918*7</f>
        <v>20.426000000000002</v>
      </c>
      <c r="Y25" s="319"/>
      <c r="Z25" s="319">
        <f>2.918*2</f>
        <v>5.8360000000000003</v>
      </c>
      <c r="AA25" s="319"/>
      <c r="AB25" s="319">
        <f>2.918*8</f>
        <v>23.344000000000001</v>
      </c>
      <c r="AC25" s="319">
        <f>24.802*6</f>
        <v>148.81200000000001</v>
      </c>
      <c r="AD25" s="319"/>
      <c r="AE25" s="319"/>
      <c r="AF25" s="319">
        <v>0.84899999999999998</v>
      </c>
      <c r="AG25" s="319">
        <v>0.84899999999999998</v>
      </c>
      <c r="AH25" s="319"/>
      <c r="AI25" s="319"/>
      <c r="AJ25" s="319">
        <v>36.606000000000002</v>
      </c>
      <c r="AK25" s="319">
        <v>2.7850000000000001</v>
      </c>
      <c r="AL25" s="319"/>
      <c r="AM25" s="319">
        <v>2.653</v>
      </c>
      <c r="AN25" s="319"/>
      <c r="AO25" s="319">
        <f>3.316*2</f>
        <v>6.6319999999999997</v>
      </c>
      <c r="AP25" s="245"/>
      <c r="AQ25" s="319"/>
      <c r="AR25" s="319">
        <v>0.42399999999999999</v>
      </c>
      <c r="AS25" s="319">
        <v>0.63700000000000001</v>
      </c>
      <c r="AT25" s="319"/>
      <c r="AU25" s="319">
        <v>1.2729999999999999</v>
      </c>
      <c r="AV25" s="319"/>
      <c r="AW25" s="319"/>
      <c r="AX25" s="319">
        <f>18.568*1.2</f>
        <v>22.281600000000001</v>
      </c>
      <c r="AY25" s="319"/>
      <c r="AZ25" s="319">
        <v>1.8720000000000001</v>
      </c>
      <c r="BA25" s="319">
        <v>1.8720000000000001</v>
      </c>
      <c r="BB25" s="319">
        <v>2.9180000000000001</v>
      </c>
      <c r="BC25" s="319"/>
      <c r="BD25" s="319">
        <f>0.859/0.3</f>
        <v>2.8633333333333333</v>
      </c>
      <c r="BE25" s="319"/>
      <c r="BF25" s="319">
        <v>0.66300000000000003</v>
      </c>
      <c r="BG25" s="319">
        <f>248.021</f>
        <v>248.02099999999999</v>
      </c>
      <c r="BH25" s="319"/>
      <c r="BI25" s="319"/>
      <c r="BJ25" s="158">
        <f t="shared" si="12"/>
        <v>868.87543333333326</v>
      </c>
      <c r="BK25" s="94"/>
      <c r="BL25" s="319">
        <v>9.9469999999999992</v>
      </c>
      <c r="BM25" s="319"/>
      <c r="BN25" s="319"/>
      <c r="BO25" s="319"/>
      <c r="BP25" s="319"/>
      <c r="BQ25" s="319">
        <f>18.568*3</f>
        <v>55.704000000000008</v>
      </c>
      <c r="BR25" s="319"/>
      <c r="BS25" s="319">
        <f>2.918*5.4</f>
        <v>15.757200000000001</v>
      </c>
      <c r="BT25" s="319"/>
      <c r="BU25" s="319">
        <f>27.853*1.9</f>
        <v>52.920700000000004</v>
      </c>
      <c r="BV25" s="319">
        <v>1.4319999999999999</v>
      </c>
      <c r="BW25" s="319"/>
      <c r="BX25" s="319">
        <f>2.918*2.1</f>
        <v>6.1278000000000006</v>
      </c>
      <c r="BY25" s="319"/>
      <c r="BZ25" s="319"/>
      <c r="CA25" s="319"/>
      <c r="CB25" s="319">
        <f>18.568*3</f>
        <v>55.704000000000008</v>
      </c>
      <c r="CC25" s="319">
        <f>22.282/1.2*3</f>
        <v>55.705000000000005</v>
      </c>
      <c r="CD25" s="319"/>
      <c r="CE25" s="319"/>
      <c r="CF25" s="319">
        <f>23.343/8*6</f>
        <v>17.507249999999999</v>
      </c>
      <c r="CG25" s="319">
        <v>7.56</v>
      </c>
      <c r="CH25" s="319">
        <f>2.631*0.6</f>
        <v>1.5785999999999998</v>
      </c>
      <c r="CI25" s="319"/>
      <c r="CJ25" s="319"/>
      <c r="CK25" s="319">
        <f>2.653/0.8*0.9</f>
        <v>2.9846249999999999</v>
      </c>
      <c r="CL25" s="319"/>
      <c r="CM25" s="319"/>
      <c r="CN25" s="319">
        <v>18.568000000000001</v>
      </c>
      <c r="CO25" s="319"/>
      <c r="CP25" s="319"/>
      <c r="CQ25" s="319"/>
      <c r="CR25" s="319"/>
      <c r="CS25" s="177">
        <v>13.263</v>
      </c>
      <c r="CT25" s="271"/>
      <c r="CU25" s="271"/>
      <c r="CV25" s="271"/>
      <c r="CW25" s="319">
        <v>19.895</v>
      </c>
      <c r="CX25" s="319">
        <f>248.021</f>
        <v>248.02099999999999</v>
      </c>
      <c r="CY25" s="319">
        <v>0.11899999999999999</v>
      </c>
      <c r="CZ25" s="319">
        <f>2.653/0.8*3</f>
        <v>9.9487499999999986</v>
      </c>
      <c r="DA25" s="245"/>
      <c r="DB25" s="319">
        <f>2.785*2</f>
        <v>5.57</v>
      </c>
      <c r="DC25" s="319"/>
      <c r="DD25" s="319"/>
      <c r="DE25" s="319"/>
      <c r="DF25" s="319">
        <f>1.273*0.6</f>
        <v>0.76379999999999992</v>
      </c>
      <c r="DG25" s="319"/>
      <c r="DH25" s="319"/>
      <c r="DI25" s="319">
        <f>23.343/8</f>
        <v>2.917875</v>
      </c>
      <c r="DJ25" s="319"/>
      <c r="DK25" s="319">
        <v>0.66300000000000003</v>
      </c>
      <c r="DL25" s="319">
        <f>18.568*3</f>
        <v>55.704000000000008</v>
      </c>
      <c r="DM25" s="319">
        <f>18.568*3</f>
        <v>55.704000000000008</v>
      </c>
      <c r="DN25" s="319"/>
      <c r="DO25" s="319"/>
      <c r="DP25" s="319">
        <f>23.343/8*7.5</f>
        <v>21.884062499999999</v>
      </c>
      <c r="DQ25" s="319">
        <f>7.958*1.5</f>
        <v>11.937000000000001</v>
      </c>
      <c r="DR25" s="319">
        <v>0.47699999999999998</v>
      </c>
      <c r="DS25" s="419">
        <f t="shared" si="13"/>
        <v>748.36366249999992</v>
      </c>
      <c r="DT25" s="57"/>
      <c r="DU25" s="319"/>
      <c r="DV25" s="319">
        <v>41.779000000000003</v>
      </c>
      <c r="DW25" s="319">
        <v>0.85899999999999999</v>
      </c>
      <c r="DX25" s="319">
        <f>2.653/0.8*0.9</f>
        <v>2.9846249999999999</v>
      </c>
      <c r="DY25" s="319"/>
      <c r="DZ25" s="319"/>
      <c r="EA25" s="319">
        <f>3.82</f>
        <v>3.82</v>
      </c>
      <c r="EB25" s="319">
        <f>24.802*10</f>
        <v>248.01999999999998</v>
      </c>
      <c r="EC25" s="319"/>
      <c r="ED25" s="319">
        <v>0.63700000000000001</v>
      </c>
      <c r="EE25" s="319">
        <v>0.42399999999999999</v>
      </c>
      <c r="EF25" s="319">
        <v>2.9180000000000001</v>
      </c>
      <c r="EG25" s="319"/>
      <c r="EH25" s="319">
        <v>5.5709999999999997</v>
      </c>
      <c r="EI25" s="319"/>
      <c r="EJ25" s="319"/>
      <c r="EK25" s="319">
        <v>1.2729999999999999</v>
      </c>
      <c r="EL25" s="319">
        <v>1.2729999999999999</v>
      </c>
      <c r="EM25" s="319"/>
      <c r="EN25" s="319">
        <f>23.343/8*5</f>
        <v>14.589375</v>
      </c>
      <c r="EO25" s="319"/>
      <c r="EP25" s="319"/>
      <c r="EQ25" s="319"/>
      <c r="ER25" s="245"/>
      <c r="ES25" s="319"/>
      <c r="ET25" s="319"/>
      <c r="EU25" s="319"/>
      <c r="EV25" s="319"/>
      <c r="EW25" s="319">
        <f>2.785*2</f>
        <v>5.57</v>
      </c>
      <c r="EX25" s="319"/>
      <c r="EY25" s="245"/>
      <c r="EZ25" s="177"/>
      <c r="FA25" s="271">
        <v>13.263</v>
      </c>
      <c r="FB25" s="319">
        <f>1.579/0.6*1.2</f>
        <v>3.1579999999999999</v>
      </c>
      <c r="FC25" s="319"/>
      <c r="FD25" s="319"/>
      <c r="FE25" s="319">
        <f>2.653/0.8*2.5</f>
        <v>8.2906249999999986</v>
      </c>
      <c r="FF25" s="319">
        <f>41.779/1.5*1.1</f>
        <v>30.637933333333336</v>
      </c>
      <c r="FG25" s="319">
        <v>74.274000000000001</v>
      </c>
      <c r="FH25" s="319"/>
      <c r="FI25" s="319">
        <f>41.779/1.5*0.6</f>
        <v>16.711600000000001</v>
      </c>
      <c r="FJ25" s="319">
        <f>24.802*10</f>
        <v>248.01999999999998</v>
      </c>
      <c r="FK25" s="319">
        <f>55.705</f>
        <v>55.704999999999998</v>
      </c>
      <c r="FL25" s="319"/>
      <c r="FM25" s="319"/>
      <c r="FN25" s="319">
        <f>0.928/0.5*0.6</f>
        <v>1.1135999999999999</v>
      </c>
      <c r="FO25" s="319"/>
      <c r="FP25" s="319">
        <f>55.705</f>
        <v>55.704999999999998</v>
      </c>
      <c r="FQ25" s="319">
        <f>55.705</f>
        <v>55.704999999999998</v>
      </c>
      <c r="FR25" s="319"/>
      <c r="FS25" s="319">
        <f>1.273</f>
        <v>1.2729999999999999</v>
      </c>
      <c r="FT25" s="319"/>
      <c r="FU25" s="158">
        <f t="shared" si="14"/>
        <v>893.57475833333353</v>
      </c>
      <c r="FV25" s="95"/>
      <c r="FW25" s="245"/>
      <c r="FX25" s="245"/>
      <c r="FY25" s="245"/>
      <c r="FZ25" s="319"/>
      <c r="GA25" s="319"/>
      <c r="GB25" s="319"/>
      <c r="GC25" s="319"/>
      <c r="GD25" s="319"/>
      <c r="GE25" s="319"/>
      <c r="GF25" s="319"/>
      <c r="GG25" s="319"/>
      <c r="GH25" s="28"/>
      <c r="GI25" s="270"/>
      <c r="GJ25" s="245"/>
      <c r="GK25" s="177"/>
      <c r="GL25" s="271"/>
      <c r="GM25" s="177"/>
      <c r="GN25" s="272"/>
      <c r="GO25" s="435"/>
      <c r="GP25" s="327">
        <f t="shared" si="15"/>
        <v>0</v>
      </c>
      <c r="GQ25" s="558">
        <f t="shared" si="16"/>
        <v>574.64</v>
      </c>
      <c r="GR25" s="449">
        <f t="shared" si="17"/>
        <v>574.64</v>
      </c>
      <c r="GS25" s="451">
        <f t="shared" si="18"/>
        <v>836.95</v>
      </c>
      <c r="GT25" s="239">
        <f t="shared" si="19"/>
        <v>748.4</v>
      </c>
      <c r="GU25" s="36" t="str">
        <f t="shared" si="20"/>
        <v>цинковый купорос+ сульфат цинка</v>
      </c>
      <c r="GV25" s="402"/>
    </row>
    <row r="26" spans="1:205" ht="15" customHeight="1" x14ac:dyDescent="0.3">
      <c r="A26" s="127">
        <f t="shared" si="21"/>
        <v>17</v>
      </c>
      <c r="B26" s="688" t="s">
        <v>13</v>
      </c>
      <c r="C26" s="901">
        <f>479.34+154.75</f>
        <v>634.08999999999992</v>
      </c>
      <c r="D26" s="514">
        <v>508.28</v>
      </c>
      <c r="E26" s="192">
        <f>336.97+182.76</f>
        <v>519.73</v>
      </c>
      <c r="F26" s="201">
        <f>417.24+152.16</f>
        <v>569.4</v>
      </c>
      <c r="G26" s="92">
        <f t="shared" si="9"/>
        <v>532.47</v>
      </c>
      <c r="H26" s="93">
        <v>417.24</v>
      </c>
      <c r="I26" s="93">
        <v>1297.8399999999999</v>
      </c>
      <c r="J26" s="94"/>
      <c r="K26" s="319">
        <f>11.813*3</f>
        <v>35.439</v>
      </c>
      <c r="L26" s="319"/>
      <c r="M26" s="319">
        <f>14.648*8</f>
        <v>117.184</v>
      </c>
      <c r="N26" s="319">
        <v>16.427</v>
      </c>
      <c r="O26" s="319">
        <v>5.04</v>
      </c>
      <c r="P26" s="319"/>
      <c r="Q26" s="319"/>
      <c r="R26" s="319"/>
      <c r="S26" s="319"/>
      <c r="T26" s="319"/>
      <c r="U26" s="319"/>
      <c r="V26" s="319"/>
      <c r="W26" s="319">
        <f>17.719*1.5</f>
        <v>26.578500000000002</v>
      </c>
      <c r="X26" s="319">
        <f>1.89*7</f>
        <v>13.229999999999999</v>
      </c>
      <c r="Y26" s="319"/>
      <c r="Z26" s="319">
        <f>1.89*2</f>
        <v>3.78</v>
      </c>
      <c r="AA26" s="319"/>
      <c r="AB26" s="319">
        <f>1.89*8</f>
        <v>15.12</v>
      </c>
      <c r="AC26" s="319">
        <f>14.648*6</f>
        <v>87.888000000000005</v>
      </c>
      <c r="AD26" s="319"/>
      <c r="AE26" s="319"/>
      <c r="AF26" s="319">
        <v>8.3000000000000004E-2</v>
      </c>
      <c r="AG26" s="319">
        <v>8.3000000000000004E-2</v>
      </c>
      <c r="AH26" s="319"/>
      <c r="AI26" s="319"/>
      <c r="AJ26" s="319">
        <v>3.6230000000000002</v>
      </c>
      <c r="AK26" s="319">
        <v>2.5990000000000002</v>
      </c>
      <c r="AL26" s="319"/>
      <c r="AM26" s="319">
        <v>3.15</v>
      </c>
      <c r="AN26" s="319"/>
      <c r="AO26" s="319">
        <f>3.938*2</f>
        <v>7.8760000000000003</v>
      </c>
      <c r="AP26" s="245"/>
      <c r="AQ26" s="319"/>
      <c r="AR26" s="319">
        <v>6.0000000000000001E-3</v>
      </c>
      <c r="AS26" s="319">
        <v>6.2E-2</v>
      </c>
      <c r="AT26" s="319"/>
      <c r="AU26" s="319">
        <v>1.796</v>
      </c>
      <c r="AV26" s="319"/>
      <c r="AW26" s="319"/>
      <c r="AX26" s="319">
        <f>11.813*1.2</f>
        <v>14.175600000000001</v>
      </c>
      <c r="AY26" s="319"/>
      <c r="AZ26" s="319">
        <v>0.183</v>
      </c>
      <c r="BA26" s="319">
        <v>0.19500000000000001</v>
      </c>
      <c r="BB26" s="319">
        <v>1.89</v>
      </c>
      <c r="BC26" s="319"/>
      <c r="BD26" s="319">
        <f>1.243/0.3</f>
        <v>4.1433333333333335</v>
      </c>
      <c r="BE26" s="319"/>
      <c r="BF26" s="319">
        <v>1.26</v>
      </c>
      <c r="BG26" s="319">
        <f>146.475</f>
        <v>146.47499999999999</v>
      </c>
      <c r="BH26" s="319"/>
      <c r="BI26" s="319"/>
      <c r="BJ26" s="158">
        <f t="shared" si="12"/>
        <v>508.28643333333321</v>
      </c>
      <c r="BK26" s="94"/>
      <c r="BL26" s="319">
        <v>7.875</v>
      </c>
      <c r="BM26" s="319"/>
      <c r="BN26" s="319"/>
      <c r="BO26" s="319"/>
      <c r="BP26" s="319"/>
      <c r="BQ26" s="319">
        <f>11.813*3</f>
        <v>35.439</v>
      </c>
      <c r="BR26" s="319"/>
      <c r="BS26" s="319">
        <f>1.89*5.4</f>
        <v>10.206</v>
      </c>
      <c r="BT26" s="319"/>
      <c r="BU26" s="319">
        <f>17.719*1.9</f>
        <v>33.6661</v>
      </c>
      <c r="BV26" s="319">
        <v>2.0710000000000002</v>
      </c>
      <c r="BW26" s="319"/>
      <c r="BX26" s="319">
        <f>1.89*2.1</f>
        <v>3.9689999999999999</v>
      </c>
      <c r="BY26" s="319"/>
      <c r="BZ26" s="319"/>
      <c r="CA26" s="319"/>
      <c r="CB26" s="319">
        <f>11.813*3</f>
        <v>35.439</v>
      </c>
      <c r="CC26" s="319">
        <f>14.175/1.2*3</f>
        <v>35.437500000000007</v>
      </c>
      <c r="CD26" s="319"/>
      <c r="CE26" s="319"/>
      <c r="CF26" s="319">
        <f>15.12/8*6</f>
        <v>11.34</v>
      </c>
      <c r="CG26" s="319">
        <v>1.89</v>
      </c>
      <c r="CH26" s="319"/>
      <c r="CI26" s="319"/>
      <c r="CJ26" s="319"/>
      <c r="CK26" s="319">
        <f>3.15/0.8*0.9</f>
        <v>3.5437499999999997</v>
      </c>
      <c r="CL26" s="319"/>
      <c r="CM26" s="319"/>
      <c r="CN26" s="319">
        <v>16.427</v>
      </c>
      <c r="CO26" s="319"/>
      <c r="CP26" s="319"/>
      <c r="CQ26" s="319"/>
      <c r="CR26" s="319"/>
      <c r="CS26" s="177">
        <v>25.2</v>
      </c>
      <c r="CT26" s="271"/>
      <c r="CU26" s="271"/>
      <c r="CV26" s="271"/>
      <c r="CW26" s="319">
        <v>37.799999999999997</v>
      </c>
      <c r="CX26" s="319">
        <f>146.475</f>
        <v>146.47499999999999</v>
      </c>
      <c r="CY26" s="319">
        <v>5.3999999999999999E-2</v>
      </c>
      <c r="CZ26" s="319">
        <f>3.15/0.8*3</f>
        <v>11.812499999999998</v>
      </c>
      <c r="DA26" s="245"/>
      <c r="DB26" s="319">
        <f>2.599*2</f>
        <v>5.1980000000000004</v>
      </c>
      <c r="DC26" s="319"/>
      <c r="DD26" s="319"/>
      <c r="DE26" s="319"/>
      <c r="DF26" s="319">
        <f>1.796*0.6</f>
        <v>1.0775999999999999</v>
      </c>
      <c r="DG26" s="319"/>
      <c r="DH26" s="319"/>
      <c r="DI26" s="319">
        <f>15.12/8</f>
        <v>1.89</v>
      </c>
      <c r="DJ26" s="319"/>
      <c r="DK26" s="319">
        <v>1.26</v>
      </c>
      <c r="DL26" s="319">
        <f>11.813*3</f>
        <v>35.439</v>
      </c>
      <c r="DM26" s="319">
        <f>11.813*3</f>
        <v>35.439</v>
      </c>
      <c r="DN26" s="319"/>
      <c r="DO26" s="319"/>
      <c r="DP26" s="319">
        <f>15.12/8*7.5</f>
        <v>14.174999999999999</v>
      </c>
      <c r="DQ26" s="319">
        <f>4.199*1.5</f>
        <v>6.2984999999999998</v>
      </c>
      <c r="DR26" s="319">
        <v>0.28299999999999997</v>
      </c>
      <c r="DS26" s="419">
        <f t="shared" si="13"/>
        <v>519.70494999999994</v>
      </c>
      <c r="DT26" s="57"/>
      <c r="DU26" s="319"/>
      <c r="DV26" s="319">
        <v>26.577999999999999</v>
      </c>
      <c r="DW26" s="319">
        <v>1.2430000000000001</v>
      </c>
      <c r="DX26" s="319">
        <f>3.15/0.8*0.9</f>
        <v>3.5437499999999997</v>
      </c>
      <c r="DY26" s="319"/>
      <c r="DZ26" s="319"/>
      <c r="EA26" s="319">
        <f>0.374</f>
        <v>0.374</v>
      </c>
      <c r="EB26" s="319">
        <f>14.648*10</f>
        <v>146.47999999999999</v>
      </c>
      <c r="EC26" s="319"/>
      <c r="ED26" s="319">
        <v>8.9999999999999993E-3</v>
      </c>
      <c r="EE26" s="319">
        <v>4.2000000000000003E-2</v>
      </c>
      <c r="EF26" s="319">
        <v>1.89</v>
      </c>
      <c r="EG26" s="319"/>
      <c r="EH26" s="319">
        <v>3.544</v>
      </c>
      <c r="EI26" s="319"/>
      <c r="EJ26" s="319"/>
      <c r="EK26" s="319">
        <v>1.796</v>
      </c>
      <c r="EL26" s="319">
        <v>1.796</v>
      </c>
      <c r="EM26" s="319"/>
      <c r="EN26" s="319">
        <f>15.12/8*5</f>
        <v>9.4499999999999993</v>
      </c>
      <c r="EO26" s="319"/>
      <c r="EP26" s="319"/>
      <c r="EQ26" s="319"/>
      <c r="ER26" s="245"/>
      <c r="ES26" s="319"/>
      <c r="ET26" s="319"/>
      <c r="EU26" s="319"/>
      <c r="EV26" s="319"/>
      <c r="EW26" s="319">
        <f>2.599*2</f>
        <v>5.1980000000000004</v>
      </c>
      <c r="EX26" s="319"/>
      <c r="EY26" s="245"/>
      <c r="EZ26" s="177"/>
      <c r="FA26" s="271">
        <v>25.2</v>
      </c>
      <c r="FB26" s="319"/>
      <c r="FC26" s="319"/>
      <c r="FD26" s="319"/>
      <c r="FE26" s="319">
        <f>3.15/0.8*2.5</f>
        <v>9.8437499999999982</v>
      </c>
      <c r="FF26" s="319">
        <f>26.578/1.5*1.1</f>
        <v>19.490533333333335</v>
      </c>
      <c r="FG26" s="319">
        <v>47.25</v>
      </c>
      <c r="FH26" s="319"/>
      <c r="FI26" s="319">
        <f>26.578/1.5*0.6</f>
        <v>10.6312</v>
      </c>
      <c r="FJ26" s="319">
        <f>14.648*10</f>
        <v>146.47999999999999</v>
      </c>
      <c r="FK26" s="319">
        <f>35.438</f>
        <v>35.438000000000002</v>
      </c>
      <c r="FL26" s="319"/>
      <c r="FM26" s="319"/>
      <c r="FN26" s="319">
        <f>0.394/0.5*0.6</f>
        <v>0.4728</v>
      </c>
      <c r="FO26" s="319"/>
      <c r="FP26" s="319">
        <f>35.438</f>
        <v>35.438000000000002</v>
      </c>
      <c r="FQ26" s="319">
        <f>35.438</f>
        <v>35.438000000000002</v>
      </c>
      <c r="FR26" s="319"/>
      <c r="FS26" s="319">
        <f>1.796</f>
        <v>1.796</v>
      </c>
      <c r="FT26" s="319"/>
      <c r="FU26" s="158">
        <f t="shared" si="14"/>
        <v>569.42203333333327</v>
      </c>
      <c r="FV26" s="95"/>
      <c r="FW26" s="245"/>
      <c r="FX26" s="245"/>
      <c r="FY26" s="245"/>
      <c r="FZ26" s="319"/>
      <c r="GA26" s="319"/>
      <c r="GB26" s="319"/>
      <c r="GC26" s="319"/>
      <c r="GD26" s="319"/>
      <c r="GE26" s="319"/>
      <c r="GF26" s="319"/>
      <c r="GG26" s="319"/>
      <c r="GH26" s="28"/>
      <c r="GI26" s="270"/>
      <c r="GJ26" s="245"/>
      <c r="GK26" s="177"/>
      <c r="GL26" s="271"/>
      <c r="GM26" s="177"/>
      <c r="GN26" s="272"/>
      <c r="GO26" s="435"/>
      <c r="GP26" s="327">
        <f t="shared" si="15"/>
        <v>0</v>
      </c>
      <c r="GQ26" s="445">
        <f t="shared" si="16"/>
        <v>1297.8399999999999</v>
      </c>
      <c r="GR26" s="449">
        <f t="shared" si="17"/>
        <v>1297.8399999999999</v>
      </c>
      <c r="GS26" s="451">
        <f t="shared" si="18"/>
        <v>532.47</v>
      </c>
      <c r="GT26" s="239">
        <f t="shared" si="19"/>
        <v>519.73</v>
      </c>
      <c r="GU26" s="36" t="str">
        <f t="shared" si="20"/>
        <v>сульфат марганца</v>
      </c>
      <c r="GV26" s="402"/>
    </row>
    <row r="27" spans="1:205" ht="15" customHeight="1" x14ac:dyDescent="0.3">
      <c r="A27" s="127">
        <f t="shared" si="21"/>
        <v>18</v>
      </c>
      <c r="B27" s="688" t="s">
        <v>7</v>
      </c>
      <c r="C27" s="901">
        <f>17.59</f>
        <v>17.59</v>
      </c>
      <c r="D27" s="514">
        <v>13.002000000000001</v>
      </c>
      <c r="E27" s="192">
        <f>7.878+11.047</f>
        <v>18.925000000000001</v>
      </c>
      <c r="F27" s="201">
        <v>13.96</v>
      </c>
      <c r="G27" s="92">
        <f t="shared" si="9"/>
        <v>15.295999999999999</v>
      </c>
      <c r="H27" s="93">
        <v>38.953000000000003</v>
      </c>
      <c r="I27" s="93">
        <v>24.992999999999999</v>
      </c>
      <c r="J27" s="94"/>
      <c r="K27" s="319">
        <f>0.219*3</f>
        <v>0.65700000000000003</v>
      </c>
      <c r="L27" s="319">
        <v>0.65700000000000003</v>
      </c>
      <c r="M27" s="319">
        <f>0.175*8</f>
        <v>1.4</v>
      </c>
      <c r="N27" s="319">
        <v>0.17399999999999999</v>
      </c>
      <c r="O27" s="319">
        <v>0.16400000000000001</v>
      </c>
      <c r="P27" s="319">
        <f>0.053</f>
        <v>5.2999999999999999E-2</v>
      </c>
      <c r="Q27" s="319">
        <v>7.6999999999999999E-2</v>
      </c>
      <c r="R27" s="319">
        <f>0.053*3</f>
        <v>0.159</v>
      </c>
      <c r="S27" s="319"/>
      <c r="T27" s="319">
        <f>0.139</f>
        <v>0.13900000000000001</v>
      </c>
      <c r="U27" s="319">
        <f>0.044*1.5</f>
        <v>6.6000000000000003E-2</v>
      </c>
      <c r="V27" s="319">
        <f>0.053*4</f>
        <v>0.21199999999999999</v>
      </c>
      <c r="W27" s="319">
        <f>0.219*1.5</f>
        <v>0.32850000000000001</v>
      </c>
      <c r="X27" s="319">
        <f>0.044*7</f>
        <v>0.308</v>
      </c>
      <c r="Y27" s="319"/>
      <c r="Z27" s="319">
        <f>0.044*2</f>
        <v>8.7999999999999995E-2</v>
      </c>
      <c r="AA27" s="319">
        <f>0.053*4</f>
        <v>0.21199999999999999</v>
      </c>
      <c r="AB27" s="319">
        <f>0.044*8</f>
        <v>0.35199999999999998</v>
      </c>
      <c r="AC27" s="319">
        <f>0.175*6</f>
        <v>1.0499999999999998</v>
      </c>
      <c r="AD27" s="319"/>
      <c r="AE27" s="319">
        <v>0.21</v>
      </c>
      <c r="AF27" s="319">
        <v>1.9E-2</v>
      </c>
      <c r="AG27" s="319">
        <v>1.9E-2</v>
      </c>
      <c r="AH27" s="319">
        <v>0.13100000000000001</v>
      </c>
      <c r="AI27" s="319">
        <f>0.219*4</f>
        <v>0.876</v>
      </c>
      <c r="AJ27" s="319">
        <v>0.84</v>
      </c>
      <c r="AK27" s="319">
        <v>7.8E-2</v>
      </c>
      <c r="AL27" s="319">
        <v>2.5999999999999999E-2</v>
      </c>
      <c r="AM27" s="319">
        <v>0.112</v>
      </c>
      <c r="AN27" s="319">
        <v>0.153</v>
      </c>
      <c r="AO27" s="319">
        <f>0.14*2</f>
        <v>0.28000000000000003</v>
      </c>
      <c r="AP27" s="245">
        <f>0.139*1.3</f>
        <v>0.18070000000000003</v>
      </c>
      <c r="AQ27" s="319">
        <v>4.7E-2</v>
      </c>
      <c r="AR27" s="319">
        <v>0.01</v>
      </c>
      <c r="AS27" s="319">
        <v>1.4999999999999999E-2</v>
      </c>
      <c r="AT27" s="319">
        <v>0.35099999999999998</v>
      </c>
      <c r="AU27" s="319">
        <v>5.2999999999999999E-2</v>
      </c>
      <c r="AV27" s="319">
        <f>0.139</f>
        <v>0.13900000000000001</v>
      </c>
      <c r="AW27" s="319">
        <v>0.65700000000000003</v>
      </c>
      <c r="AX27" s="319">
        <f>0.219*1.2</f>
        <v>0.26279999999999998</v>
      </c>
      <c r="AY27" s="319">
        <v>0.26300000000000001</v>
      </c>
      <c r="AZ27" s="319">
        <v>4.2999999999999997E-2</v>
      </c>
      <c r="BA27" s="319">
        <v>4.2999999999999997E-2</v>
      </c>
      <c r="BB27" s="319">
        <v>4.3999999999999997E-2</v>
      </c>
      <c r="BC27" s="319"/>
      <c r="BD27" s="319">
        <f>0.042/0.3</f>
        <v>0.14000000000000001</v>
      </c>
      <c r="BE27" s="319">
        <v>4.3999999999999997E-2</v>
      </c>
      <c r="BF27" s="319">
        <v>2E-3</v>
      </c>
      <c r="BG27" s="319">
        <f>1.753</f>
        <v>1.7529999999999999</v>
      </c>
      <c r="BH27" s="319">
        <f>0.139*0.6</f>
        <v>8.3400000000000002E-2</v>
      </c>
      <c r="BI27" s="319">
        <f>0.053*1.1</f>
        <v>5.8300000000000005E-2</v>
      </c>
      <c r="BJ27" s="158">
        <f t="shared" si="12"/>
        <v>13.029699999999998</v>
      </c>
      <c r="BK27" s="94"/>
      <c r="BL27" s="319">
        <v>0.877</v>
      </c>
      <c r="BM27" s="319"/>
      <c r="BN27" s="319">
        <f>0.139*1.5</f>
        <v>0.20850000000000002</v>
      </c>
      <c r="BO27" s="319">
        <f>0.219*2.4</f>
        <v>0.52559999999999996</v>
      </c>
      <c r="BP27" s="319">
        <f>0.139</f>
        <v>0.13900000000000001</v>
      </c>
      <c r="BQ27" s="319">
        <f>0.219*3</f>
        <v>0.65700000000000003</v>
      </c>
      <c r="BR27" s="319"/>
      <c r="BS27" s="319">
        <f>0.044*5.4</f>
        <v>0.23760000000000001</v>
      </c>
      <c r="BT27" s="319">
        <v>0.65700000000000003</v>
      </c>
      <c r="BU27" s="319">
        <f>0.219*1.9</f>
        <v>0.41609999999999997</v>
      </c>
      <c r="BV27" s="319">
        <v>6.9000000000000006E-2</v>
      </c>
      <c r="BW27" s="319">
        <v>0.105</v>
      </c>
      <c r="BX27" s="319">
        <f>0.044*2.1</f>
        <v>9.2399999999999996E-2</v>
      </c>
      <c r="BY27" s="319">
        <f>0.044*2</f>
        <v>8.7999999999999995E-2</v>
      </c>
      <c r="BZ27" s="319">
        <f>0.139</f>
        <v>0.13900000000000001</v>
      </c>
      <c r="CA27" s="319">
        <f>0.053*4</f>
        <v>0.21199999999999999</v>
      </c>
      <c r="CB27" s="319">
        <f>0.219*3</f>
        <v>0.65700000000000003</v>
      </c>
      <c r="CC27" s="319">
        <f>0.263/1.2*3</f>
        <v>0.65749999999999997</v>
      </c>
      <c r="CD27" s="319">
        <f>0.053*4</f>
        <v>0.21199999999999999</v>
      </c>
      <c r="CE27" s="319">
        <v>0.13900000000000001</v>
      </c>
      <c r="CF27" s="319">
        <f>0.351/8*6</f>
        <v>0.26324999999999998</v>
      </c>
      <c r="CG27" s="319">
        <v>6.0999999999999999E-2</v>
      </c>
      <c r="CH27" s="319">
        <f>0.053*0.6</f>
        <v>3.1799999999999995E-2</v>
      </c>
      <c r="CI27" s="319">
        <v>7.6999999999999999E-2</v>
      </c>
      <c r="CJ27" s="319"/>
      <c r="CK27" s="319">
        <f>0.112/0.8*0.9</f>
        <v>0.126</v>
      </c>
      <c r="CL27" s="319">
        <f>0.032/0.6*0.9</f>
        <v>4.8000000000000001E-2</v>
      </c>
      <c r="CM27" s="319">
        <v>2.5999999999999999E-2</v>
      </c>
      <c r="CN27" s="319">
        <v>0.17399999999999999</v>
      </c>
      <c r="CO27" s="319">
        <f>0.044*2</f>
        <v>8.7999999999999995E-2</v>
      </c>
      <c r="CP27" s="319">
        <f>0.139*0.3</f>
        <v>4.1700000000000001E-2</v>
      </c>
      <c r="CQ27" s="319">
        <v>0.65700000000000003</v>
      </c>
      <c r="CR27" s="319">
        <v>0.13900000000000001</v>
      </c>
      <c r="CS27" s="177">
        <v>3.5000000000000003E-2</v>
      </c>
      <c r="CT27" s="271">
        <v>3.2869999999999999</v>
      </c>
      <c r="CU27" s="271">
        <v>1.4019999999999999</v>
      </c>
      <c r="CV27" s="271">
        <v>0.122</v>
      </c>
      <c r="CW27" s="319">
        <v>5.2999999999999999E-2</v>
      </c>
      <c r="CX27" s="319">
        <f>1.753</f>
        <v>1.7529999999999999</v>
      </c>
      <c r="CY27" s="319">
        <v>3.0000000000000001E-3</v>
      </c>
      <c r="CZ27" s="319">
        <f>0.112/0.8*3</f>
        <v>0.41999999999999993</v>
      </c>
      <c r="DA27" s="245">
        <f>0.18/1.3*1.5</f>
        <v>0.20769230769230768</v>
      </c>
      <c r="DB27" s="319">
        <f>0.076*2</f>
        <v>0.152</v>
      </c>
      <c r="DC27" s="319">
        <f>0.877/4*4.5</f>
        <v>0.98662499999999997</v>
      </c>
      <c r="DD27" s="319">
        <v>0.13100000000000001</v>
      </c>
      <c r="DE27" s="319">
        <v>0.153</v>
      </c>
      <c r="DF27" s="319">
        <f>0.053*0.6</f>
        <v>3.1799999999999995E-2</v>
      </c>
      <c r="DG27" s="319">
        <f>0.139</f>
        <v>0.13900000000000001</v>
      </c>
      <c r="DH27" s="319">
        <f>0.053</f>
        <v>5.2999999999999999E-2</v>
      </c>
      <c r="DI27" s="319">
        <f>0.351/8</f>
        <v>4.3874999999999997E-2</v>
      </c>
      <c r="DJ27" s="319"/>
      <c r="DK27" s="319">
        <v>2E-3</v>
      </c>
      <c r="DL27" s="319">
        <f>0.219*3</f>
        <v>0.65700000000000003</v>
      </c>
      <c r="DM27" s="319">
        <f>0.219*3</f>
        <v>0.65700000000000003</v>
      </c>
      <c r="DN27" s="319">
        <f>0.139</f>
        <v>0.13900000000000001</v>
      </c>
      <c r="DO27" s="319">
        <f>0.053*4</f>
        <v>0.21199999999999999</v>
      </c>
      <c r="DP27" s="319">
        <f>0.351/8*7.5</f>
        <v>0.32906249999999998</v>
      </c>
      <c r="DQ27" s="319">
        <f>0.073*1.5</f>
        <v>0.10949999999999999</v>
      </c>
      <c r="DR27" s="319">
        <v>1.6E-2</v>
      </c>
      <c r="DS27" s="419">
        <f t="shared" si="13"/>
        <v>18.9160048076923</v>
      </c>
      <c r="DT27" s="57"/>
      <c r="DU27" s="319">
        <v>0.52600000000000002</v>
      </c>
      <c r="DV27" s="319">
        <v>0.32900000000000001</v>
      </c>
      <c r="DW27" s="319">
        <v>4.2000000000000003E-2</v>
      </c>
      <c r="DX27" s="319">
        <f>0.112/0.8*0.9</f>
        <v>0.126</v>
      </c>
      <c r="DY27" s="319">
        <f>0.139*1.3</f>
        <v>0.18070000000000003</v>
      </c>
      <c r="DZ27" s="319"/>
      <c r="EA27" s="319">
        <f>0.088</f>
        <v>8.7999999999999995E-2</v>
      </c>
      <c r="EB27" s="319">
        <f>0.175*10</f>
        <v>1.75</v>
      </c>
      <c r="EC27" s="319">
        <v>0.35099999999999998</v>
      </c>
      <c r="ED27" s="319">
        <v>1.4999999999999999E-2</v>
      </c>
      <c r="EE27" s="319">
        <v>0.01</v>
      </c>
      <c r="EF27" s="319">
        <v>4.3999999999999997E-2</v>
      </c>
      <c r="EG27" s="319">
        <f>0.105/0.3*0.6</f>
        <v>0.21</v>
      </c>
      <c r="EH27" s="319">
        <v>6.6000000000000003E-2</v>
      </c>
      <c r="EI27" s="319">
        <f>0.139*0.8</f>
        <v>0.11120000000000002</v>
      </c>
      <c r="EJ27" s="319">
        <f>0.053*1.5</f>
        <v>7.9500000000000001E-2</v>
      </c>
      <c r="EK27" s="319">
        <v>5.2999999999999999E-2</v>
      </c>
      <c r="EL27" s="319">
        <v>5.2999999999999999E-2</v>
      </c>
      <c r="EM27" s="319">
        <v>8.7999999999999995E-2</v>
      </c>
      <c r="EN27" s="319">
        <f>0.351/8*5</f>
        <v>0.21937499999999999</v>
      </c>
      <c r="EO27" s="319">
        <f>0.139*5</f>
        <v>0.69500000000000006</v>
      </c>
      <c r="EP27" s="319">
        <f>0.053*2</f>
        <v>0.106</v>
      </c>
      <c r="EQ27" s="319">
        <v>0.65700000000000003</v>
      </c>
      <c r="ER27" s="245">
        <f>0.029*0.3</f>
        <v>8.6999999999999994E-3</v>
      </c>
      <c r="ES27" s="319">
        <f>0.053*3</f>
        <v>0.159</v>
      </c>
      <c r="ET27" s="319">
        <v>2.5999999999999999E-2</v>
      </c>
      <c r="EU27" s="319">
        <v>4.7E-2</v>
      </c>
      <c r="EV27" s="319">
        <v>7.6999999999999999E-2</v>
      </c>
      <c r="EW27" s="319">
        <f>0.076*2</f>
        <v>0.152</v>
      </c>
      <c r="EX27" s="319">
        <f>0.877/4*5</f>
        <v>1.0962499999999999</v>
      </c>
      <c r="EY27" s="245">
        <f>0.18/1.3*2</f>
        <v>0.27692307692307688</v>
      </c>
      <c r="EZ27" s="177">
        <v>0.122</v>
      </c>
      <c r="FA27" s="271">
        <v>3.5000000000000003E-2</v>
      </c>
      <c r="FB27" s="319">
        <f>0.032/0.6*1.2</f>
        <v>6.4000000000000001E-2</v>
      </c>
      <c r="FC27" s="319"/>
      <c r="FD27" s="319">
        <v>0.13100000000000001</v>
      </c>
      <c r="FE27" s="319">
        <f>0.112/0.8*2.5</f>
        <v>0.35</v>
      </c>
      <c r="FF27" s="319">
        <f>0.329/1.5*1.1</f>
        <v>0.24126666666666671</v>
      </c>
      <c r="FG27" s="319">
        <v>0.877</v>
      </c>
      <c r="FH27" s="319"/>
      <c r="FI27" s="319">
        <f>0.329/1.5*0.6</f>
        <v>0.13159999999999999</v>
      </c>
      <c r="FJ27" s="319">
        <f>0.175*10</f>
        <v>1.75</v>
      </c>
      <c r="FK27" s="319">
        <f>0.657</f>
        <v>0.65700000000000003</v>
      </c>
      <c r="FL27" s="319">
        <f>0.139*0.7</f>
        <v>9.7299999999999998E-2</v>
      </c>
      <c r="FM27" s="319">
        <v>0.13900000000000001</v>
      </c>
      <c r="FN27" s="319"/>
      <c r="FO27" s="319">
        <f>0.044*1.2</f>
        <v>5.2799999999999993E-2</v>
      </c>
      <c r="FP27" s="319">
        <f>0.657</f>
        <v>0.65700000000000003</v>
      </c>
      <c r="FQ27" s="319">
        <f>0.657</f>
        <v>0.65700000000000003</v>
      </c>
      <c r="FR27" s="319">
        <v>0.111</v>
      </c>
      <c r="FS27" s="319">
        <f>0.053</f>
        <v>5.2999999999999999E-2</v>
      </c>
      <c r="FT27" s="319">
        <f>0.105/0.3*0.6</f>
        <v>0.21</v>
      </c>
      <c r="FU27" s="158">
        <f t="shared" si="14"/>
        <v>13.978614743589748</v>
      </c>
      <c r="FV27" s="95"/>
      <c r="FW27" s="245"/>
      <c r="FX27" s="245"/>
      <c r="FY27" s="245"/>
      <c r="FZ27" s="319"/>
      <c r="GA27" s="319"/>
      <c r="GB27" s="319"/>
      <c r="GC27" s="319"/>
      <c r="GD27" s="319"/>
      <c r="GE27" s="319"/>
      <c r="GF27" s="319"/>
      <c r="GG27" s="319"/>
      <c r="GH27" s="28"/>
      <c r="GI27" s="270"/>
      <c r="GJ27" s="245"/>
      <c r="GK27" s="177"/>
      <c r="GL27" s="271"/>
      <c r="GM27" s="177"/>
      <c r="GN27" s="272"/>
      <c r="GO27" s="435"/>
      <c r="GP27" s="327">
        <f t="shared" si="15"/>
        <v>0</v>
      </c>
      <c r="GQ27" s="445">
        <f t="shared" si="16"/>
        <v>24.992999999999999</v>
      </c>
      <c r="GR27" s="449">
        <f t="shared" si="17"/>
        <v>24.992999999999999</v>
      </c>
      <c r="GS27" s="451">
        <f t="shared" si="18"/>
        <v>15.295999999999999</v>
      </c>
      <c r="GT27" s="239">
        <f t="shared" si="19"/>
        <v>18.925000000000001</v>
      </c>
      <c r="GU27" s="36" t="str">
        <f t="shared" si="20"/>
        <v>калий йод</v>
      </c>
      <c r="GV27" s="402"/>
    </row>
    <row r="28" spans="1:205" ht="15" customHeight="1" x14ac:dyDescent="0.3">
      <c r="A28" s="127">
        <f t="shared" si="21"/>
        <v>19</v>
      </c>
      <c r="B28" s="688" t="s">
        <v>117</v>
      </c>
      <c r="C28" s="901">
        <v>0</v>
      </c>
      <c r="D28" s="1205">
        <v>0</v>
      </c>
      <c r="E28" s="192">
        <v>0</v>
      </c>
      <c r="F28" s="201">
        <v>0</v>
      </c>
      <c r="G28" s="92">
        <f t="shared" si="9"/>
        <v>0</v>
      </c>
      <c r="H28" s="93">
        <v>0</v>
      </c>
      <c r="I28" s="93">
        <v>0</v>
      </c>
      <c r="J28" s="94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19"/>
      <c r="AM28" s="319"/>
      <c r="AN28" s="319"/>
      <c r="AO28" s="319"/>
      <c r="AP28" s="245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/>
      <c r="BD28" s="319"/>
      <c r="BE28" s="319"/>
      <c r="BF28" s="319"/>
      <c r="BG28" s="319"/>
      <c r="BH28" s="319"/>
      <c r="BI28" s="319"/>
      <c r="BJ28" s="158">
        <f t="shared" si="12"/>
        <v>0</v>
      </c>
      <c r="BK28" s="94"/>
      <c r="BL28" s="319"/>
      <c r="BM28" s="319"/>
      <c r="BN28" s="319"/>
      <c r="BO28" s="319"/>
      <c r="BP28" s="319"/>
      <c r="BQ28" s="319"/>
      <c r="BR28" s="319"/>
      <c r="BS28" s="319"/>
      <c r="BT28" s="319"/>
      <c r="BU28" s="319"/>
      <c r="BV28" s="319"/>
      <c r="BW28" s="319"/>
      <c r="BX28" s="319"/>
      <c r="BY28" s="319"/>
      <c r="BZ28" s="319"/>
      <c r="CA28" s="319"/>
      <c r="CB28" s="319"/>
      <c r="CC28" s="319"/>
      <c r="CD28" s="319"/>
      <c r="CE28" s="319"/>
      <c r="CF28" s="319"/>
      <c r="CG28" s="319"/>
      <c r="CH28" s="319"/>
      <c r="CI28" s="319"/>
      <c r="CJ28" s="319"/>
      <c r="CK28" s="319"/>
      <c r="CL28" s="319"/>
      <c r="CM28" s="319"/>
      <c r="CN28" s="319"/>
      <c r="CO28" s="319"/>
      <c r="CP28" s="319"/>
      <c r="CQ28" s="319"/>
      <c r="CR28" s="319"/>
      <c r="CS28" s="177"/>
      <c r="CT28" s="271"/>
      <c r="CU28" s="271"/>
      <c r="CV28" s="271"/>
      <c r="CW28" s="319"/>
      <c r="CX28" s="319"/>
      <c r="CY28" s="319"/>
      <c r="CZ28" s="319"/>
      <c r="DA28" s="245"/>
      <c r="DB28" s="319"/>
      <c r="DC28" s="319"/>
      <c r="DD28" s="319"/>
      <c r="DE28" s="319"/>
      <c r="DF28" s="319"/>
      <c r="DG28" s="319"/>
      <c r="DH28" s="319"/>
      <c r="DI28" s="319"/>
      <c r="DJ28" s="319"/>
      <c r="DK28" s="319"/>
      <c r="DL28" s="319"/>
      <c r="DM28" s="319"/>
      <c r="DN28" s="319"/>
      <c r="DO28" s="319"/>
      <c r="DP28" s="319"/>
      <c r="DQ28" s="319"/>
      <c r="DR28" s="319"/>
      <c r="DS28" s="419">
        <f t="shared" si="13"/>
        <v>0</v>
      </c>
      <c r="DT28" s="57"/>
      <c r="DU28" s="319"/>
      <c r="DV28" s="319"/>
      <c r="DW28" s="319"/>
      <c r="DX28" s="319"/>
      <c r="DY28" s="319"/>
      <c r="DZ28" s="319"/>
      <c r="EA28" s="319"/>
      <c r="EB28" s="319"/>
      <c r="EC28" s="319"/>
      <c r="ED28" s="319"/>
      <c r="EE28" s="319"/>
      <c r="EF28" s="319"/>
      <c r="EG28" s="319"/>
      <c r="EH28" s="319"/>
      <c r="EI28" s="319"/>
      <c r="EJ28" s="319"/>
      <c r="EK28" s="319"/>
      <c r="EL28" s="319"/>
      <c r="EM28" s="319"/>
      <c r="EN28" s="319"/>
      <c r="EO28" s="319"/>
      <c r="EP28" s="319"/>
      <c r="EQ28" s="319"/>
      <c r="ER28" s="245"/>
      <c r="ES28" s="319"/>
      <c r="ET28" s="319"/>
      <c r="EU28" s="319"/>
      <c r="EV28" s="319"/>
      <c r="EW28" s="319"/>
      <c r="EX28" s="319"/>
      <c r="EY28" s="245"/>
      <c r="EZ28" s="177"/>
      <c r="FA28" s="271"/>
      <c r="FB28" s="319"/>
      <c r="FC28" s="319"/>
      <c r="FD28" s="319"/>
      <c r="FE28" s="319"/>
      <c r="FF28" s="319"/>
      <c r="FG28" s="319"/>
      <c r="FH28" s="319"/>
      <c r="FI28" s="319"/>
      <c r="FJ28" s="319"/>
      <c r="FK28" s="319"/>
      <c r="FL28" s="319"/>
      <c r="FM28" s="319"/>
      <c r="FN28" s="319"/>
      <c r="FO28" s="319"/>
      <c r="FP28" s="319"/>
      <c r="FQ28" s="319"/>
      <c r="FR28" s="319"/>
      <c r="FS28" s="319"/>
      <c r="FT28" s="319"/>
      <c r="FU28" s="158">
        <f t="shared" si="14"/>
        <v>0</v>
      </c>
      <c r="FV28" s="95"/>
      <c r="FW28" s="245"/>
      <c r="FX28" s="245"/>
      <c r="FY28" s="245"/>
      <c r="FZ28" s="319"/>
      <c r="GA28" s="319"/>
      <c r="GB28" s="319"/>
      <c r="GC28" s="319"/>
      <c r="GD28" s="319"/>
      <c r="GE28" s="319"/>
      <c r="GF28" s="319"/>
      <c r="GG28" s="319"/>
      <c r="GH28" s="28"/>
      <c r="GI28" s="270"/>
      <c r="GJ28" s="245"/>
      <c r="GK28" s="177"/>
      <c r="GL28" s="271"/>
      <c r="GM28" s="177"/>
      <c r="GN28" s="272"/>
      <c r="GO28" s="435"/>
      <c r="GP28" s="327">
        <f t="shared" si="15"/>
        <v>0</v>
      </c>
      <c r="GQ28" s="445">
        <f t="shared" si="16"/>
        <v>0</v>
      </c>
      <c r="GR28" s="449">
        <f t="shared" si="17"/>
        <v>0</v>
      </c>
      <c r="GS28" s="451">
        <f t="shared" si="18"/>
        <v>0</v>
      </c>
      <c r="GT28" s="239">
        <f t="shared" si="19"/>
        <v>0</v>
      </c>
      <c r="GU28" s="36" t="str">
        <f t="shared" si="20"/>
        <v>йодат кальция</v>
      </c>
      <c r="GV28" s="530"/>
    </row>
    <row r="29" spans="1:205" ht="15" customHeight="1" x14ac:dyDescent="0.3">
      <c r="A29" s="127">
        <f t="shared" si="21"/>
        <v>20</v>
      </c>
      <c r="B29" s="688" t="s">
        <v>8</v>
      </c>
      <c r="C29" s="901">
        <f>2.445+10.61</f>
        <v>13.055</v>
      </c>
      <c r="D29" s="514">
        <v>7.9</v>
      </c>
      <c r="E29" s="192">
        <v>13.57</v>
      </c>
      <c r="F29" s="201">
        <v>8.36</v>
      </c>
      <c r="G29" s="92">
        <f t="shared" si="9"/>
        <v>9.9429999999999996</v>
      </c>
      <c r="H29" s="93">
        <v>17.920000000000002</v>
      </c>
      <c r="I29" s="93">
        <v>9.56</v>
      </c>
      <c r="J29" s="94"/>
      <c r="K29" s="319">
        <f>0.129*3</f>
        <v>0.38700000000000001</v>
      </c>
      <c r="L29" s="319">
        <v>0.38600000000000001</v>
      </c>
      <c r="M29" s="319">
        <f>0.097*8</f>
        <v>0.77600000000000002</v>
      </c>
      <c r="N29" s="319">
        <v>0.15</v>
      </c>
      <c r="O29" s="319">
        <v>0.06</v>
      </c>
      <c r="P29" s="319">
        <f>0.03</f>
        <v>0.03</v>
      </c>
      <c r="Q29" s="319">
        <v>1.2999999999999999E-2</v>
      </c>
      <c r="R29" s="319">
        <f>0.03*3</f>
        <v>0.09</v>
      </c>
      <c r="S29" s="319"/>
      <c r="T29" s="319">
        <f>0.075</f>
        <v>7.4999999999999997E-2</v>
      </c>
      <c r="U29" s="319">
        <f>0.026*1.5</f>
        <v>3.9E-2</v>
      </c>
      <c r="V29" s="319">
        <f>0.03*4</f>
        <v>0.12</v>
      </c>
      <c r="W29" s="319">
        <f>0.129*1.5</f>
        <v>0.19350000000000001</v>
      </c>
      <c r="X29" s="319">
        <f>0.026*7</f>
        <v>0.182</v>
      </c>
      <c r="Y29" s="319"/>
      <c r="Z29" s="319">
        <f>0.026*2</f>
        <v>5.1999999999999998E-2</v>
      </c>
      <c r="AA29" s="319">
        <f>0.03*4</f>
        <v>0.12</v>
      </c>
      <c r="AB29" s="319">
        <f>0.026*8</f>
        <v>0.20799999999999999</v>
      </c>
      <c r="AC29" s="319">
        <f>0.097*6</f>
        <v>0.58200000000000007</v>
      </c>
      <c r="AD29" s="319"/>
      <c r="AE29" s="319">
        <v>0.10299999999999999</v>
      </c>
      <c r="AF29" s="319">
        <v>2.3E-2</v>
      </c>
      <c r="AG29" s="319">
        <v>2.3E-2</v>
      </c>
      <c r="AH29" s="319">
        <v>7.6999999999999999E-2</v>
      </c>
      <c r="AI29" s="319">
        <f>0.129*4</f>
        <v>0.51600000000000001</v>
      </c>
      <c r="AJ29" s="319">
        <v>0.98699999999999999</v>
      </c>
      <c r="AK29" s="319">
        <v>4.7E-2</v>
      </c>
      <c r="AL29" s="319">
        <v>1.4999999999999999E-2</v>
      </c>
      <c r="AM29" s="319">
        <v>5.0999999999999997E-2</v>
      </c>
      <c r="AN29" s="319">
        <v>7.4999999999999997E-2</v>
      </c>
      <c r="AO29" s="319">
        <f>0.064*2</f>
        <v>0.128</v>
      </c>
      <c r="AP29" s="245">
        <f>0.075*1.3</f>
        <v>9.7500000000000003E-2</v>
      </c>
      <c r="AQ29" s="319">
        <v>2.7E-2</v>
      </c>
      <c r="AR29" s="319">
        <v>1.0999999999999999E-2</v>
      </c>
      <c r="AS29" s="319">
        <v>1.7000000000000001E-2</v>
      </c>
      <c r="AT29" s="319">
        <v>0.17199999999999999</v>
      </c>
      <c r="AU29" s="319">
        <v>0.03</v>
      </c>
      <c r="AV29" s="319">
        <f>0.075</f>
        <v>7.4999999999999997E-2</v>
      </c>
      <c r="AW29" s="319">
        <v>0.38600000000000001</v>
      </c>
      <c r="AX29" s="319">
        <f>0.129*1.2</f>
        <v>0.15479999999999999</v>
      </c>
      <c r="AY29" s="319">
        <v>0.129</v>
      </c>
      <c r="AZ29" s="319">
        <v>0.05</v>
      </c>
      <c r="BA29" s="319">
        <v>0.05</v>
      </c>
      <c r="BB29" s="319">
        <v>2.5999999999999999E-2</v>
      </c>
      <c r="BC29" s="319"/>
      <c r="BD29" s="319">
        <f>0.023/0.3</f>
        <v>7.6666666666666675E-2</v>
      </c>
      <c r="BE29" s="319">
        <v>4.8000000000000001E-2</v>
      </c>
      <c r="BF29" s="319">
        <v>1.9E-2</v>
      </c>
      <c r="BG29" s="319">
        <f>0.965</f>
        <v>0.96499999999999997</v>
      </c>
      <c r="BH29" s="319">
        <f>0.075*0.6</f>
        <v>4.4999999999999998E-2</v>
      </c>
      <c r="BI29" s="319">
        <f>0.03*1.1</f>
        <v>3.3000000000000002E-2</v>
      </c>
      <c r="BJ29" s="158">
        <f t="shared" si="12"/>
        <v>7.9204666666666679</v>
      </c>
      <c r="BK29" s="94"/>
      <c r="BL29" s="319">
        <v>0.42899999999999999</v>
      </c>
      <c r="BM29" s="319"/>
      <c r="BN29" s="319">
        <f>0.075*1.5</f>
        <v>0.11249999999999999</v>
      </c>
      <c r="BO29" s="319">
        <f>0.129*2.4</f>
        <v>0.30959999999999999</v>
      </c>
      <c r="BP29" s="319">
        <f>0.075</f>
        <v>7.4999999999999997E-2</v>
      </c>
      <c r="BQ29" s="319">
        <f>0.129*3</f>
        <v>0.38700000000000001</v>
      </c>
      <c r="BR29" s="319"/>
      <c r="BS29" s="319">
        <f>0.026*5.4</f>
        <v>0.1404</v>
      </c>
      <c r="BT29" s="319">
        <v>0.38600000000000001</v>
      </c>
      <c r="BU29" s="319">
        <f>0.129*1.9</f>
        <v>0.24509999999999998</v>
      </c>
      <c r="BV29" s="319">
        <v>3.7999999999999999E-2</v>
      </c>
      <c r="BW29" s="319">
        <v>2.5999999999999999E-2</v>
      </c>
      <c r="BX29" s="319">
        <f>0.026*2.1</f>
        <v>5.4600000000000003E-2</v>
      </c>
      <c r="BY29" s="319">
        <f>0.026*2</f>
        <v>5.1999999999999998E-2</v>
      </c>
      <c r="BZ29" s="319">
        <f>0.075</f>
        <v>7.4999999999999997E-2</v>
      </c>
      <c r="CA29" s="319">
        <f>0.03*4</f>
        <v>0.12</v>
      </c>
      <c r="CB29" s="319">
        <f>0.129*3</f>
        <v>0.38700000000000001</v>
      </c>
      <c r="CC29" s="319">
        <f>0.154/1.2*3</f>
        <v>0.38500000000000001</v>
      </c>
      <c r="CD29" s="319">
        <f>0.03*4</f>
        <v>0.12</v>
      </c>
      <c r="CE29" s="319">
        <v>7.4999999999999997E-2</v>
      </c>
      <c r="CF29" s="319">
        <f>0.206/8*6</f>
        <v>0.1545</v>
      </c>
      <c r="CG29" s="319">
        <v>2.3E-2</v>
      </c>
      <c r="CH29" s="319">
        <f>0.03*0.6</f>
        <v>1.7999999999999999E-2</v>
      </c>
      <c r="CI29" s="319">
        <v>1.2999999999999999E-2</v>
      </c>
      <c r="CJ29" s="319"/>
      <c r="CK29" s="319">
        <f>0.051/0.8*0.9</f>
        <v>5.7374999999999989E-2</v>
      </c>
      <c r="CL29" s="319">
        <f>0.018/0.6*0.9</f>
        <v>2.7E-2</v>
      </c>
      <c r="CM29" s="319">
        <v>1.4999999999999999E-2</v>
      </c>
      <c r="CN29" s="319">
        <v>0.15</v>
      </c>
      <c r="CO29" s="319">
        <f>0.026*2</f>
        <v>5.1999999999999998E-2</v>
      </c>
      <c r="CP29" s="319">
        <f>0.075*0.3</f>
        <v>2.2499999999999999E-2</v>
      </c>
      <c r="CQ29" s="319">
        <v>0.38600000000000001</v>
      </c>
      <c r="CR29" s="319">
        <v>7.4999999999999997E-2</v>
      </c>
      <c r="CS29" s="177">
        <v>0.38600000000000001</v>
      </c>
      <c r="CT29" s="271">
        <v>3.86</v>
      </c>
      <c r="CU29" s="271">
        <v>0.68700000000000006</v>
      </c>
      <c r="CV29" s="271">
        <v>0.14299999999999999</v>
      </c>
      <c r="CW29" s="319">
        <v>0.57899999999999996</v>
      </c>
      <c r="CX29" s="319">
        <f>0.965</f>
        <v>0.96499999999999997</v>
      </c>
      <c r="CY29" s="319"/>
      <c r="CZ29" s="319">
        <f>0.051/0.8*3</f>
        <v>0.19124999999999998</v>
      </c>
      <c r="DA29" s="245">
        <f>0.098/1.3*1.5</f>
        <v>0.11307692307692307</v>
      </c>
      <c r="DB29" s="319">
        <f>0.047*2</f>
        <v>9.4E-2</v>
      </c>
      <c r="DC29" s="319">
        <f>0.515/4*4.5</f>
        <v>0.57937499999999997</v>
      </c>
      <c r="DD29" s="319">
        <v>7.6999999999999999E-2</v>
      </c>
      <c r="DE29" s="319">
        <v>7.4999999999999997E-2</v>
      </c>
      <c r="DF29" s="319">
        <f>0.03*0.6</f>
        <v>1.7999999999999999E-2</v>
      </c>
      <c r="DG29" s="319">
        <f>0.075</f>
        <v>7.4999999999999997E-2</v>
      </c>
      <c r="DH29" s="319">
        <f>0.03</f>
        <v>0.03</v>
      </c>
      <c r="DI29" s="319">
        <f>0.206/8</f>
        <v>2.5749999999999999E-2</v>
      </c>
      <c r="DJ29" s="319"/>
      <c r="DK29" s="319">
        <v>1.9E-2</v>
      </c>
      <c r="DL29" s="319">
        <f>0.129*3</f>
        <v>0.38700000000000001</v>
      </c>
      <c r="DM29" s="319">
        <f>0.129*3</f>
        <v>0.38700000000000001</v>
      </c>
      <c r="DN29" s="319">
        <f>0.075</f>
        <v>7.4999999999999997E-2</v>
      </c>
      <c r="DO29" s="319">
        <f>0.03*4</f>
        <v>0.12</v>
      </c>
      <c r="DP29" s="319">
        <f>0.206/8*7.5</f>
        <v>0.19312499999999999</v>
      </c>
      <c r="DQ29" s="319">
        <f>0.032*1.5</f>
        <v>4.8000000000000001E-2</v>
      </c>
      <c r="DR29" s="319">
        <v>8.0000000000000002E-3</v>
      </c>
      <c r="DS29" s="419">
        <f t="shared" si="13"/>
        <v>13.546151923076922</v>
      </c>
      <c r="DT29" s="57"/>
      <c r="DU29" s="319">
        <v>0.309</v>
      </c>
      <c r="DV29" s="319">
        <v>0.193</v>
      </c>
      <c r="DW29" s="319">
        <v>2.3E-2</v>
      </c>
      <c r="DX29" s="319">
        <f>0.051/0.8*0.9</f>
        <v>5.7374999999999989E-2</v>
      </c>
      <c r="DY29" s="319">
        <f>0.075*1.3</f>
        <v>9.7500000000000003E-2</v>
      </c>
      <c r="DZ29" s="319"/>
      <c r="EA29" s="319">
        <f>0.103</f>
        <v>0.10299999999999999</v>
      </c>
      <c r="EB29" s="319">
        <f>0.097*10</f>
        <v>0.97</v>
      </c>
      <c r="EC29" s="319">
        <v>0.17199999999999999</v>
      </c>
      <c r="ED29" s="319">
        <v>1.7000000000000001E-2</v>
      </c>
      <c r="EE29" s="319">
        <v>1.0999999999999999E-2</v>
      </c>
      <c r="EF29" s="319">
        <v>2.5999999999999999E-2</v>
      </c>
      <c r="EG29" s="319">
        <f>0.026/0.3*0.6</f>
        <v>5.1999999999999998E-2</v>
      </c>
      <c r="EH29" s="319">
        <v>3.9E-2</v>
      </c>
      <c r="EI29" s="319">
        <f>0.075*0.8</f>
        <v>0.06</v>
      </c>
      <c r="EJ29" s="319">
        <f>0.03*1.5</f>
        <v>4.4999999999999998E-2</v>
      </c>
      <c r="EK29" s="319">
        <v>0.03</v>
      </c>
      <c r="EL29" s="319">
        <v>0.03</v>
      </c>
      <c r="EM29" s="319">
        <v>9.7000000000000003E-2</v>
      </c>
      <c r="EN29" s="319">
        <f>0.206/8*5</f>
        <v>0.12875</v>
      </c>
      <c r="EO29" s="319">
        <f>0.075*5</f>
        <v>0.375</v>
      </c>
      <c r="EP29" s="319">
        <f>0.03*2</f>
        <v>0.06</v>
      </c>
      <c r="EQ29" s="319">
        <v>0.38600000000000001</v>
      </c>
      <c r="ER29" s="245">
        <f>0.032*0.3</f>
        <v>9.5999999999999992E-3</v>
      </c>
      <c r="ES29" s="319">
        <f>0.03*3</f>
        <v>0.09</v>
      </c>
      <c r="ET29" s="319">
        <v>1.4999999999999999E-2</v>
      </c>
      <c r="EU29" s="319">
        <v>2.7E-2</v>
      </c>
      <c r="EV29" s="319">
        <v>3.7999999999999999E-2</v>
      </c>
      <c r="EW29" s="319">
        <f>0.047*2</f>
        <v>9.4E-2</v>
      </c>
      <c r="EX29" s="319">
        <f>0.515/4*5</f>
        <v>0.64375000000000004</v>
      </c>
      <c r="EY29" s="245">
        <f>0.098/1.3*2</f>
        <v>0.15076923076923077</v>
      </c>
      <c r="EZ29" s="177">
        <v>0.14299999999999999</v>
      </c>
      <c r="FA29" s="271">
        <v>0.38600000000000001</v>
      </c>
      <c r="FB29" s="319">
        <f>0.018/0.6*1.2</f>
        <v>3.5999999999999997E-2</v>
      </c>
      <c r="FC29" s="319"/>
      <c r="FD29" s="319">
        <v>7.6999999999999999E-2</v>
      </c>
      <c r="FE29" s="319">
        <f>0.051/0.8*2.5</f>
        <v>0.15937499999999996</v>
      </c>
      <c r="FF29" s="319">
        <f>0.193/1.5*1.1</f>
        <v>0.14153333333333337</v>
      </c>
      <c r="FG29" s="319">
        <v>0.51500000000000001</v>
      </c>
      <c r="FH29" s="319"/>
      <c r="FI29" s="319">
        <f>0.193/1.5*0.6</f>
        <v>7.7200000000000005E-2</v>
      </c>
      <c r="FJ29" s="319">
        <f>0.097*10</f>
        <v>0.97</v>
      </c>
      <c r="FK29" s="319">
        <f>0.386</f>
        <v>0.38600000000000001</v>
      </c>
      <c r="FL29" s="319">
        <f>0.075*0.7</f>
        <v>5.2499999999999998E-2</v>
      </c>
      <c r="FM29" s="319">
        <v>7.4999999999999997E-2</v>
      </c>
      <c r="FN29" s="319">
        <f>0.005/0.5*0.6</f>
        <v>6.0000000000000001E-3</v>
      </c>
      <c r="FO29" s="319">
        <f>0.026*1.2</f>
        <v>3.1199999999999999E-2</v>
      </c>
      <c r="FP29" s="319">
        <f>0.386</f>
        <v>0.38600000000000001</v>
      </c>
      <c r="FQ29" s="319">
        <f>0.386</f>
        <v>0.38600000000000001</v>
      </c>
      <c r="FR29" s="319">
        <v>0.06</v>
      </c>
      <c r="FS29" s="319">
        <f>0.03</f>
        <v>0.03</v>
      </c>
      <c r="FT29" s="319">
        <f>0.026/0.3*0.6</f>
        <v>5.1999999999999998E-2</v>
      </c>
      <c r="FU29" s="158">
        <f t="shared" si="14"/>
        <v>8.3195525641025618</v>
      </c>
      <c r="FV29" s="95"/>
      <c r="FW29" s="245"/>
      <c r="FX29" s="245"/>
      <c r="FY29" s="245"/>
      <c r="FZ29" s="319"/>
      <c r="GA29" s="319"/>
      <c r="GB29" s="319"/>
      <c r="GC29" s="319"/>
      <c r="GD29" s="319"/>
      <c r="GE29" s="319"/>
      <c r="GF29" s="319"/>
      <c r="GG29" s="319"/>
      <c r="GH29" s="28"/>
      <c r="GI29" s="270"/>
      <c r="GJ29" s="245"/>
      <c r="GK29" s="177"/>
      <c r="GL29" s="271"/>
      <c r="GM29" s="177"/>
      <c r="GN29" s="272"/>
      <c r="GO29" s="435"/>
      <c r="GP29" s="327">
        <f t="shared" si="15"/>
        <v>0</v>
      </c>
      <c r="GQ29" s="558">
        <f t="shared" si="16"/>
        <v>9.56</v>
      </c>
      <c r="GR29" s="449">
        <f t="shared" si="17"/>
        <v>9.56</v>
      </c>
      <c r="GS29" s="451">
        <f t="shared" si="18"/>
        <v>9.9429999999999996</v>
      </c>
      <c r="GT29" s="239">
        <f t="shared" si="19"/>
        <v>13.57</v>
      </c>
      <c r="GU29" s="36" t="str">
        <f t="shared" si="20"/>
        <v>кобальт у/к</v>
      </c>
      <c r="GV29" s="402"/>
    </row>
    <row r="30" spans="1:205" s="14" customFormat="1" ht="15" customHeight="1" x14ac:dyDescent="0.3">
      <c r="A30" s="127">
        <f t="shared" si="21"/>
        <v>21</v>
      </c>
      <c r="B30" s="688" t="s">
        <v>10</v>
      </c>
      <c r="C30" s="901">
        <v>2.3090000000000002</v>
      </c>
      <c r="D30" s="514">
        <v>1.8640000000000001</v>
      </c>
      <c r="E30" s="192">
        <v>2.5960000000000001</v>
      </c>
      <c r="F30" s="201">
        <f>2.411+0.113</f>
        <v>2.524</v>
      </c>
      <c r="G30" s="92">
        <f t="shared" si="9"/>
        <v>2.3279999999999998</v>
      </c>
      <c r="H30" s="93">
        <v>2.411</v>
      </c>
      <c r="I30" s="93">
        <v>19.887</v>
      </c>
      <c r="J30" s="112"/>
      <c r="K30" s="319">
        <f>0.078*3</f>
        <v>0.23399999999999999</v>
      </c>
      <c r="L30" s="319"/>
      <c r="M30" s="319">
        <f>0.045*8</f>
        <v>0.36</v>
      </c>
      <c r="N30" s="319">
        <v>9.4E-2</v>
      </c>
      <c r="O30" s="319">
        <v>4.4999999999999998E-2</v>
      </c>
      <c r="P30" s="319"/>
      <c r="Q30" s="319"/>
      <c r="R30" s="319"/>
      <c r="S30" s="319"/>
      <c r="T30" s="319"/>
      <c r="U30" s="319"/>
      <c r="V30" s="319"/>
      <c r="W30" s="319">
        <f>0.118*1.5</f>
        <v>0.17699999999999999</v>
      </c>
      <c r="X30" s="319"/>
      <c r="Y30" s="319">
        <f>0.004*3</f>
        <v>1.2E-2</v>
      </c>
      <c r="Z30" s="319"/>
      <c r="AA30" s="319"/>
      <c r="AB30" s="319"/>
      <c r="AC30" s="319">
        <f>0.045*6</f>
        <v>0.27</v>
      </c>
      <c r="AD30" s="319"/>
      <c r="AE30" s="319"/>
      <c r="AF30" s="319">
        <v>4.0000000000000001E-3</v>
      </c>
      <c r="AG30" s="319">
        <v>4.0000000000000001E-3</v>
      </c>
      <c r="AH30" s="319"/>
      <c r="AI30" s="319"/>
      <c r="AJ30" s="319">
        <v>2.1000000000000001E-2</v>
      </c>
      <c r="AK30" s="319">
        <v>1.6E-2</v>
      </c>
      <c r="AL30" s="319"/>
      <c r="AM30" s="319">
        <v>1.2999999999999999E-2</v>
      </c>
      <c r="AN30" s="319"/>
      <c r="AO30" s="319">
        <f>0.016*2</f>
        <v>3.2000000000000001E-2</v>
      </c>
      <c r="AP30" s="319"/>
      <c r="AQ30" s="319"/>
      <c r="AR30" s="319">
        <v>2E-3</v>
      </c>
      <c r="AS30" s="319">
        <v>3.0000000000000001E-3</v>
      </c>
      <c r="AT30" s="319"/>
      <c r="AU30" s="319"/>
      <c r="AV30" s="319"/>
      <c r="AW30" s="319"/>
      <c r="AX30" s="319">
        <f>0.078*1.2</f>
        <v>9.3600000000000003E-2</v>
      </c>
      <c r="AY30" s="319"/>
      <c r="AZ30" s="319">
        <v>8.0000000000000002E-3</v>
      </c>
      <c r="BA30" s="319">
        <v>8.0000000000000002E-3</v>
      </c>
      <c r="BB30" s="319"/>
      <c r="BC30" s="319"/>
      <c r="BD30" s="319">
        <f>0.007/0.3</f>
        <v>2.3333333333333334E-2</v>
      </c>
      <c r="BE30" s="319"/>
      <c r="BF30" s="319">
        <v>4.0000000000000001E-3</v>
      </c>
      <c r="BG30" s="319">
        <f>0.448</f>
        <v>0.44800000000000001</v>
      </c>
      <c r="BH30" s="319"/>
      <c r="BI30" s="319"/>
      <c r="BJ30" s="158">
        <f t="shared" si="12"/>
        <v>1.871933333333333</v>
      </c>
      <c r="BK30" s="112"/>
      <c r="BL30" s="319">
        <v>9.5000000000000001E-2</v>
      </c>
      <c r="BM30" s="319"/>
      <c r="BN30" s="319"/>
      <c r="BO30" s="319"/>
      <c r="BP30" s="319"/>
      <c r="BQ30" s="319">
        <f>0.078*3</f>
        <v>0.23399999999999999</v>
      </c>
      <c r="BR30" s="319"/>
      <c r="BS30" s="319"/>
      <c r="BT30" s="319"/>
      <c r="BU30" s="319">
        <f>0.118*1.9</f>
        <v>0.22419999999999998</v>
      </c>
      <c r="BV30" s="319">
        <v>1.2E-2</v>
      </c>
      <c r="BW30" s="319"/>
      <c r="BX30" s="319"/>
      <c r="BY30" s="319"/>
      <c r="BZ30" s="319"/>
      <c r="CA30" s="319"/>
      <c r="CB30" s="319">
        <f>0.078*3</f>
        <v>0.23399999999999999</v>
      </c>
      <c r="CC30" s="319">
        <f>0.094/1.2*3</f>
        <v>0.23500000000000001</v>
      </c>
      <c r="CD30" s="319"/>
      <c r="CE30" s="319"/>
      <c r="CF30" s="319"/>
      <c r="CG30" s="319">
        <v>1.7000000000000001E-2</v>
      </c>
      <c r="CH30" s="319"/>
      <c r="CI30" s="319"/>
      <c r="CJ30" s="319">
        <v>1.2999999999999999E-2</v>
      </c>
      <c r="CK30" s="319">
        <f>0.013/0.8*0.9</f>
        <v>1.4624999999999997E-2</v>
      </c>
      <c r="CL30" s="319"/>
      <c r="CM30" s="319"/>
      <c r="CN30" s="319">
        <v>9.4E-2</v>
      </c>
      <c r="CO30" s="319"/>
      <c r="CP30" s="319"/>
      <c r="CQ30" s="319"/>
      <c r="CR30" s="319"/>
      <c r="CS30" s="177">
        <v>7.5999999999999998E-2</v>
      </c>
      <c r="CT30" s="271">
        <v>8.1000000000000003E-2</v>
      </c>
      <c r="CU30" s="271"/>
      <c r="CV30" s="271">
        <v>5.2999999999999999E-2</v>
      </c>
      <c r="CW30" s="319">
        <v>0.114</v>
      </c>
      <c r="CX30" s="319">
        <f>0.448</f>
        <v>0.44800000000000001</v>
      </c>
      <c r="CY30" s="319"/>
      <c r="CZ30" s="319">
        <f>0.013/0.8*3</f>
        <v>4.8749999999999988E-2</v>
      </c>
      <c r="DA30" s="319"/>
      <c r="DB30" s="319">
        <f>0.016*2</f>
        <v>3.2000000000000001E-2</v>
      </c>
      <c r="DC30" s="319"/>
      <c r="DD30" s="319"/>
      <c r="DE30" s="319"/>
      <c r="DF30" s="319"/>
      <c r="DG30" s="319"/>
      <c r="DH30" s="319"/>
      <c r="DI30" s="319"/>
      <c r="DJ30" s="319"/>
      <c r="DK30" s="319">
        <v>4.0000000000000001E-3</v>
      </c>
      <c r="DL30" s="319">
        <f>0.078*3</f>
        <v>0.23399999999999999</v>
      </c>
      <c r="DM30" s="319">
        <f>0.078*3</f>
        <v>0.23399999999999999</v>
      </c>
      <c r="DN30" s="319"/>
      <c r="DO30" s="319"/>
      <c r="DP30" s="319"/>
      <c r="DQ30" s="319">
        <f>0.056*1.5</f>
        <v>8.4000000000000005E-2</v>
      </c>
      <c r="DR30" s="319">
        <v>2E-3</v>
      </c>
      <c r="DS30" s="419">
        <f t="shared" si="13"/>
        <v>2.5835749999999997</v>
      </c>
      <c r="DT30" s="57"/>
      <c r="DU30" s="319"/>
      <c r="DV30" s="319">
        <v>0.17599999999999999</v>
      </c>
      <c r="DW30" s="319">
        <v>7.0000000000000001E-3</v>
      </c>
      <c r="DX30" s="319">
        <f>0.013/0.8*0.9</f>
        <v>1.4624999999999997E-2</v>
      </c>
      <c r="DY30" s="319"/>
      <c r="DZ30" s="319"/>
      <c r="EA30" s="319"/>
      <c r="EB30" s="319">
        <f>0.045*10</f>
        <v>0.44999999999999996</v>
      </c>
      <c r="EC30" s="319"/>
      <c r="ED30" s="319">
        <v>3.0000000000000001E-3</v>
      </c>
      <c r="EE30" s="319">
        <v>2E-3</v>
      </c>
      <c r="EF30" s="319"/>
      <c r="EG30" s="319"/>
      <c r="EH30" s="319">
        <v>2.4E-2</v>
      </c>
      <c r="EI30" s="319"/>
      <c r="EJ30" s="319"/>
      <c r="EK30" s="319"/>
      <c r="EL30" s="319"/>
      <c r="EM30" s="319"/>
      <c r="EN30" s="319"/>
      <c r="EO30" s="319"/>
      <c r="EP30" s="319"/>
      <c r="EQ30" s="319"/>
      <c r="ER30" s="245"/>
      <c r="ES30" s="319"/>
      <c r="ET30" s="319"/>
      <c r="EU30" s="319"/>
      <c r="EV30" s="319"/>
      <c r="EW30" s="319">
        <f>0.016*2</f>
        <v>3.2000000000000001E-2</v>
      </c>
      <c r="EX30" s="319"/>
      <c r="EY30" s="319"/>
      <c r="EZ30" s="177">
        <v>2.1999999999999999E-2</v>
      </c>
      <c r="FA30" s="271">
        <v>7.5999999999999998E-2</v>
      </c>
      <c r="FB30" s="319"/>
      <c r="FC30" s="319"/>
      <c r="FD30" s="319"/>
      <c r="FE30" s="319">
        <f>0.013/0.8*2.5</f>
        <v>4.0624999999999994E-2</v>
      </c>
      <c r="FF30" s="319">
        <f>0.176/1.5*1.1</f>
        <v>0.12906666666666666</v>
      </c>
      <c r="FG30" s="319">
        <v>0.314</v>
      </c>
      <c r="FH30" s="319"/>
      <c r="FI30" s="319">
        <f>0.176/1.5*0.6</f>
        <v>7.039999999999999E-2</v>
      </c>
      <c r="FJ30" s="319">
        <f>0.045*10</f>
        <v>0.44999999999999996</v>
      </c>
      <c r="FK30" s="319">
        <f>0.235</f>
        <v>0.23499999999999999</v>
      </c>
      <c r="FL30" s="319"/>
      <c r="FM30" s="319"/>
      <c r="FN30" s="319">
        <f>0.017/0.5*0.6</f>
        <v>2.0400000000000001E-2</v>
      </c>
      <c r="FO30" s="319"/>
      <c r="FP30" s="319">
        <f>0.235</f>
        <v>0.23499999999999999</v>
      </c>
      <c r="FQ30" s="319">
        <f>0.235</f>
        <v>0.23499999999999999</v>
      </c>
      <c r="FR30" s="319"/>
      <c r="FS30" s="319"/>
      <c r="FT30" s="319"/>
      <c r="FU30" s="158">
        <f t="shared" si="14"/>
        <v>2.5361166666666661</v>
      </c>
      <c r="FV30" s="113"/>
      <c r="FW30" s="245"/>
      <c r="FX30" s="245"/>
      <c r="FY30" s="245"/>
      <c r="FZ30" s="319"/>
      <c r="GA30" s="319"/>
      <c r="GB30" s="319"/>
      <c r="GC30" s="319"/>
      <c r="GD30" s="319"/>
      <c r="GE30" s="319"/>
      <c r="GF30" s="319"/>
      <c r="GG30" s="319"/>
      <c r="GH30" s="28"/>
      <c r="GI30" s="270"/>
      <c r="GJ30" s="245"/>
      <c r="GK30" s="177"/>
      <c r="GL30" s="271"/>
      <c r="GM30" s="177"/>
      <c r="GN30" s="272"/>
      <c r="GO30" s="435"/>
      <c r="GP30" s="327">
        <f t="shared" si="15"/>
        <v>0</v>
      </c>
      <c r="GQ30" s="445">
        <f t="shared" si="16"/>
        <v>19.887</v>
      </c>
      <c r="GR30" s="449">
        <f t="shared" si="17"/>
        <v>19.887</v>
      </c>
      <c r="GS30" s="451">
        <f t="shared" si="18"/>
        <v>2.3279999999999998</v>
      </c>
      <c r="GT30" s="239">
        <f t="shared" si="19"/>
        <v>2.5960000000000001</v>
      </c>
      <c r="GU30" s="36" t="str">
        <f t="shared" si="20"/>
        <v>селенит натрия</v>
      </c>
      <c r="GV30" s="402"/>
      <c r="GW30" s="948"/>
    </row>
    <row r="31" spans="1:205" s="14" customFormat="1" ht="15" customHeight="1" x14ac:dyDescent="0.3">
      <c r="A31" s="127">
        <f t="shared" si="21"/>
        <v>22</v>
      </c>
      <c r="B31" s="688" t="s">
        <v>16</v>
      </c>
      <c r="C31" s="901">
        <v>1921.02</v>
      </c>
      <c r="D31" s="1205">
        <v>0</v>
      </c>
      <c r="E31" s="192">
        <v>0</v>
      </c>
      <c r="F31" s="201">
        <v>0</v>
      </c>
      <c r="G31" s="92">
        <f t="shared" si="9"/>
        <v>0</v>
      </c>
      <c r="H31" s="93">
        <v>0</v>
      </c>
      <c r="I31" s="93">
        <v>0</v>
      </c>
      <c r="J31" s="112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  <c r="AZ31" s="319"/>
      <c r="BA31" s="319"/>
      <c r="BB31" s="319"/>
      <c r="BC31" s="319"/>
      <c r="BD31" s="319"/>
      <c r="BE31" s="319"/>
      <c r="BF31" s="319"/>
      <c r="BG31" s="319"/>
      <c r="BH31" s="319"/>
      <c r="BI31" s="319"/>
      <c r="BJ31" s="158">
        <f t="shared" si="12"/>
        <v>0</v>
      </c>
      <c r="BK31" s="112"/>
      <c r="BL31" s="319"/>
      <c r="BM31" s="319"/>
      <c r="BN31" s="319"/>
      <c r="BO31" s="319"/>
      <c r="BP31" s="319"/>
      <c r="BQ31" s="319"/>
      <c r="BR31" s="319"/>
      <c r="BS31" s="319"/>
      <c r="BT31" s="319"/>
      <c r="BU31" s="319"/>
      <c r="BV31" s="319"/>
      <c r="BW31" s="319"/>
      <c r="BX31" s="319"/>
      <c r="BY31" s="319"/>
      <c r="BZ31" s="319"/>
      <c r="CA31" s="319"/>
      <c r="CB31" s="319"/>
      <c r="CC31" s="319"/>
      <c r="CD31" s="319"/>
      <c r="CE31" s="319"/>
      <c r="CF31" s="319"/>
      <c r="CG31" s="319"/>
      <c r="CH31" s="319"/>
      <c r="CI31" s="319"/>
      <c r="CJ31" s="319"/>
      <c r="CK31" s="319"/>
      <c r="CL31" s="319"/>
      <c r="CM31" s="319"/>
      <c r="CN31" s="319"/>
      <c r="CO31" s="319"/>
      <c r="CP31" s="319"/>
      <c r="CQ31" s="319"/>
      <c r="CR31" s="319"/>
      <c r="CS31" s="177"/>
      <c r="CT31" s="271"/>
      <c r="CU31" s="271"/>
      <c r="CV31" s="271"/>
      <c r="CW31" s="319"/>
      <c r="CX31" s="319"/>
      <c r="CY31" s="319"/>
      <c r="CZ31" s="319"/>
      <c r="DA31" s="319"/>
      <c r="DB31" s="319"/>
      <c r="DC31" s="319"/>
      <c r="DD31" s="319"/>
      <c r="DE31" s="319"/>
      <c r="DF31" s="319"/>
      <c r="DG31" s="319"/>
      <c r="DH31" s="319"/>
      <c r="DI31" s="319"/>
      <c r="DJ31" s="319"/>
      <c r="DK31" s="319"/>
      <c r="DL31" s="319"/>
      <c r="DM31" s="319"/>
      <c r="DN31" s="319"/>
      <c r="DO31" s="319"/>
      <c r="DP31" s="319"/>
      <c r="DQ31" s="319"/>
      <c r="DR31" s="319"/>
      <c r="DS31" s="419">
        <f t="shared" si="13"/>
        <v>0</v>
      </c>
      <c r="DT31" s="57"/>
      <c r="DU31" s="319"/>
      <c r="DV31" s="319"/>
      <c r="DW31" s="319"/>
      <c r="DX31" s="319"/>
      <c r="DY31" s="319"/>
      <c r="DZ31" s="319"/>
      <c r="EA31" s="319"/>
      <c r="EB31" s="319"/>
      <c r="EC31" s="319"/>
      <c r="ED31" s="319"/>
      <c r="EE31" s="319"/>
      <c r="EF31" s="319"/>
      <c r="EG31" s="319"/>
      <c r="EH31" s="319"/>
      <c r="EI31" s="319"/>
      <c r="EJ31" s="319"/>
      <c r="EK31" s="319"/>
      <c r="EL31" s="319"/>
      <c r="EM31" s="319"/>
      <c r="EN31" s="319"/>
      <c r="EO31" s="319"/>
      <c r="EP31" s="319"/>
      <c r="EQ31" s="319"/>
      <c r="ER31" s="245"/>
      <c r="ES31" s="319"/>
      <c r="ET31" s="319"/>
      <c r="EU31" s="319"/>
      <c r="EV31" s="319"/>
      <c r="EW31" s="319"/>
      <c r="EX31" s="319"/>
      <c r="EY31" s="319"/>
      <c r="EZ31" s="177"/>
      <c r="FA31" s="271"/>
      <c r="FB31" s="319"/>
      <c r="FC31" s="319"/>
      <c r="FD31" s="319"/>
      <c r="FE31" s="319"/>
      <c r="FF31" s="319"/>
      <c r="FG31" s="319"/>
      <c r="FH31" s="319"/>
      <c r="FI31" s="319"/>
      <c r="FJ31" s="319"/>
      <c r="FK31" s="319"/>
      <c r="FL31" s="319"/>
      <c r="FM31" s="319"/>
      <c r="FN31" s="319"/>
      <c r="FO31" s="319"/>
      <c r="FP31" s="319"/>
      <c r="FQ31" s="319"/>
      <c r="FR31" s="319"/>
      <c r="FS31" s="319"/>
      <c r="FT31" s="319"/>
      <c r="FU31" s="158">
        <f t="shared" si="14"/>
        <v>0</v>
      </c>
      <c r="FV31" s="113"/>
      <c r="FW31" s="245"/>
      <c r="FX31" s="245"/>
      <c r="FY31" s="245"/>
      <c r="FZ31" s="319"/>
      <c r="GA31" s="319"/>
      <c r="GB31" s="319"/>
      <c r="GC31" s="319"/>
      <c r="GD31" s="319"/>
      <c r="GE31" s="319"/>
      <c r="GF31" s="319"/>
      <c r="GG31" s="319"/>
      <c r="GH31" s="28"/>
      <c r="GI31" s="270"/>
      <c r="GJ31" s="245"/>
      <c r="GK31" s="177"/>
      <c r="GL31" s="271"/>
      <c r="GM31" s="177"/>
      <c r="GN31" s="272"/>
      <c r="GO31" s="435"/>
      <c r="GP31" s="327">
        <f t="shared" si="15"/>
        <v>0</v>
      </c>
      <c r="GQ31" s="445">
        <f t="shared" si="16"/>
        <v>0</v>
      </c>
      <c r="GR31" s="449">
        <f t="shared" si="17"/>
        <v>0</v>
      </c>
      <c r="GS31" s="451">
        <f t="shared" si="18"/>
        <v>0</v>
      </c>
      <c r="GT31" s="239">
        <f t="shared" si="19"/>
        <v>0</v>
      </c>
      <c r="GU31" s="36" t="str">
        <f t="shared" si="20"/>
        <v>Метионин</v>
      </c>
      <c r="GV31" s="38"/>
      <c r="GW31" s="948"/>
    </row>
    <row r="32" spans="1:205" ht="15" customHeight="1" x14ac:dyDescent="0.3">
      <c r="A32" s="127">
        <f t="shared" si="21"/>
        <v>23</v>
      </c>
      <c r="B32" s="690" t="s">
        <v>312</v>
      </c>
      <c r="C32" s="901">
        <f>60.23+110.33</f>
        <v>170.56</v>
      </c>
      <c r="D32" s="514">
        <v>232.64</v>
      </c>
      <c r="E32" s="192">
        <v>221.93</v>
      </c>
      <c r="F32" s="201">
        <v>212.94</v>
      </c>
      <c r="G32" s="92">
        <f t="shared" si="9"/>
        <v>222.50299999999999</v>
      </c>
      <c r="H32" s="93">
        <v>335.1</v>
      </c>
      <c r="I32" s="93">
        <f>122.16+50</f>
        <v>172.16</v>
      </c>
      <c r="J32" s="112"/>
      <c r="K32" s="319"/>
      <c r="L32" s="319"/>
      <c r="M32" s="319"/>
      <c r="N32" s="319"/>
      <c r="O32" s="319"/>
      <c r="P32" s="319">
        <f>26.784</f>
        <v>26.783999999999999</v>
      </c>
      <c r="Q32" s="319">
        <v>25.056000000000001</v>
      </c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>
        <v>120.52800000000001</v>
      </c>
      <c r="AI32" s="319"/>
      <c r="AJ32" s="319"/>
      <c r="AK32" s="319"/>
      <c r="AL32" s="319">
        <v>24.106000000000002</v>
      </c>
      <c r="AM32" s="319"/>
      <c r="AN32" s="319"/>
      <c r="AO32" s="319"/>
      <c r="AP32" s="319"/>
      <c r="AQ32" s="319">
        <v>36.158000000000001</v>
      </c>
      <c r="AR32" s="319"/>
      <c r="AS32" s="319"/>
      <c r="AT32" s="319"/>
      <c r="AU32" s="319"/>
      <c r="AV32" s="319"/>
      <c r="AW32" s="319"/>
      <c r="AX32" s="319"/>
      <c r="AY32" s="319"/>
      <c r="AZ32" s="319"/>
      <c r="BA32" s="319"/>
      <c r="BB32" s="319"/>
      <c r="BC32" s="319"/>
      <c r="BD32" s="319"/>
      <c r="BE32" s="319"/>
      <c r="BF32" s="319"/>
      <c r="BG32" s="319"/>
      <c r="BH32" s="319"/>
      <c r="BI32" s="319"/>
      <c r="BJ32" s="158">
        <f t="shared" si="12"/>
        <v>232.63200000000001</v>
      </c>
      <c r="BK32" s="112"/>
      <c r="BL32" s="319"/>
      <c r="BM32" s="319"/>
      <c r="BN32" s="319"/>
      <c r="BO32" s="319"/>
      <c r="BP32" s="319"/>
      <c r="BQ32" s="319"/>
      <c r="BR32" s="319"/>
      <c r="BS32" s="319"/>
      <c r="BT32" s="319"/>
      <c r="BU32" s="319"/>
      <c r="BV32" s="319"/>
      <c r="BW32" s="319"/>
      <c r="BX32" s="319"/>
      <c r="BY32" s="319"/>
      <c r="BZ32" s="319"/>
      <c r="CA32" s="319"/>
      <c r="CB32" s="319"/>
      <c r="CC32" s="319"/>
      <c r="CD32" s="319"/>
      <c r="CE32" s="319"/>
      <c r="CF32" s="319"/>
      <c r="CG32" s="319"/>
      <c r="CH32" s="319">
        <f>26.784*0.6</f>
        <v>16.070399999999999</v>
      </c>
      <c r="CI32" s="319">
        <f>25.056</f>
        <v>25.056000000000001</v>
      </c>
      <c r="CJ32" s="319"/>
      <c r="CK32" s="319"/>
      <c r="CL32" s="319">
        <f>24.106/0.6*0.9</f>
        <v>36.159000000000006</v>
      </c>
      <c r="CM32" s="319">
        <v>24.106000000000002</v>
      </c>
      <c r="CN32" s="319"/>
      <c r="CO32" s="319"/>
      <c r="CP32" s="319"/>
      <c r="CQ32" s="319"/>
      <c r="CR32" s="319"/>
      <c r="CS32" s="177"/>
      <c r="CT32" s="271"/>
      <c r="CU32" s="271"/>
      <c r="CV32" s="271"/>
      <c r="CW32" s="319"/>
      <c r="CX32" s="319"/>
      <c r="CY32" s="319"/>
      <c r="CZ32" s="319"/>
      <c r="DA32" s="319"/>
      <c r="DB32" s="319"/>
      <c r="DC32" s="319"/>
      <c r="DD32" s="319">
        <v>120.52800000000001</v>
      </c>
      <c r="DE32" s="319"/>
      <c r="DF32" s="319"/>
      <c r="DG32" s="319"/>
      <c r="DH32" s="319"/>
      <c r="DI32" s="319"/>
      <c r="DJ32" s="319"/>
      <c r="DK32" s="319"/>
      <c r="DL32" s="319"/>
      <c r="DM32" s="319"/>
      <c r="DN32" s="319"/>
      <c r="DO32" s="319"/>
      <c r="DP32" s="319"/>
      <c r="DQ32" s="319"/>
      <c r="DR32" s="319"/>
      <c r="DS32" s="419">
        <f t="shared" si="13"/>
        <v>221.9194</v>
      </c>
      <c r="DT32" s="57"/>
      <c r="DU32" s="319"/>
      <c r="DV32" s="319"/>
      <c r="DW32" s="319"/>
      <c r="DX32" s="319"/>
      <c r="DY32" s="319"/>
      <c r="DZ32" s="319"/>
      <c r="EA32" s="319"/>
      <c r="EB32" s="319"/>
      <c r="EC32" s="319"/>
      <c r="ED32" s="319"/>
      <c r="EE32" s="319"/>
      <c r="EF32" s="319"/>
      <c r="EG32" s="319"/>
      <c r="EH32" s="319"/>
      <c r="EI32" s="319"/>
      <c r="EJ32" s="319"/>
      <c r="EK32" s="319"/>
      <c r="EL32" s="319"/>
      <c r="EM32" s="319"/>
      <c r="EN32" s="319"/>
      <c r="EO32" s="319"/>
      <c r="EP32" s="319"/>
      <c r="EQ32" s="319"/>
      <c r="ER32" s="245"/>
      <c r="ES32" s="319"/>
      <c r="ET32" s="319">
        <v>24.106000000000002</v>
      </c>
      <c r="EU32" s="319">
        <v>36.158000000000001</v>
      </c>
      <c r="EV32" s="319"/>
      <c r="EW32" s="319"/>
      <c r="EX32" s="319"/>
      <c r="EY32" s="319"/>
      <c r="EZ32" s="177"/>
      <c r="FA32" s="271"/>
      <c r="FB32" s="319">
        <f>16.07/0.6*1.2</f>
        <v>32.14</v>
      </c>
      <c r="FC32" s="319"/>
      <c r="FD32" s="319">
        <v>120.52800000000001</v>
      </c>
      <c r="FE32" s="319"/>
      <c r="FF32" s="319"/>
      <c r="FG32" s="319"/>
      <c r="FH32" s="319"/>
      <c r="FI32" s="319"/>
      <c r="FJ32" s="319"/>
      <c r="FK32" s="319"/>
      <c r="FL32" s="319"/>
      <c r="FM32" s="319"/>
      <c r="FN32" s="319"/>
      <c r="FO32" s="319"/>
      <c r="FP32" s="319"/>
      <c r="FQ32" s="319"/>
      <c r="FR32" s="319"/>
      <c r="FS32" s="319"/>
      <c r="FT32" s="319"/>
      <c r="FU32" s="158">
        <f t="shared" si="14"/>
        <v>212.93200000000002</v>
      </c>
      <c r="FV32" s="95"/>
      <c r="FW32" s="245"/>
      <c r="FX32" s="245"/>
      <c r="FY32" s="245"/>
      <c r="FZ32" s="319"/>
      <c r="GA32" s="319"/>
      <c r="GB32" s="319"/>
      <c r="GC32" s="319"/>
      <c r="GD32" s="319"/>
      <c r="GE32" s="319"/>
      <c r="GF32" s="319"/>
      <c r="GG32" s="319"/>
      <c r="GH32" s="28"/>
      <c r="GI32" s="270"/>
      <c r="GJ32" s="245"/>
      <c r="GK32" s="177"/>
      <c r="GL32" s="271"/>
      <c r="GM32" s="177"/>
      <c r="GN32" s="272"/>
      <c r="GO32" s="435"/>
      <c r="GP32" s="327">
        <f t="shared" si="15"/>
        <v>0</v>
      </c>
      <c r="GQ32" s="558">
        <f t="shared" si="16"/>
        <v>172.16</v>
      </c>
      <c r="GR32" s="449">
        <f t="shared" si="17"/>
        <v>172.16</v>
      </c>
      <c r="GS32" s="451">
        <f t="shared" si="18"/>
        <v>222.50299999999999</v>
      </c>
      <c r="GT32" s="239">
        <f t="shared" si="19"/>
        <v>221.93</v>
      </c>
      <c r="GU32" s="36" t="str">
        <f t="shared" si="20"/>
        <v>МиТаргет (Метионин защищённый)</v>
      </c>
      <c r="GV32" s="38"/>
    </row>
    <row r="33" spans="1:233" ht="15" customHeight="1" x14ac:dyDescent="0.3">
      <c r="A33" s="127">
        <f t="shared" si="21"/>
        <v>24</v>
      </c>
      <c r="B33" s="688" t="s">
        <v>14</v>
      </c>
      <c r="C33" s="901">
        <f>5640.84</f>
        <v>5640.84</v>
      </c>
      <c r="D33" s="514">
        <f>64.21+3408.67</f>
        <v>3472.88</v>
      </c>
      <c r="E33" s="192">
        <v>6408.59</v>
      </c>
      <c r="F33" s="201">
        <v>6041.92</v>
      </c>
      <c r="G33" s="92">
        <f t="shared" si="9"/>
        <v>5307.7969999999996</v>
      </c>
      <c r="H33" s="93">
        <v>7182.74</v>
      </c>
      <c r="I33" s="93">
        <f>1140.82+20000</f>
        <v>21140.82</v>
      </c>
      <c r="J33" s="94"/>
      <c r="K33" s="319">
        <f>158.76*3</f>
        <v>476.28</v>
      </c>
      <c r="L33" s="319">
        <v>468.72</v>
      </c>
      <c r="M33" s="319"/>
      <c r="N33" s="319"/>
      <c r="O33" s="319">
        <v>101.645</v>
      </c>
      <c r="P33" s="319"/>
      <c r="Q33" s="319"/>
      <c r="R33" s="319"/>
      <c r="S33" s="319"/>
      <c r="T33" s="319">
        <f>34.272</f>
        <v>34.271999999999998</v>
      </c>
      <c r="U33" s="319"/>
      <c r="V33" s="319"/>
      <c r="W33" s="319">
        <f>156.331*1.5</f>
        <v>234.49649999999997</v>
      </c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>
        <v>51.408000000000001</v>
      </c>
      <c r="AI33" s="319">
        <f>159.264*4</f>
        <v>637.05600000000004</v>
      </c>
      <c r="AJ33" s="319"/>
      <c r="AK33" s="319">
        <v>110.376</v>
      </c>
      <c r="AL33" s="319">
        <v>10.282</v>
      </c>
      <c r="AM33" s="319">
        <v>105.71899999999999</v>
      </c>
      <c r="AN33" s="319">
        <v>33.264000000000003</v>
      </c>
      <c r="AO33" s="319">
        <f>132.149*2</f>
        <v>264.298</v>
      </c>
      <c r="AP33" s="245">
        <f>34.272*1.3</f>
        <v>44.553600000000003</v>
      </c>
      <c r="AQ33" s="319"/>
      <c r="AR33" s="319"/>
      <c r="AS33" s="319"/>
      <c r="AT33" s="319"/>
      <c r="AU33" s="319"/>
      <c r="AV33" s="319">
        <f>34.272</f>
        <v>34.271999999999998</v>
      </c>
      <c r="AW33" s="319">
        <v>468.72</v>
      </c>
      <c r="AX33" s="319">
        <f>159.566*1.2</f>
        <v>191.47919999999999</v>
      </c>
      <c r="AY33" s="319"/>
      <c r="AZ33" s="319"/>
      <c r="BA33" s="319"/>
      <c r="BB33" s="319"/>
      <c r="BC33" s="319"/>
      <c r="BD33" s="319">
        <f>10.282/0.3</f>
        <v>34.273333333333333</v>
      </c>
      <c r="BE33" s="319">
        <v>151.19999999999999</v>
      </c>
      <c r="BF33" s="319"/>
      <c r="BG33" s="319"/>
      <c r="BH33" s="319">
        <f>34.272*0.6</f>
        <v>20.563199999999998</v>
      </c>
      <c r="BI33" s="319"/>
      <c r="BJ33" s="158">
        <f t="shared" si="12"/>
        <v>3472.8778333333335</v>
      </c>
      <c r="BK33" s="94"/>
      <c r="BL33" s="319">
        <v>428.4</v>
      </c>
      <c r="BM33" s="319"/>
      <c r="BN33" s="319">
        <f>34.272*1.5</f>
        <v>51.408000000000001</v>
      </c>
      <c r="BO33" s="319">
        <f>151.2*2.4</f>
        <v>362.87999999999994</v>
      </c>
      <c r="BP33" s="319">
        <v>34.271999999999998</v>
      </c>
      <c r="BQ33" s="319">
        <f>158.962*3</f>
        <v>476.88599999999997</v>
      </c>
      <c r="BR33" s="319"/>
      <c r="BS33" s="319"/>
      <c r="BT33" s="319">
        <v>468.72</v>
      </c>
      <c r="BU33" s="319">
        <f>156.744*1.9</f>
        <v>297.81360000000001</v>
      </c>
      <c r="BV33" s="319">
        <v>17.135999999999999</v>
      </c>
      <c r="BW33" s="319">
        <v>79.834000000000003</v>
      </c>
      <c r="BX33" s="319"/>
      <c r="BY33" s="319"/>
      <c r="BZ33" s="319">
        <f>34.272</f>
        <v>34.271999999999998</v>
      </c>
      <c r="CA33" s="319"/>
      <c r="CB33" s="319">
        <f>158.962*3</f>
        <v>476.88599999999997</v>
      </c>
      <c r="CC33" s="319">
        <f>191.117/1.2*3</f>
        <v>477.79249999999996</v>
      </c>
      <c r="CD33" s="319"/>
      <c r="CE33" s="319">
        <v>34.271999999999998</v>
      </c>
      <c r="CF33" s="319"/>
      <c r="CG33" s="319">
        <v>38.116999999999997</v>
      </c>
      <c r="CH33" s="319"/>
      <c r="CI33" s="319"/>
      <c r="CJ33" s="319"/>
      <c r="CK33" s="319">
        <f>105.719/0.8*0.9</f>
        <v>118.93387499999999</v>
      </c>
      <c r="CL33" s="319"/>
      <c r="CM33" s="319">
        <v>10.282</v>
      </c>
      <c r="CN33" s="319"/>
      <c r="CO33" s="319"/>
      <c r="CP33" s="319">
        <f>34.272*0.3</f>
        <v>10.281599999999999</v>
      </c>
      <c r="CQ33" s="319">
        <v>464.18400000000003</v>
      </c>
      <c r="CR33" s="319">
        <v>34.271999999999998</v>
      </c>
      <c r="CS33" s="177"/>
      <c r="CT33" s="271"/>
      <c r="CU33" s="271"/>
      <c r="CV33" s="271"/>
      <c r="CW33" s="319"/>
      <c r="CX33" s="319"/>
      <c r="CY33" s="319"/>
      <c r="CZ33" s="319">
        <f>105.719/0.8*3</f>
        <v>396.44624999999996</v>
      </c>
      <c r="DA33" s="245">
        <f>44.554/1.3*1.5</f>
        <v>51.408461538461538</v>
      </c>
      <c r="DB33" s="319">
        <f>110.376*2</f>
        <v>220.75200000000001</v>
      </c>
      <c r="DC33" s="319">
        <f>637.056/4*4.5</f>
        <v>716.6880000000001</v>
      </c>
      <c r="DD33" s="319">
        <v>51.408000000000001</v>
      </c>
      <c r="DE33" s="319">
        <v>33.264000000000003</v>
      </c>
      <c r="DF33" s="319"/>
      <c r="DG33" s="319">
        <f>34.272</f>
        <v>34.271999999999998</v>
      </c>
      <c r="DH33" s="319"/>
      <c r="DI33" s="319"/>
      <c r="DJ33" s="319"/>
      <c r="DK33" s="319"/>
      <c r="DL33" s="319">
        <f>159.264*3</f>
        <v>477.79200000000003</v>
      </c>
      <c r="DM33" s="319">
        <f>158.558*3</f>
        <v>475.67399999999998</v>
      </c>
      <c r="DN33" s="319">
        <f>34.272</f>
        <v>34.271999999999998</v>
      </c>
      <c r="DO33" s="319"/>
      <c r="DP33" s="319"/>
      <c r="DQ33" s="319"/>
      <c r="DR33" s="319"/>
      <c r="DS33" s="419">
        <f t="shared" si="13"/>
        <v>6408.6192865384637</v>
      </c>
      <c r="DT33" s="57"/>
      <c r="DU33" s="319">
        <v>362.154</v>
      </c>
      <c r="DV33" s="319">
        <v>235.11600000000001</v>
      </c>
      <c r="DW33" s="319">
        <v>10.282</v>
      </c>
      <c r="DX33" s="319">
        <f>105.719/0.8*0.9</f>
        <v>118.93387499999999</v>
      </c>
      <c r="DY33" s="319">
        <f>34.272*1.3</f>
        <v>44.553600000000003</v>
      </c>
      <c r="DZ33" s="319"/>
      <c r="EA33" s="319"/>
      <c r="EB33" s="319"/>
      <c r="EC33" s="319"/>
      <c r="ED33" s="319"/>
      <c r="EE33" s="319"/>
      <c r="EF33" s="319"/>
      <c r="EG33" s="319">
        <f>79.834/0.3*0.6</f>
        <v>159.66800000000001</v>
      </c>
      <c r="EH33" s="319">
        <v>47.567999999999998</v>
      </c>
      <c r="EI33" s="319">
        <f>34.272*0.8</f>
        <v>27.4176</v>
      </c>
      <c r="EJ33" s="319"/>
      <c r="EK33" s="319"/>
      <c r="EL33" s="319"/>
      <c r="EM33" s="319">
        <v>302.39999999999998</v>
      </c>
      <c r="EN33" s="319"/>
      <c r="EO33" s="319">
        <f>34.272*5</f>
        <v>171.35999999999999</v>
      </c>
      <c r="EP33" s="319"/>
      <c r="EQ33" s="319">
        <v>464.18400000000003</v>
      </c>
      <c r="ER33" s="245">
        <f>100.8*0.3</f>
        <v>30.24</v>
      </c>
      <c r="ES33" s="319"/>
      <c r="ET33" s="319">
        <v>10.282</v>
      </c>
      <c r="EU33" s="319"/>
      <c r="EV33" s="319">
        <v>16.632000000000001</v>
      </c>
      <c r="EW33" s="319">
        <f>110.376*2</f>
        <v>220.75200000000001</v>
      </c>
      <c r="EX33" s="319">
        <f>637.056/4*5</f>
        <v>796.32</v>
      </c>
      <c r="EY33" s="245">
        <f>44.554/1.3*2</f>
        <v>68.544615384615383</v>
      </c>
      <c r="EZ33" s="177"/>
      <c r="FA33" s="271"/>
      <c r="FB33" s="319"/>
      <c r="FC33" s="319"/>
      <c r="FD33" s="319">
        <v>51.408000000000001</v>
      </c>
      <c r="FE33" s="319">
        <f>105.719/0.8*2.5</f>
        <v>330.37187499999993</v>
      </c>
      <c r="FF33" s="319">
        <f>234.814/1.5*1.1</f>
        <v>172.19693333333333</v>
      </c>
      <c r="FG33" s="319">
        <v>631.00800000000004</v>
      </c>
      <c r="FH33" s="319"/>
      <c r="FI33" s="319">
        <f>234.814/1.5*0.6</f>
        <v>93.925599999999989</v>
      </c>
      <c r="FJ33" s="319"/>
      <c r="FK33" s="319">
        <f>475.675</f>
        <v>475.67500000000001</v>
      </c>
      <c r="FL33" s="319">
        <f>34.272*0.7</f>
        <v>23.990399999999998</v>
      </c>
      <c r="FM33" s="319">
        <v>34.271999999999998</v>
      </c>
      <c r="FN33" s="319"/>
      <c r="FO33" s="319"/>
      <c r="FP33" s="319">
        <f>477.792</f>
        <v>477.79199999999997</v>
      </c>
      <c r="FQ33" s="319">
        <f>477.792</f>
        <v>477.79199999999997</v>
      </c>
      <c r="FR33" s="319">
        <v>27.417999999999999</v>
      </c>
      <c r="FS33" s="319"/>
      <c r="FT33" s="319">
        <f>79.834/0.3*0.6</f>
        <v>159.66800000000001</v>
      </c>
      <c r="FU33" s="158">
        <f t="shared" si="14"/>
        <v>6041.9254987179474</v>
      </c>
      <c r="FV33" s="95"/>
      <c r="FW33" s="245"/>
      <c r="FX33" s="245"/>
      <c r="FY33" s="245"/>
      <c r="FZ33" s="319"/>
      <c r="GA33" s="319"/>
      <c r="GB33" s="319"/>
      <c r="GC33" s="319"/>
      <c r="GD33" s="319"/>
      <c r="GE33" s="319"/>
      <c r="GF33" s="319"/>
      <c r="GG33" s="319"/>
      <c r="GH33" s="28"/>
      <c r="GI33" s="270"/>
      <c r="GJ33" s="245"/>
      <c r="GK33" s="177"/>
      <c r="GL33" s="271"/>
      <c r="GM33" s="177"/>
      <c r="GN33" s="272"/>
      <c r="GO33" s="435"/>
      <c r="GP33" s="327">
        <f t="shared" si="15"/>
        <v>0</v>
      </c>
      <c r="GQ33" s="445">
        <f t="shared" si="16"/>
        <v>21140.82</v>
      </c>
      <c r="GR33" s="449">
        <f t="shared" si="17"/>
        <v>21140.82</v>
      </c>
      <c r="GS33" s="451">
        <f t="shared" si="18"/>
        <v>5307.7969999999996</v>
      </c>
      <c r="GT33" s="239">
        <f t="shared" si="19"/>
        <v>6408.59</v>
      </c>
      <c r="GU33" s="36" t="str">
        <f t="shared" si="20"/>
        <v>монокальцийфосфат (МКФ)</v>
      </c>
      <c r="GV33" s="402"/>
    </row>
    <row r="34" spans="1:233" s="14" customFormat="1" ht="15" customHeight="1" x14ac:dyDescent="0.3">
      <c r="A34" s="127">
        <f t="shared" si="21"/>
        <v>25</v>
      </c>
      <c r="B34" s="688" t="s">
        <v>114</v>
      </c>
      <c r="C34" s="902">
        <f>32457.14</f>
        <v>32457.14</v>
      </c>
      <c r="D34" s="514">
        <v>24310.71</v>
      </c>
      <c r="E34" s="192">
        <f>24790.495+4756.595</f>
        <v>29547.09</v>
      </c>
      <c r="F34" s="201">
        <f>14823.405+11459.685</f>
        <v>26283.09</v>
      </c>
      <c r="G34" s="92">
        <f t="shared" si="9"/>
        <v>26713.63</v>
      </c>
      <c r="H34" s="93">
        <v>14823.405000000001</v>
      </c>
      <c r="I34" s="93">
        <v>55540.315000000002</v>
      </c>
      <c r="J34" s="112"/>
      <c r="K34" s="319">
        <f>274.378*3</f>
        <v>823.13400000000001</v>
      </c>
      <c r="L34" s="319">
        <v>483.84</v>
      </c>
      <c r="M34" s="319">
        <f>423.698*8</f>
        <v>3389.5839999999998</v>
      </c>
      <c r="N34" s="319">
        <v>705.6</v>
      </c>
      <c r="O34" s="319">
        <v>129.422</v>
      </c>
      <c r="P34" s="319"/>
      <c r="Q34" s="319">
        <v>14.423</v>
      </c>
      <c r="R34" s="319">
        <f>282.24*3</f>
        <v>846.72</v>
      </c>
      <c r="S34" s="319">
        <f>254.155*1.6</f>
        <v>406.64800000000002</v>
      </c>
      <c r="T34" s="319">
        <f>38.808</f>
        <v>38.808</v>
      </c>
      <c r="U34" s="319">
        <f>100.8*1.5</f>
        <v>151.19999999999999</v>
      </c>
      <c r="V34" s="319">
        <f>282.24*4</f>
        <v>1128.96</v>
      </c>
      <c r="W34" s="319">
        <f>274.378*1.5</f>
        <v>411.56700000000001</v>
      </c>
      <c r="X34" s="319">
        <f>100.8*7</f>
        <v>705.6</v>
      </c>
      <c r="Y34" s="319">
        <f>34.847*3</f>
        <v>104.541</v>
      </c>
      <c r="Z34" s="319">
        <f>100.8*2</f>
        <v>201.6</v>
      </c>
      <c r="AA34" s="319">
        <f>282.24*4</f>
        <v>1128.96</v>
      </c>
      <c r="AB34" s="319">
        <f>100.8*8</f>
        <v>806.4</v>
      </c>
      <c r="AC34" s="319">
        <f>423.597*6</f>
        <v>2541.5819999999999</v>
      </c>
      <c r="AD34" s="319"/>
      <c r="AE34" s="319">
        <v>290.30399999999997</v>
      </c>
      <c r="AF34" s="319"/>
      <c r="AG34" s="319">
        <v>129.024</v>
      </c>
      <c r="AH34" s="319"/>
      <c r="AI34" s="319"/>
      <c r="AJ34" s="319">
        <v>521.64</v>
      </c>
      <c r="AK34" s="319">
        <v>558.029</v>
      </c>
      <c r="AL34" s="319"/>
      <c r="AM34" s="319">
        <v>382.55599999999998</v>
      </c>
      <c r="AN34" s="319">
        <v>36.590000000000003</v>
      </c>
      <c r="AO34" s="319">
        <f>478.195*2</f>
        <v>956.39</v>
      </c>
      <c r="AP34" s="245">
        <f>38.808*1.3</f>
        <v>50.450400000000002</v>
      </c>
      <c r="AQ34" s="319">
        <v>113.4</v>
      </c>
      <c r="AR34" s="319"/>
      <c r="AS34" s="319">
        <v>94.195999999999998</v>
      </c>
      <c r="AT34" s="319">
        <v>197.01300000000001</v>
      </c>
      <c r="AU34" s="319">
        <v>282.24</v>
      </c>
      <c r="AV34" s="319">
        <f>38.808</f>
        <v>38.808</v>
      </c>
      <c r="AW34" s="319">
        <v>483.84</v>
      </c>
      <c r="AX34" s="319">
        <f>274.378*1.2</f>
        <v>329.25359999999995</v>
      </c>
      <c r="AY34" s="319">
        <v>370.57</v>
      </c>
      <c r="AZ34" s="319"/>
      <c r="BA34" s="319">
        <v>329.68700000000001</v>
      </c>
      <c r="BB34" s="319">
        <v>100.8</v>
      </c>
      <c r="BC34" s="319">
        <f>45.36</f>
        <v>45.36</v>
      </c>
      <c r="BD34" s="319">
        <f>11.642/0.3</f>
        <v>38.806666666666665</v>
      </c>
      <c r="BE34" s="319">
        <v>151.19999999999999</v>
      </c>
      <c r="BF34" s="319">
        <v>229.488</v>
      </c>
      <c r="BG34" s="319">
        <f>4228.731</f>
        <v>4228.7309999999998</v>
      </c>
      <c r="BH34" s="319">
        <f>38.808*0.6</f>
        <v>23.284800000000001</v>
      </c>
      <c r="BI34" s="319">
        <f>282.24*1.1</f>
        <v>310.46400000000006</v>
      </c>
      <c r="BJ34" s="158">
        <f t="shared" si="12"/>
        <v>24310.714466666675</v>
      </c>
      <c r="BK34" s="112"/>
      <c r="BL34" s="319">
        <v>1098.72</v>
      </c>
      <c r="BM34" s="319">
        <f>254.155*2.5</f>
        <v>635.38750000000005</v>
      </c>
      <c r="BN34" s="319">
        <f>38.808*1.5</f>
        <v>58.212000000000003</v>
      </c>
      <c r="BO34" s="319">
        <f>161.28*2.4</f>
        <v>387.072</v>
      </c>
      <c r="BP34" s="319">
        <v>38.808</v>
      </c>
      <c r="BQ34" s="319">
        <f>274.378*3</f>
        <v>823.13400000000001</v>
      </c>
      <c r="BR34" s="319">
        <v>1005.853</v>
      </c>
      <c r="BS34" s="319">
        <f>100.8*5.4</f>
        <v>544.32000000000005</v>
      </c>
      <c r="BT34" s="319">
        <v>483.84</v>
      </c>
      <c r="BU34" s="319">
        <f>274.378*1.9</f>
        <v>521.31819999999993</v>
      </c>
      <c r="BV34" s="319">
        <v>19.404</v>
      </c>
      <c r="BW34" s="319">
        <v>56.398000000000003</v>
      </c>
      <c r="BX34" s="319">
        <f>100.8*2.1</f>
        <v>211.68</v>
      </c>
      <c r="BY34" s="319">
        <f>100.8*2</f>
        <v>201.6</v>
      </c>
      <c r="BZ34" s="319">
        <f>38.808</f>
        <v>38.808</v>
      </c>
      <c r="CA34" s="319">
        <f>282.24*4</f>
        <v>1128.96</v>
      </c>
      <c r="CB34" s="319">
        <f>274.378*3</f>
        <v>823.13400000000001</v>
      </c>
      <c r="CC34" s="319">
        <f>329.253/1.2*3</f>
        <v>823.13249999999994</v>
      </c>
      <c r="CD34" s="319">
        <f>282.24*4</f>
        <v>1128.96</v>
      </c>
      <c r="CE34" s="319">
        <v>38.808</v>
      </c>
      <c r="CF34" s="319">
        <f>806.4/8*6</f>
        <v>604.79999999999995</v>
      </c>
      <c r="CG34" s="319">
        <v>48.533000000000001</v>
      </c>
      <c r="CH34" s="319"/>
      <c r="CI34" s="319">
        <v>14.423</v>
      </c>
      <c r="CJ34" s="319">
        <v>104.54</v>
      </c>
      <c r="CK34" s="319">
        <f>382.556/0.8*0.9</f>
        <v>430.37549999999993</v>
      </c>
      <c r="CL34" s="319">
        <f>75.6/0.6*0.9</f>
        <v>113.4</v>
      </c>
      <c r="CM34" s="319"/>
      <c r="CN34" s="319">
        <v>705.6</v>
      </c>
      <c r="CO34" s="319">
        <f>100.8*2</f>
        <v>201.6</v>
      </c>
      <c r="CP34" s="319">
        <f>38.808*0.3</f>
        <v>11.6424</v>
      </c>
      <c r="CQ34" s="319">
        <v>483.84</v>
      </c>
      <c r="CR34" s="319">
        <v>38.808</v>
      </c>
      <c r="CS34" s="177">
        <v>524.16</v>
      </c>
      <c r="CT34" s="271">
        <v>1451.52</v>
      </c>
      <c r="CU34" s="271">
        <v>786.24</v>
      </c>
      <c r="CV34" s="271"/>
      <c r="CW34" s="319">
        <v>1209.5999999999999</v>
      </c>
      <c r="CX34" s="319">
        <f>4259.556</f>
        <v>4259.5559999999996</v>
      </c>
      <c r="CY34" s="319"/>
      <c r="CZ34" s="319">
        <f>382.556/0.8*3</f>
        <v>1434.5849999999998</v>
      </c>
      <c r="DA34" s="245">
        <f>50.45/1.3*1.5</f>
        <v>58.21153846153846</v>
      </c>
      <c r="DB34" s="319">
        <f>558.029*2</f>
        <v>1116.058</v>
      </c>
      <c r="DC34" s="319"/>
      <c r="DD34" s="319"/>
      <c r="DE34" s="319">
        <v>36.590000000000003</v>
      </c>
      <c r="DF34" s="319">
        <f>282.24*0.6</f>
        <v>169.34399999999999</v>
      </c>
      <c r="DG34" s="319">
        <f>38.808</f>
        <v>38.808</v>
      </c>
      <c r="DH34" s="319">
        <f>282.24</f>
        <v>282.24</v>
      </c>
      <c r="DI34" s="319">
        <f>806.4/8</f>
        <v>100.8</v>
      </c>
      <c r="DJ34" s="319">
        <f>406.648/1.6*1.5</f>
        <v>381.23250000000002</v>
      </c>
      <c r="DK34" s="319">
        <v>229.488</v>
      </c>
      <c r="DL34" s="319">
        <f>274.378*3</f>
        <v>823.13400000000001</v>
      </c>
      <c r="DM34" s="319">
        <f>274.378*3</f>
        <v>823.13400000000001</v>
      </c>
      <c r="DN34" s="319">
        <f>38.808</f>
        <v>38.808</v>
      </c>
      <c r="DO34" s="319">
        <f>282.24*4</f>
        <v>1128.96</v>
      </c>
      <c r="DP34" s="319">
        <f>806.4/8*7.5</f>
        <v>756</v>
      </c>
      <c r="DQ34" s="319">
        <f>705.6*1.5</f>
        <v>1058.4000000000001</v>
      </c>
      <c r="DR34" s="319">
        <v>15.12</v>
      </c>
      <c r="DS34" s="419">
        <f t="shared" si="13"/>
        <v>29547.100138461545</v>
      </c>
      <c r="DT34" s="57"/>
      <c r="DU34" s="319">
        <v>387.072</v>
      </c>
      <c r="DV34" s="319">
        <v>411.56599999999997</v>
      </c>
      <c r="DW34" s="319">
        <v>11.641999999999999</v>
      </c>
      <c r="DX34" s="319">
        <f>382.556/0.8*0.9</f>
        <v>430.37549999999993</v>
      </c>
      <c r="DY34" s="319">
        <f>38.808*1.3</f>
        <v>50.450400000000002</v>
      </c>
      <c r="DZ34" s="319">
        <v>62.436</v>
      </c>
      <c r="EA34" s="319">
        <v>2177.2800000000002</v>
      </c>
      <c r="EB34" s="319">
        <f>422.876*10</f>
        <v>4228.76</v>
      </c>
      <c r="EC34" s="319">
        <v>197.01300000000001</v>
      </c>
      <c r="ED34" s="319"/>
      <c r="EE34" s="319">
        <v>62.796999999999997</v>
      </c>
      <c r="EF34" s="319">
        <v>100.8</v>
      </c>
      <c r="EG34" s="319">
        <f>56.398/0.3*0.6</f>
        <v>112.79600000000001</v>
      </c>
      <c r="EH34" s="319">
        <v>82.313000000000002</v>
      </c>
      <c r="EI34" s="319">
        <f>38.808*0.8</f>
        <v>31.046400000000002</v>
      </c>
      <c r="EJ34" s="319">
        <f>282.24*1.5</f>
        <v>423.36</v>
      </c>
      <c r="EK34" s="319">
        <v>282.24</v>
      </c>
      <c r="EL34" s="319">
        <v>282.24</v>
      </c>
      <c r="EM34" s="319">
        <v>302.39999999999998</v>
      </c>
      <c r="EN34" s="319">
        <f>806.4/8*5</f>
        <v>504</v>
      </c>
      <c r="EO34" s="319">
        <f>38.808*5</f>
        <v>194.04</v>
      </c>
      <c r="EP34" s="319">
        <f>282.24*2</f>
        <v>564.48</v>
      </c>
      <c r="EQ34" s="319">
        <v>483.84</v>
      </c>
      <c r="ER34" s="245">
        <f>100.8*0.3</f>
        <v>30.24</v>
      </c>
      <c r="ES34" s="319">
        <f>282.24*3</f>
        <v>846.72</v>
      </c>
      <c r="ET34" s="319"/>
      <c r="EU34" s="319">
        <v>113.4</v>
      </c>
      <c r="EV34" s="319">
        <v>18.295000000000002</v>
      </c>
      <c r="EW34" s="319">
        <f>558.029*2</f>
        <v>1116.058</v>
      </c>
      <c r="EX34" s="319"/>
      <c r="EY34" s="245">
        <f>50.45/1.3*2</f>
        <v>77.615384615384613</v>
      </c>
      <c r="EZ34" s="177">
        <v>1260</v>
      </c>
      <c r="FA34" s="271">
        <v>524.16</v>
      </c>
      <c r="FB34" s="319"/>
      <c r="FC34" s="319">
        <v>604.79999999999995</v>
      </c>
      <c r="FD34" s="319"/>
      <c r="FE34" s="319">
        <f>382.556/0.8*2.5</f>
        <v>1195.4874999999997</v>
      </c>
      <c r="FF34" s="319">
        <f>411.566/1.5*1.1</f>
        <v>301.81506666666667</v>
      </c>
      <c r="FG34" s="319">
        <v>1097.51</v>
      </c>
      <c r="FH34" s="319">
        <f>170.286/0.3*0.1</f>
        <v>56.762</v>
      </c>
      <c r="FI34" s="319">
        <f>411.566/1.5*0.6</f>
        <v>164.62639999999996</v>
      </c>
      <c r="FJ34" s="319">
        <f>422.876*10</f>
        <v>4228.76</v>
      </c>
      <c r="FK34" s="319">
        <f>823.133</f>
        <v>823.13300000000004</v>
      </c>
      <c r="FL34" s="319">
        <f>38.808*0.7</f>
        <v>27.165599999999998</v>
      </c>
      <c r="FM34" s="319">
        <v>38.808</v>
      </c>
      <c r="FN34" s="319">
        <f>151.2/0.5*0.6</f>
        <v>181.43999999999997</v>
      </c>
      <c r="FO34" s="319">
        <f>100.8*1.2</f>
        <v>120.96</v>
      </c>
      <c r="FP34" s="319">
        <f>823.133</f>
        <v>823.13300000000004</v>
      </c>
      <c r="FQ34" s="319">
        <f>823.133</f>
        <v>823.13300000000004</v>
      </c>
      <c r="FR34" s="319">
        <v>31.045999999999999</v>
      </c>
      <c r="FS34" s="319">
        <f>282.24</f>
        <v>282.24</v>
      </c>
      <c r="FT34" s="319">
        <f>56.398/0.3*0.6</f>
        <v>112.79600000000001</v>
      </c>
      <c r="FU34" s="158">
        <f t="shared" si="14"/>
        <v>26283.051251282053</v>
      </c>
      <c r="FV34" s="113"/>
      <c r="FW34" s="245"/>
      <c r="FX34" s="245"/>
      <c r="FY34" s="245"/>
      <c r="FZ34" s="319"/>
      <c r="GA34" s="319"/>
      <c r="GB34" s="319"/>
      <c r="GC34" s="319"/>
      <c r="GD34" s="319"/>
      <c r="GE34" s="319"/>
      <c r="GF34" s="319"/>
      <c r="GG34" s="319"/>
      <c r="GH34" s="28"/>
      <c r="GI34" s="270"/>
      <c r="GJ34" s="245"/>
      <c r="GK34" s="177"/>
      <c r="GL34" s="271"/>
      <c r="GM34" s="177"/>
      <c r="GN34" s="272"/>
      <c r="GO34" s="435"/>
      <c r="GP34" s="327">
        <f t="shared" si="15"/>
        <v>0</v>
      </c>
      <c r="GQ34" s="445">
        <f t="shared" si="16"/>
        <v>55540.315000000002</v>
      </c>
      <c r="GR34" s="449">
        <f t="shared" si="17"/>
        <v>55540.315000000002</v>
      </c>
      <c r="GS34" s="451">
        <f t="shared" si="18"/>
        <v>26713.63</v>
      </c>
      <c r="GT34" s="239">
        <f t="shared" si="19"/>
        <v>29547.09</v>
      </c>
      <c r="GU34" s="36" t="str">
        <f t="shared" si="20"/>
        <v>мука известняковая</v>
      </c>
      <c r="GV34" s="38"/>
      <c r="GW34" s="949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</row>
    <row r="35" spans="1:233" s="14" customFormat="1" ht="15" customHeight="1" x14ac:dyDescent="0.3">
      <c r="A35" s="132">
        <f t="shared" si="21"/>
        <v>26</v>
      </c>
      <c r="B35" s="692" t="s">
        <v>40</v>
      </c>
      <c r="C35" s="901">
        <f>1531.8+1626.27</f>
        <v>3158.0699999999997</v>
      </c>
      <c r="D35" s="514">
        <v>2118.11</v>
      </c>
      <c r="E35" s="192">
        <f>1505.62+2965.14</f>
        <v>4470.76</v>
      </c>
      <c r="F35" s="201">
        <v>2844.9</v>
      </c>
      <c r="G35" s="92">
        <f t="shared" si="9"/>
        <v>3144.59</v>
      </c>
      <c r="H35" s="93">
        <v>16984.86</v>
      </c>
      <c r="I35" s="93">
        <v>14139.96</v>
      </c>
      <c r="J35" s="112"/>
      <c r="K35" s="319"/>
      <c r="L35" s="319"/>
      <c r="M35" s="319"/>
      <c r="N35" s="319"/>
      <c r="O35" s="319">
        <v>102.73399999999999</v>
      </c>
      <c r="P35" s="319"/>
      <c r="Q35" s="319">
        <v>215.94499999999999</v>
      </c>
      <c r="R35" s="319">
        <f>40.32*3</f>
        <v>120.96000000000001</v>
      </c>
      <c r="S35" s="319"/>
      <c r="T35" s="319">
        <f>136.08</f>
        <v>136.08000000000001</v>
      </c>
      <c r="U35" s="319"/>
      <c r="V35" s="319">
        <f>40.32*4</f>
        <v>161.28</v>
      </c>
      <c r="W35" s="319"/>
      <c r="X35" s="319"/>
      <c r="Y35" s="319"/>
      <c r="Z35" s="319"/>
      <c r="AA35" s="319">
        <f>40.32*4</f>
        <v>161.28</v>
      </c>
      <c r="AB35" s="319"/>
      <c r="AC35" s="319"/>
      <c r="AD35" s="319"/>
      <c r="AE35" s="319"/>
      <c r="AF35" s="319"/>
      <c r="AG35" s="319"/>
      <c r="AH35" s="319"/>
      <c r="AI35" s="319"/>
      <c r="AJ35" s="319"/>
      <c r="AK35" s="319">
        <v>114.408</v>
      </c>
      <c r="AL35" s="319"/>
      <c r="AM35" s="319">
        <v>81.043000000000006</v>
      </c>
      <c r="AN35" s="319">
        <v>135.97900000000001</v>
      </c>
      <c r="AO35" s="319">
        <f>101.304*2</f>
        <v>202.608</v>
      </c>
      <c r="AP35" s="245">
        <f>136.08*1.3</f>
        <v>176.90400000000002</v>
      </c>
      <c r="AQ35" s="319">
        <v>27.216000000000001</v>
      </c>
      <c r="AR35" s="319"/>
      <c r="AS35" s="319"/>
      <c r="AT35" s="319"/>
      <c r="AU35" s="319">
        <v>40.32</v>
      </c>
      <c r="AV35" s="319">
        <f>136.08</f>
        <v>136.08000000000001</v>
      </c>
      <c r="AW35" s="319"/>
      <c r="AX35" s="319"/>
      <c r="AY35" s="319"/>
      <c r="AZ35" s="319"/>
      <c r="BA35" s="319"/>
      <c r="BB35" s="319"/>
      <c r="BC35" s="319">
        <f>43.189</f>
        <v>43.189</v>
      </c>
      <c r="BD35" s="319">
        <f>40.824/0.3</f>
        <v>136.08000000000001</v>
      </c>
      <c r="BE35" s="319"/>
      <c r="BF35" s="319"/>
      <c r="BG35" s="319"/>
      <c r="BH35" s="319">
        <f>136.08*0.6</f>
        <v>81.64800000000001</v>
      </c>
      <c r="BI35" s="319">
        <f>40.32*1.1</f>
        <v>44.352000000000004</v>
      </c>
      <c r="BJ35" s="158">
        <f t="shared" si="12"/>
        <v>2118.1059999999998</v>
      </c>
      <c r="BK35" s="112"/>
      <c r="BL35" s="319">
        <v>1496.88</v>
      </c>
      <c r="BM35" s="319"/>
      <c r="BN35" s="319">
        <f>136.08*1.5</f>
        <v>204.12</v>
      </c>
      <c r="BO35" s="319"/>
      <c r="BP35" s="319">
        <v>136.08000000000001</v>
      </c>
      <c r="BQ35" s="319"/>
      <c r="BR35" s="319"/>
      <c r="BS35" s="319"/>
      <c r="BT35" s="319"/>
      <c r="BU35" s="319"/>
      <c r="BV35" s="319">
        <v>68.040000000000006</v>
      </c>
      <c r="BW35" s="319">
        <v>43.243000000000002</v>
      </c>
      <c r="BX35" s="319"/>
      <c r="BY35" s="319"/>
      <c r="BZ35" s="319">
        <f>136.08</f>
        <v>136.08000000000001</v>
      </c>
      <c r="CA35" s="319">
        <f>40.32*4</f>
        <v>161.28</v>
      </c>
      <c r="CB35" s="319"/>
      <c r="CC35" s="319"/>
      <c r="CD35" s="319">
        <f>40.32*4</f>
        <v>161.28</v>
      </c>
      <c r="CE35" s="319">
        <v>136.08000000000001</v>
      </c>
      <c r="CF35" s="319"/>
      <c r="CG35" s="319">
        <v>38.524999999999999</v>
      </c>
      <c r="CH35" s="319"/>
      <c r="CI35" s="319">
        <f>215.945</f>
        <v>215.94499999999999</v>
      </c>
      <c r="CJ35" s="319"/>
      <c r="CK35" s="319">
        <f>81.043/0.8*0.9</f>
        <v>91.173375000000007</v>
      </c>
      <c r="CL35" s="319">
        <f>18.144/0.6*0.9</f>
        <v>27.215999999999998</v>
      </c>
      <c r="CM35" s="319"/>
      <c r="CN35" s="319"/>
      <c r="CO35" s="319"/>
      <c r="CP35" s="319">
        <f>136.08*0.3</f>
        <v>40.824000000000005</v>
      </c>
      <c r="CQ35" s="319"/>
      <c r="CR35" s="319">
        <v>136.08000000000001</v>
      </c>
      <c r="CS35" s="177">
        <v>1.085</v>
      </c>
      <c r="CT35" s="271"/>
      <c r="CU35" s="271"/>
      <c r="CV35" s="271"/>
      <c r="CW35" s="319"/>
      <c r="CX35" s="319"/>
      <c r="CY35" s="319">
        <v>6.048</v>
      </c>
      <c r="CZ35" s="319">
        <f>81.043/0.8*3</f>
        <v>303.91125</v>
      </c>
      <c r="DA35" s="245">
        <f>176.904/1.3*1.5</f>
        <v>204.11999999999998</v>
      </c>
      <c r="DB35" s="319">
        <f>114.408*2</f>
        <v>228.816</v>
      </c>
      <c r="DC35" s="319"/>
      <c r="DD35" s="319"/>
      <c r="DE35" s="319">
        <v>135.97900000000001</v>
      </c>
      <c r="DF35" s="319">
        <f>40.32*0.6</f>
        <v>24.192</v>
      </c>
      <c r="DG35" s="319">
        <f>136.08</f>
        <v>136.08000000000001</v>
      </c>
      <c r="DH35" s="319">
        <f>40.32</f>
        <v>40.32</v>
      </c>
      <c r="DI35" s="319"/>
      <c r="DJ35" s="319"/>
      <c r="DK35" s="319"/>
      <c r="DL35" s="319"/>
      <c r="DM35" s="319"/>
      <c r="DN35" s="319">
        <f>136.08</f>
        <v>136.08000000000001</v>
      </c>
      <c r="DO35" s="319">
        <f>40.32*4</f>
        <v>161.28</v>
      </c>
      <c r="DP35" s="319"/>
      <c r="DQ35" s="319"/>
      <c r="DR35" s="319"/>
      <c r="DS35" s="419">
        <f t="shared" si="13"/>
        <v>4470.7576249999993</v>
      </c>
      <c r="DT35" s="57"/>
      <c r="DU35" s="319"/>
      <c r="DV35" s="319"/>
      <c r="DW35" s="319">
        <v>40.823999999999998</v>
      </c>
      <c r="DX35" s="319">
        <f>81.043/0.8*0.9</f>
        <v>91.173375000000007</v>
      </c>
      <c r="DY35" s="319">
        <f>136.08*1.3</f>
        <v>176.90400000000002</v>
      </c>
      <c r="DZ35" s="319"/>
      <c r="EA35" s="319"/>
      <c r="EB35" s="319"/>
      <c r="EC35" s="319"/>
      <c r="ED35" s="319"/>
      <c r="EE35" s="319"/>
      <c r="EF35" s="319"/>
      <c r="EG35" s="319">
        <f>43.243/0.3*0.6</f>
        <v>86.486000000000004</v>
      </c>
      <c r="EH35" s="319"/>
      <c r="EI35" s="319">
        <f>136.08*0.8</f>
        <v>108.86400000000002</v>
      </c>
      <c r="EJ35" s="319">
        <f>40.32*1.5</f>
        <v>60.480000000000004</v>
      </c>
      <c r="EK35" s="319">
        <v>40.32</v>
      </c>
      <c r="EL35" s="319">
        <v>40.32</v>
      </c>
      <c r="EM35" s="319"/>
      <c r="EN35" s="319"/>
      <c r="EO35" s="319">
        <f>136.08*5</f>
        <v>680.40000000000009</v>
      </c>
      <c r="EP35" s="319">
        <f>40.32*2</f>
        <v>80.64</v>
      </c>
      <c r="EQ35" s="319"/>
      <c r="ER35" s="245"/>
      <c r="ES35" s="319">
        <f>40.32*3</f>
        <v>120.96000000000001</v>
      </c>
      <c r="ET35" s="319"/>
      <c r="EU35" s="319">
        <v>27.216000000000001</v>
      </c>
      <c r="EV35" s="319">
        <v>67.989999999999995</v>
      </c>
      <c r="EW35" s="319">
        <f>114.408*2</f>
        <v>228.816</v>
      </c>
      <c r="EX35" s="319"/>
      <c r="EY35" s="245">
        <f>176.904/1.3*2</f>
        <v>272.15999999999997</v>
      </c>
      <c r="EZ35" s="177"/>
      <c r="FA35" s="271">
        <v>1.085</v>
      </c>
      <c r="FB35" s="319"/>
      <c r="FC35" s="319"/>
      <c r="FD35" s="319"/>
      <c r="FE35" s="319">
        <f>81.043/0.8*2.5</f>
        <v>253.25937500000003</v>
      </c>
      <c r="FF35" s="319"/>
      <c r="FG35" s="319"/>
      <c r="FH35" s="319"/>
      <c r="FI35" s="319"/>
      <c r="FJ35" s="319"/>
      <c r="FK35" s="319"/>
      <c r="FL35" s="319">
        <f>136.08*0.7</f>
        <v>95.256</v>
      </c>
      <c r="FM35" s="319">
        <v>136.08000000000001</v>
      </c>
      <c r="FN35" s="319"/>
      <c r="FO35" s="319"/>
      <c r="FP35" s="319"/>
      <c r="FQ35" s="319"/>
      <c r="FR35" s="319">
        <v>108.864</v>
      </c>
      <c r="FS35" s="319">
        <f>40.32</f>
        <v>40.32</v>
      </c>
      <c r="FT35" s="319">
        <f>43.243/0.3*0.6</f>
        <v>86.486000000000004</v>
      </c>
      <c r="FU35" s="158">
        <f t="shared" si="14"/>
        <v>2844.9037500000004</v>
      </c>
      <c r="FV35" s="113"/>
      <c r="FW35" s="245"/>
      <c r="FX35" s="245"/>
      <c r="FY35" s="245"/>
      <c r="FZ35" s="319"/>
      <c r="GA35" s="319"/>
      <c r="GB35" s="319"/>
      <c r="GC35" s="319"/>
      <c r="GD35" s="319"/>
      <c r="GE35" s="319"/>
      <c r="GF35" s="319"/>
      <c r="GG35" s="319"/>
      <c r="GH35" s="28"/>
      <c r="GI35" s="270"/>
      <c r="GJ35" s="245"/>
      <c r="GK35" s="177"/>
      <c r="GL35" s="271"/>
      <c r="GM35" s="177"/>
      <c r="GN35" s="272"/>
      <c r="GO35" s="435"/>
      <c r="GP35" s="327">
        <f t="shared" si="15"/>
        <v>0</v>
      </c>
      <c r="GQ35" s="445">
        <f t="shared" si="16"/>
        <v>14139.96</v>
      </c>
      <c r="GR35" s="449">
        <f t="shared" si="17"/>
        <v>14139.96</v>
      </c>
      <c r="GS35" s="451">
        <f t="shared" si="18"/>
        <v>3144.59</v>
      </c>
      <c r="GT35" s="239">
        <f t="shared" si="19"/>
        <v>4470.76</v>
      </c>
      <c r="GU35" s="36" t="str">
        <f t="shared" si="20"/>
        <v xml:space="preserve">Соль пищ выварочн сорт экстра </v>
      </c>
      <c r="GV35" s="402"/>
      <c r="GW35" s="949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</row>
    <row r="36" spans="1:233" s="14" customFormat="1" ht="15" customHeight="1" x14ac:dyDescent="0.3">
      <c r="A36" s="1022"/>
      <c r="B36" s="1022"/>
      <c r="C36" s="1023"/>
      <c r="D36" s="1024"/>
      <c r="E36" s="1025"/>
      <c r="F36" s="1026"/>
      <c r="G36" s="1027"/>
      <c r="H36" s="1028">
        <f>SUM(H19:H35)</f>
        <v>84131.231</v>
      </c>
      <c r="I36" s="1028"/>
      <c r="J36" s="112"/>
      <c r="K36" s="1029"/>
      <c r="L36" s="1029"/>
      <c r="M36" s="1029"/>
      <c r="N36" s="1029"/>
      <c r="O36" s="1029"/>
      <c r="P36" s="1029"/>
      <c r="Q36" s="1029"/>
      <c r="R36" s="1029"/>
      <c r="S36" s="1029"/>
      <c r="T36" s="1029"/>
      <c r="U36" s="1029"/>
      <c r="V36" s="1029"/>
      <c r="W36" s="1029"/>
      <c r="X36" s="1029"/>
      <c r="Y36" s="1029"/>
      <c r="Z36" s="1029"/>
      <c r="AA36" s="1029"/>
      <c r="AB36" s="1029"/>
      <c r="AC36" s="1029"/>
      <c r="AD36" s="1029"/>
      <c r="AE36" s="1029"/>
      <c r="AF36" s="1029"/>
      <c r="AG36" s="1029"/>
      <c r="AH36" s="1029"/>
      <c r="AI36" s="1029"/>
      <c r="AJ36" s="1029"/>
      <c r="AK36" s="1029"/>
      <c r="AL36" s="1029"/>
      <c r="AM36" s="1029"/>
      <c r="AN36" s="1029"/>
      <c r="AO36" s="1029"/>
      <c r="AP36" s="1029"/>
      <c r="AQ36" s="1029"/>
      <c r="AR36" s="1029"/>
      <c r="AS36" s="1029"/>
      <c r="AT36" s="1029"/>
      <c r="AU36" s="1029"/>
      <c r="AV36" s="1029"/>
      <c r="AW36" s="1029"/>
      <c r="AX36" s="1029"/>
      <c r="AY36" s="1029"/>
      <c r="AZ36" s="1029"/>
      <c r="BA36" s="1029"/>
      <c r="BB36" s="1029"/>
      <c r="BC36" s="1029"/>
      <c r="BD36" s="1029"/>
      <c r="BE36" s="1029"/>
      <c r="BF36" s="1029"/>
      <c r="BG36" s="1029"/>
      <c r="BH36" s="1029"/>
      <c r="BI36" s="1029"/>
      <c r="BJ36" s="1031"/>
      <c r="BK36" s="112"/>
      <c r="BL36" s="1029"/>
      <c r="BM36" s="1029"/>
      <c r="BN36" s="1029"/>
      <c r="BO36" s="1029"/>
      <c r="BP36" s="1029"/>
      <c r="BQ36" s="1029"/>
      <c r="BR36" s="1029"/>
      <c r="BS36" s="1029"/>
      <c r="BT36" s="1029"/>
      <c r="BU36" s="1029"/>
      <c r="BV36" s="1029"/>
      <c r="BW36" s="1029"/>
      <c r="BX36" s="1029"/>
      <c r="BY36" s="1029"/>
      <c r="BZ36" s="1029"/>
      <c r="CA36" s="1029"/>
      <c r="CB36" s="1029"/>
      <c r="CC36" s="1029"/>
      <c r="CD36" s="1029"/>
      <c r="CE36" s="1029"/>
      <c r="CF36" s="1029"/>
      <c r="CG36" s="1029"/>
      <c r="CH36" s="1029"/>
      <c r="CI36" s="1029"/>
      <c r="CJ36" s="1029"/>
      <c r="CK36" s="1029"/>
      <c r="CL36" s="1029"/>
      <c r="CM36" s="1029"/>
      <c r="CN36" s="1029"/>
      <c r="CO36" s="1029"/>
      <c r="CP36" s="1029"/>
      <c r="CQ36" s="1029"/>
      <c r="CR36" s="1029"/>
      <c r="CS36" s="1032"/>
      <c r="CT36" s="1033"/>
      <c r="CU36" s="1033"/>
      <c r="CV36" s="1033"/>
      <c r="CW36" s="1029"/>
      <c r="CX36" s="1029"/>
      <c r="CY36" s="1029"/>
      <c r="CZ36" s="1029"/>
      <c r="DA36" s="1029"/>
      <c r="DB36" s="1029"/>
      <c r="DC36" s="1029"/>
      <c r="DD36" s="1029"/>
      <c r="DE36" s="1029"/>
      <c r="DF36" s="1029"/>
      <c r="DG36" s="1029"/>
      <c r="DH36" s="1029"/>
      <c r="DI36" s="1029"/>
      <c r="DJ36" s="1029"/>
      <c r="DK36" s="1029"/>
      <c r="DL36" s="1029"/>
      <c r="DM36" s="1029"/>
      <c r="DN36" s="1029"/>
      <c r="DO36" s="1029"/>
      <c r="DP36" s="1029"/>
      <c r="DQ36" s="1029"/>
      <c r="DR36" s="1029"/>
      <c r="DS36" s="1050"/>
      <c r="DT36" s="57"/>
      <c r="DU36" s="1029"/>
      <c r="DV36" s="1029"/>
      <c r="DW36" s="1029"/>
      <c r="DX36" s="1029"/>
      <c r="DY36" s="1029"/>
      <c r="DZ36" s="1029"/>
      <c r="EA36" s="1029"/>
      <c r="EB36" s="1029"/>
      <c r="EC36" s="1029"/>
      <c r="ED36" s="1029"/>
      <c r="EE36" s="1029"/>
      <c r="EF36" s="1029"/>
      <c r="EG36" s="1029"/>
      <c r="EH36" s="1029"/>
      <c r="EI36" s="1029"/>
      <c r="EJ36" s="1029"/>
      <c r="EK36" s="1029"/>
      <c r="EL36" s="1029"/>
      <c r="EM36" s="1029"/>
      <c r="EN36" s="1029"/>
      <c r="EO36" s="1029"/>
      <c r="EP36" s="1029"/>
      <c r="EQ36" s="1029"/>
      <c r="ER36" s="1030"/>
      <c r="ES36" s="1029"/>
      <c r="ET36" s="1029"/>
      <c r="EU36" s="1029"/>
      <c r="EV36" s="1029"/>
      <c r="EW36" s="1029"/>
      <c r="EX36" s="1029"/>
      <c r="EY36" s="1029"/>
      <c r="EZ36" s="1032"/>
      <c r="FA36" s="1033"/>
      <c r="FB36" s="1029"/>
      <c r="FC36" s="1029"/>
      <c r="FD36" s="1029"/>
      <c r="FE36" s="1029"/>
      <c r="FF36" s="1029"/>
      <c r="FG36" s="1029"/>
      <c r="FH36" s="1029"/>
      <c r="FI36" s="1029"/>
      <c r="FJ36" s="1029"/>
      <c r="FK36" s="1029"/>
      <c r="FL36" s="1029"/>
      <c r="FM36" s="1029"/>
      <c r="FN36" s="1029"/>
      <c r="FO36" s="1029"/>
      <c r="FP36" s="1029"/>
      <c r="FQ36" s="1029"/>
      <c r="FR36" s="1029"/>
      <c r="FS36" s="1029"/>
      <c r="FT36" s="1029"/>
      <c r="FU36" s="1031"/>
      <c r="FV36" s="113"/>
      <c r="FW36" s="1030"/>
      <c r="FX36" s="1030"/>
      <c r="FY36" s="1030"/>
      <c r="FZ36" s="1029"/>
      <c r="GA36" s="1029"/>
      <c r="GB36" s="1029"/>
      <c r="GC36" s="1029"/>
      <c r="GD36" s="1029"/>
      <c r="GE36" s="1029"/>
      <c r="GF36" s="1029"/>
      <c r="GG36" s="1029"/>
      <c r="GH36" s="1034"/>
      <c r="GI36" s="1035"/>
      <c r="GJ36" s="1030"/>
      <c r="GK36" s="1032"/>
      <c r="GL36" s="1033"/>
      <c r="GM36" s="1032"/>
      <c r="GN36" s="1036"/>
      <c r="GO36" s="1037"/>
      <c r="GP36" s="1038"/>
      <c r="GQ36" s="1038"/>
      <c r="GR36" s="1039"/>
      <c r="GS36" s="1040"/>
      <c r="GT36" s="1040"/>
      <c r="GU36" s="1041"/>
      <c r="GV36" s="1042"/>
      <c r="GW36" s="949"/>
      <c r="GX36" s="175"/>
      <c r="GY36" s="175"/>
      <c r="GZ36" s="175"/>
      <c r="HA36" s="175"/>
      <c r="HB36" s="175"/>
      <c r="HC36" s="175"/>
      <c r="HD36" s="175"/>
      <c r="HE36" s="175"/>
      <c r="HF36" s="175"/>
      <c r="HG36" s="175"/>
      <c r="HH36" s="175"/>
      <c r="HI36" s="175"/>
      <c r="HJ36" s="175"/>
      <c r="HK36" s="175"/>
    </row>
    <row r="37" spans="1:233" s="14" customFormat="1" ht="15" customHeight="1" x14ac:dyDescent="0.3">
      <c r="A37" s="127">
        <f>A35+1</f>
        <v>27</v>
      </c>
      <c r="B37" s="693" t="s">
        <v>27</v>
      </c>
      <c r="C37" s="901">
        <v>217.48</v>
      </c>
      <c r="D37" s="514">
        <f>260.88+37.51</f>
        <v>298.39</v>
      </c>
      <c r="E37" s="192">
        <v>612.99</v>
      </c>
      <c r="F37" s="201">
        <f>151.56</f>
        <v>151.56</v>
      </c>
      <c r="G37" s="92">
        <f t="shared" ref="G37" si="22">ROUND(AVERAGE(D37:F37),3)</f>
        <v>354.31299999999999</v>
      </c>
      <c r="H37" s="93">
        <v>349.5</v>
      </c>
      <c r="I37" s="93">
        <f>197.94+2000</f>
        <v>2197.94</v>
      </c>
      <c r="J37" s="112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  <c r="AD37" s="319"/>
      <c r="AE37" s="319"/>
      <c r="AF37" s="319"/>
      <c r="AG37" s="319">
        <v>59.732999999999997</v>
      </c>
      <c r="AH37" s="319"/>
      <c r="AI37" s="319"/>
      <c r="AJ37" s="319"/>
      <c r="AK37" s="319">
        <v>29.044</v>
      </c>
      <c r="AL37" s="319"/>
      <c r="AM37" s="319">
        <v>6.8540000000000001</v>
      </c>
      <c r="AN37" s="319"/>
      <c r="AO37" s="319">
        <f>8.568*2</f>
        <v>17.135999999999999</v>
      </c>
      <c r="AP37" s="319"/>
      <c r="AQ37" s="319">
        <v>9.0719999999999992</v>
      </c>
      <c r="AR37" s="319"/>
      <c r="AS37" s="319">
        <v>44.8</v>
      </c>
      <c r="AT37" s="319"/>
      <c r="AU37" s="319"/>
      <c r="AV37" s="319"/>
      <c r="AW37" s="319"/>
      <c r="AX37" s="319"/>
      <c r="AY37" s="319"/>
      <c r="AZ37" s="319"/>
      <c r="BA37" s="319">
        <v>131.76400000000001</v>
      </c>
      <c r="BB37" s="319"/>
      <c r="BC37" s="319"/>
      <c r="BD37" s="319"/>
      <c r="BE37" s="319"/>
      <c r="BF37" s="319"/>
      <c r="BG37" s="319"/>
      <c r="BH37" s="319"/>
      <c r="BI37" s="319"/>
      <c r="BJ37" s="158">
        <f t="shared" ref="BJ37:BJ57" si="23">SUM(K37:BI37)</f>
        <v>298.40300000000002</v>
      </c>
      <c r="BK37" s="112"/>
      <c r="BL37" s="319">
        <v>506.06599999999997</v>
      </c>
      <c r="BM37" s="319"/>
      <c r="BN37" s="319"/>
      <c r="BO37" s="319"/>
      <c r="BP37" s="319"/>
      <c r="BQ37" s="319"/>
      <c r="BR37" s="319"/>
      <c r="BS37" s="319"/>
      <c r="BT37" s="319"/>
      <c r="BU37" s="319"/>
      <c r="BV37" s="319"/>
      <c r="BW37" s="319">
        <v>6.35</v>
      </c>
      <c r="BX37" s="319"/>
      <c r="BY37" s="319"/>
      <c r="BZ37" s="319"/>
      <c r="CA37" s="319"/>
      <c r="CB37" s="319"/>
      <c r="CC37" s="319"/>
      <c r="CD37" s="319"/>
      <c r="CE37" s="319"/>
      <c r="CF37" s="319"/>
      <c r="CG37" s="319"/>
      <c r="CH37" s="319"/>
      <c r="CI37" s="319"/>
      <c r="CJ37" s="319"/>
      <c r="CK37" s="319">
        <f>6.854/0.8*0.9</f>
        <v>7.7107499999999991</v>
      </c>
      <c r="CL37" s="319">
        <f>6.048/0.6*0.9</f>
        <v>9.072000000000001</v>
      </c>
      <c r="CM37" s="319"/>
      <c r="CN37" s="319"/>
      <c r="CO37" s="319"/>
      <c r="CP37" s="319"/>
      <c r="CQ37" s="319"/>
      <c r="CR37" s="319"/>
      <c r="CS37" s="177"/>
      <c r="CT37" s="271"/>
      <c r="CU37" s="271"/>
      <c r="CV37" s="271"/>
      <c r="CW37" s="319"/>
      <c r="CX37" s="319"/>
      <c r="CY37" s="319"/>
      <c r="CZ37" s="319">
        <f>6.854/0.8*3</f>
        <v>25.702499999999997</v>
      </c>
      <c r="DA37" s="319"/>
      <c r="DB37" s="319">
        <f>29.044*2</f>
        <v>58.088000000000001</v>
      </c>
      <c r="DC37" s="319"/>
      <c r="DD37" s="319"/>
      <c r="DE37" s="319"/>
      <c r="DF37" s="319"/>
      <c r="DG37" s="319"/>
      <c r="DH37" s="319"/>
      <c r="DI37" s="319"/>
      <c r="DJ37" s="319"/>
      <c r="DK37" s="319"/>
      <c r="DL37" s="319"/>
      <c r="DM37" s="319"/>
      <c r="DN37" s="319"/>
      <c r="DO37" s="319"/>
      <c r="DP37" s="319"/>
      <c r="DQ37" s="319"/>
      <c r="DR37" s="319"/>
      <c r="DS37" s="419">
        <f t="shared" ref="DS37" si="24">SUM(BL37:DR37)</f>
        <v>612.98924999999986</v>
      </c>
      <c r="DT37" s="57"/>
      <c r="DU37" s="319"/>
      <c r="DV37" s="319"/>
      <c r="DW37" s="319"/>
      <c r="DX37" s="319">
        <f>6.854/0.8*0.9</f>
        <v>7.7107499999999991</v>
      </c>
      <c r="DY37" s="319"/>
      <c r="DZ37" s="319"/>
      <c r="EA37" s="319"/>
      <c r="EB37" s="319"/>
      <c r="EC37" s="319"/>
      <c r="ED37" s="319"/>
      <c r="EE37" s="319">
        <v>29.867000000000001</v>
      </c>
      <c r="EF37" s="319"/>
      <c r="EG37" s="319">
        <f>6.35/0.3*0.6</f>
        <v>12.700000000000001</v>
      </c>
      <c r="EH37" s="319"/>
      <c r="EI37" s="319"/>
      <c r="EJ37" s="319"/>
      <c r="EK37" s="319"/>
      <c r="EL37" s="319"/>
      <c r="EM37" s="319"/>
      <c r="EN37" s="319"/>
      <c r="EO37" s="319"/>
      <c r="EP37" s="319"/>
      <c r="EQ37" s="319"/>
      <c r="ER37" s="245"/>
      <c r="ES37" s="319"/>
      <c r="ET37" s="319"/>
      <c r="EU37" s="319">
        <v>9.0719999999999992</v>
      </c>
      <c r="EV37" s="319"/>
      <c r="EW37" s="319">
        <f>29.044*2</f>
        <v>58.088000000000001</v>
      </c>
      <c r="EX37" s="319"/>
      <c r="EY37" s="319"/>
      <c r="EZ37" s="177"/>
      <c r="FA37" s="271"/>
      <c r="FB37" s="319"/>
      <c r="FC37" s="319"/>
      <c r="FD37" s="319"/>
      <c r="FE37" s="319">
        <f>6.854/0.8*2.5</f>
        <v>21.418749999999996</v>
      </c>
      <c r="FF37" s="319"/>
      <c r="FG37" s="319"/>
      <c r="FH37" s="319"/>
      <c r="FI37" s="319"/>
      <c r="FJ37" s="319"/>
      <c r="FK37" s="319"/>
      <c r="FL37" s="319"/>
      <c r="FM37" s="319"/>
      <c r="FN37" s="319"/>
      <c r="FO37" s="319"/>
      <c r="FP37" s="319"/>
      <c r="FQ37" s="319"/>
      <c r="FR37" s="319"/>
      <c r="FS37" s="319"/>
      <c r="FT37" s="319">
        <f>6.35/0.3*0.6</f>
        <v>12.700000000000001</v>
      </c>
      <c r="FU37" s="158">
        <f t="shared" ref="FU37:FU57" si="25">SUM(DU37:FT37)</f>
        <v>151.55649999999997</v>
      </c>
      <c r="FV37" s="113"/>
      <c r="FW37" s="245"/>
      <c r="FX37" s="245"/>
      <c r="FY37" s="245"/>
      <c r="FZ37" s="319"/>
      <c r="GA37" s="319"/>
      <c r="GB37" s="319"/>
      <c r="GC37" s="319"/>
      <c r="GD37" s="319"/>
      <c r="GE37" s="319"/>
      <c r="GF37" s="319"/>
      <c r="GG37" s="319"/>
      <c r="GH37" s="28"/>
      <c r="GI37" s="270"/>
      <c r="GJ37" s="245"/>
      <c r="GK37" s="177"/>
      <c r="GL37" s="271"/>
      <c r="GM37" s="177"/>
      <c r="GN37" s="272"/>
      <c r="GO37" s="435"/>
      <c r="GP37" s="327">
        <f t="shared" ref="GP37:GP57" si="26">SUM(FW37:GO37)</f>
        <v>0</v>
      </c>
      <c r="GQ37" s="445">
        <f t="shared" ref="GQ37:GQ57" si="27">I37-GP37</f>
        <v>2197.94</v>
      </c>
      <c r="GR37" s="449">
        <f t="shared" ref="GR37:GR57" si="28">I37</f>
        <v>2197.94</v>
      </c>
      <c r="GS37" s="451">
        <f t="shared" ref="GS37:GS57" si="29">G37</f>
        <v>354.31299999999999</v>
      </c>
      <c r="GT37" s="239">
        <f t="shared" ref="GT37:GT57" si="30">E37</f>
        <v>612.99</v>
      </c>
      <c r="GU37" s="36" t="str">
        <f t="shared" ref="GU37:GU57" si="31">B37</f>
        <v>Гидрокарбонат натрия Е500 (сода)</v>
      </c>
      <c r="GV37" s="664"/>
      <c r="GW37" s="948"/>
      <c r="HG37" s="22"/>
      <c r="HH37" s="22"/>
      <c r="HI37" s="22"/>
      <c r="HJ37" s="22"/>
      <c r="HK37" s="22"/>
      <c r="HL37" s="22"/>
    </row>
    <row r="38" spans="1:233" ht="15" customHeight="1" x14ac:dyDescent="0.3">
      <c r="A38" s="127">
        <f>A37+1</f>
        <v>28</v>
      </c>
      <c r="B38" s="691" t="s">
        <v>33</v>
      </c>
      <c r="C38" s="889">
        <f>96.22+49+175+124+175+5.4</f>
        <v>624.62</v>
      </c>
      <c r="D38" s="514">
        <f>294.6+413.91</f>
        <v>708.51</v>
      </c>
      <c r="E38" s="192">
        <f>585.09+473.53</f>
        <v>1058.6199999999999</v>
      </c>
      <c r="F38" s="162">
        <f>250.47+25+164.42</f>
        <v>439.89</v>
      </c>
      <c r="G38" s="92">
        <f t="shared" si="9"/>
        <v>735.673</v>
      </c>
      <c r="H38" s="93">
        <v>200.47</v>
      </c>
      <c r="I38" s="93">
        <f>260.58+224+249</f>
        <v>733.57999999999993</v>
      </c>
      <c r="J38" s="112"/>
      <c r="K38" s="319"/>
      <c r="L38" s="319"/>
      <c r="M38" s="319"/>
      <c r="N38" s="319"/>
      <c r="O38" s="319"/>
      <c r="P38" s="319">
        <f>20.16</f>
        <v>20.16</v>
      </c>
      <c r="Q38" s="319">
        <v>30.24</v>
      </c>
      <c r="R38" s="319">
        <f>16.128*3</f>
        <v>48.384</v>
      </c>
      <c r="S38" s="319"/>
      <c r="T38" s="319"/>
      <c r="U38" s="319">
        <f>16.128*1.5</f>
        <v>24.192</v>
      </c>
      <c r="V38" s="319">
        <f>16.128*4</f>
        <v>64.512</v>
      </c>
      <c r="W38" s="319"/>
      <c r="X38" s="319">
        <f>16.128*7</f>
        <v>112.896</v>
      </c>
      <c r="Y38" s="319">
        <f>5.04*3</f>
        <v>15.120000000000001</v>
      </c>
      <c r="Z38" s="319">
        <f>16.128*2</f>
        <v>32.256</v>
      </c>
      <c r="AA38" s="319">
        <f>16.128*4</f>
        <v>64.512</v>
      </c>
      <c r="AB38" s="319">
        <f>16.128*8</f>
        <v>129.024</v>
      </c>
      <c r="AC38" s="319"/>
      <c r="AD38" s="319"/>
      <c r="AE38" s="319">
        <v>3.024</v>
      </c>
      <c r="AF38" s="319">
        <v>0.53800000000000003</v>
      </c>
      <c r="AG38" s="319">
        <v>0.53800000000000003</v>
      </c>
      <c r="AH38" s="319">
        <v>48.384</v>
      </c>
      <c r="AI38" s="319"/>
      <c r="AJ38" s="319">
        <v>23.184000000000001</v>
      </c>
      <c r="AK38" s="319"/>
      <c r="AL38" s="319"/>
      <c r="AM38" s="319"/>
      <c r="AN38" s="319"/>
      <c r="AO38" s="319"/>
      <c r="AP38" s="319"/>
      <c r="AQ38" s="319">
        <v>10.885999999999999</v>
      </c>
      <c r="AR38" s="319">
        <v>0.26900000000000002</v>
      </c>
      <c r="AS38" s="319">
        <v>0.40300000000000002</v>
      </c>
      <c r="AT38" s="319">
        <v>3.024</v>
      </c>
      <c r="AU38" s="319"/>
      <c r="AV38" s="319"/>
      <c r="AW38" s="319"/>
      <c r="AX38" s="319"/>
      <c r="AY38" s="319">
        <v>7.56</v>
      </c>
      <c r="AZ38" s="319">
        <v>0.59299999999999997</v>
      </c>
      <c r="BA38" s="319">
        <v>1.1870000000000001</v>
      </c>
      <c r="BB38" s="319"/>
      <c r="BC38" s="319">
        <f>42.336</f>
        <v>42.335999999999999</v>
      </c>
      <c r="BD38" s="319"/>
      <c r="BE38" s="319">
        <v>7.56</v>
      </c>
      <c r="BF38" s="319"/>
      <c r="BG38" s="319"/>
      <c r="BH38" s="319"/>
      <c r="BI38" s="319">
        <f>16.128*1.1</f>
        <v>17.7408</v>
      </c>
      <c r="BJ38" s="158">
        <f t="shared" si="23"/>
        <v>708.52279999999996</v>
      </c>
      <c r="BK38" s="94"/>
      <c r="BL38" s="319">
        <v>126</v>
      </c>
      <c r="BM38" s="319"/>
      <c r="BN38" s="319"/>
      <c r="BO38" s="319"/>
      <c r="BP38" s="319"/>
      <c r="BQ38" s="319"/>
      <c r="BR38" s="319">
        <v>136.08000000000001</v>
      </c>
      <c r="BS38" s="319">
        <f>16.128*5.4</f>
        <v>87.091200000000001</v>
      </c>
      <c r="BT38" s="319"/>
      <c r="BU38" s="319"/>
      <c r="BV38" s="319"/>
      <c r="BW38" s="319"/>
      <c r="BX38" s="319">
        <f>16.128*2.1</f>
        <v>33.8688</v>
      </c>
      <c r="BY38" s="319">
        <f>16.128*2</f>
        <v>32.256</v>
      </c>
      <c r="BZ38" s="319"/>
      <c r="CA38" s="319">
        <f>16.128*4</f>
        <v>64.512</v>
      </c>
      <c r="CB38" s="319"/>
      <c r="CC38" s="319"/>
      <c r="CD38" s="319">
        <f>16.128*4</f>
        <v>64.512</v>
      </c>
      <c r="CE38" s="319">
        <v>30.138999999999999</v>
      </c>
      <c r="CF38" s="319">
        <f>129.024/8*6</f>
        <v>96.768000000000001</v>
      </c>
      <c r="CG38" s="319"/>
      <c r="CH38" s="319">
        <f>20.16*0.6</f>
        <v>12.096</v>
      </c>
      <c r="CI38" s="319">
        <v>30.24</v>
      </c>
      <c r="CJ38" s="319">
        <v>15.12</v>
      </c>
      <c r="CK38" s="319"/>
      <c r="CL38" s="319">
        <f>7.258/0.6*0.9</f>
        <v>10.887</v>
      </c>
      <c r="CM38" s="319"/>
      <c r="CN38" s="319"/>
      <c r="CO38" s="319">
        <f>16.128*2</f>
        <v>32.256</v>
      </c>
      <c r="CP38" s="319"/>
      <c r="CQ38" s="319"/>
      <c r="CR38" s="319"/>
      <c r="CS38" s="177">
        <v>20.16</v>
      </c>
      <c r="CT38" s="271"/>
      <c r="CU38" s="271"/>
      <c r="CV38" s="271"/>
      <c r="CW38" s="319"/>
      <c r="CX38" s="319"/>
      <c r="CY38" s="319"/>
      <c r="CZ38" s="319"/>
      <c r="DA38" s="319"/>
      <c r="DB38" s="319"/>
      <c r="DC38" s="319"/>
      <c r="DD38" s="319">
        <v>48.384</v>
      </c>
      <c r="DE38" s="319"/>
      <c r="DF38" s="319"/>
      <c r="DG38" s="319"/>
      <c r="DH38" s="319">
        <f>16.229</f>
        <v>16.228999999999999</v>
      </c>
      <c r="DI38" s="319">
        <f>129.024/8</f>
        <v>16.128</v>
      </c>
      <c r="DJ38" s="319"/>
      <c r="DK38" s="319"/>
      <c r="DL38" s="319"/>
      <c r="DM38" s="319"/>
      <c r="DN38" s="319"/>
      <c r="DO38" s="319">
        <f>16.229*4</f>
        <v>64.915999999999997</v>
      </c>
      <c r="DP38" s="319">
        <f>129.024/8*7.5</f>
        <v>120.96000000000001</v>
      </c>
      <c r="DQ38" s="319"/>
      <c r="DR38" s="319"/>
      <c r="DS38" s="419">
        <f t="shared" ref="DS38:DS54" si="32">SUM(BL38:DR38)</f>
        <v>1058.6030000000003</v>
      </c>
      <c r="DT38" s="57"/>
      <c r="DU38" s="319"/>
      <c r="DV38" s="319"/>
      <c r="DW38" s="319"/>
      <c r="DX38" s="319"/>
      <c r="DY38" s="319"/>
      <c r="DZ38" s="319">
        <v>8.1649999999999991</v>
      </c>
      <c r="EA38" s="319">
        <v>74.39</v>
      </c>
      <c r="EB38" s="319"/>
      <c r="EC38" s="319">
        <v>3.024</v>
      </c>
      <c r="ED38" s="319">
        <v>0.40300000000000002</v>
      </c>
      <c r="EE38" s="319">
        <v>0.26900000000000002</v>
      </c>
      <c r="EF38" s="319"/>
      <c r="EG38" s="319"/>
      <c r="EH38" s="319"/>
      <c r="EI38" s="319"/>
      <c r="EJ38" s="319">
        <f>16.229*1.5</f>
        <v>24.343499999999999</v>
      </c>
      <c r="EK38" s="319"/>
      <c r="EL38" s="319"/>
      <c r="EM38" s="319">
        <v>15.12</v>
      </c>
      <c r="EN38" s="319">
        <f>129.024/8*5</f>
        <v>80.64</v>
      </c>
      <c r="EO38" s="319"/>
      <c r="EP38" s="319">
        <f>16.229*2</f>
        <v>32.457999999999998</v>
      </c>
      <c r="EQ38" s="319"/>
      <c r="ER38" s="245">
        <f>5.04*0.3</f>
        <v>1.512</v>
      </c>
      <c r="ES38" s="319">
        <f>16.229*3</f>
        <v>48.686999999999998</v>
      </c>
      <c r="ET38" s="319"/>
      <c r="EU38" s="319">
        <v>10.885999999999999</v>
      </c>
      <c r="EV38" s="319"/>
      <c r="EW38" s="319"/>
      <c r="EX38" s="319"/>
      <c r="EY38" s="319"/>
      <c r="EZ38" s="177"/>
      <c r="FA38" s="271">
        <v>20.16</v>
      </c>
      <c r="FB38" s="319">
        <f>12.096/0.6*1.2</f>
        <v>24.192</v>
      </c>
      <c r="FC38" s="319"/>
      <c r="FD38" s="319">
        <v>48.384</v>
      </c>
      <c r="FE38" s="319"/>
      <c r="FF38" s="319"/>
      <c r="FG38" s="319"/>
      <c r="FH38" s="319"/>
      <c r="FI38" s="319"/>
      <c r="FJ38" s="319"/>
      <c r="FK38" s="319"/>
      <c r="FL38" s="319"/>
      <c r="FM38" s="319">
        <v>27.922000000000001</v>
      </c>
      <c r="FN38" s="319"/>
      <c r="FO38" s="319">
        <f>16.128*1.2</f>
        <v>19.3536</v>
      </c>
      <c r="FP38" s="319"/>
      <c r="FQ38" s="319"/>
      <c r="FR38" s="319"/>
      <c r="FS38" s="319"/>
      <c r="FT38" s="319"/>
      <c r="FU38" s="158">
        <f t="shared" si="25"/>
        <v>439.90910000000008</v>
      </c>
      <c r="FV38" s="113"/>
      <c r="FW38" s="245"/>
      <c r="FX38" s="245"/>
      <c r="FY38" s="245"/>
      <c r="FZ38" s="319"/>
      <c r="GA38" s="319"/>
      <c r="GB38" s="319"/>
      <c r="GC38" s="319"/>
      <c r="GD38" s="319"/>
      <c r="GE38" s="319"/>
      <c r="GF38" s="319"/>
      <c r="GG38" s="319"/>
      <c r="GH38" s="28"/>
      <c r="GI38" s="270"/>
      <c r="GJ38" s="245"/>
      <c r="GK38" s="177"/>
      <c r="GL38" s="271"/>
      <c r="GM38" s="177"/>
      <c r="GN38" s="272"/>
      <c r="GO38" s="435"/>
      <c r="GP38" s="327">
        <f t="shared" si="26"/>
        <v>0</v>
      </c>
      <c r="GQ38" s="454">
        <f t="shared" si="27"/>
        <v>733.57999999999993</v>
      </c>
      <c r="GR38" s="449">
        <f t="shared" si="28"/>
        <v>733.57999999999993</v>
      </c>
      <c r="GS38" s="451">
        <f t="shared" si="29"/>
        <v>735.673</v>
      </c>
      <c r="GT38" s="239">
        <f t="shared" si="30"/>
        <v>1058.6199999999999</v>
      </c>
      <c r="GU38" s="36" t="str">
        <f t="shared" si="31"/>
        <v>Актиген</v>
      </c>
      <c r="GV38" s="664"/>
    </row>
    <row r="39" spans="1:233" ht="15" customHeight="1" x14ac:dyDescent="0.3">
      <c r="A39" s="127">
        <f t="shared" si="21"/>
        <v>29</v>
      </c>
      <c r="B39" s="694" t="s">
        <v>34</v>
      </c>
      <c r="C39" s="889">
        <f>49.1+164.19</f>
        <v>213.29</v>
      </c>
      <c r="D39" s="515">
        <v>109</v>
      </c>
      <c r="E39" s="108">
        <v>0</v>
      </c>
      <c r="F39" s="202">
        <v>134.41</v>
      </c>
      <c r="G39" s="92">
        <f>ROUND(AVERAGE(D39:F39),3)</f>
        <v>81.137</v>
      </c>
      <c r="H39" s="93">
        <v>100.81</v>
      </c>
      <c r="I39" s="93">
        <v>16.399999999999999</v>
      </c>
      <c r="J39" s="112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>
        <v>5.3760000000000003</v>
      </c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>
        <v>37.094000000000001</v>
      </c>
      <c r="AS39" s="319">
        <v>66.528000000000006</v>
      </c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158">
        <f t="shared" si="23"/>
        <v>108.998</v>
      </c>
      <c r="BK39" s="112"/>
      <c r="BL39" s="319"/>
      <c r="BM39" s="319"/>
      <c r="BN39" s="319"/>
      <c r="BO39" s="319"/>
      <c r="BP39" s="319"/>
      <c r="BQ39" s="319"/>
      <c r="BR39" s="319"/>
      <c r="BS39" s="319"/>
      <c r="BT39" s="319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19"/>
      <c r="CR39" s="319"/>
      <c r="CS39" s="177"/>
      <c r="CT39" s="271"/>
      <c r="CU39" s="271"/>
      <c r="CV39" s="271"/>
      <c r="CW39" s="319"/>
      <c r="CX39" s="319"/>
      <c r="CY39" s="319"/>
      <c r="CZ39" s="319"/>
      <c r="DA39" s="319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419">
        <f t="shared" si="32"/>
        <v>0</v>
      </c>
      <c r="DT39" s="57"/>
      <c r="DU39" s="319"/>
      <c r="DV39" s="319"/>
      <c r="DW39" s="319"/>
      <c r="DX39" s="319"/>
      <c r="DY39" s="319"/>
      <c r="DZ39" s="319"/>
      <c r="EA39" s="319"/>
      <c r="EB39" s="319"/>
      <c r="EC39" s="319"/>
      <c r="ED39" s="319">
        <v>55.642000000000003</v>
      </c>
      <c r="EE39" s="319">
        <v>45.167999999999999</v>
      </c>
      <c r="EF39" s="319"/>
      <c r="EG39" s="319"/>
      <c r="EH39" s="319"/>
      <c r="EI39" s="319"/>
      <c r="EJ39" s="319"/>
      <c r="EK39" s="319"/>
      <c r="EL39" s="319"/>
      <c r="EM39" s="319"/>
      <c r="EN39" s="319"/>
      <c r="EO39" s="319"/>
      <c r="EP39" s="319"/>
      <c r="EQ39" s="319"/>
      <c r="ER39" s="245"/>
      <c r="ES39" s="319"/>
      <c r="ET39" s="319"/>
      <c r="EU39" s="319"/>
      <c r="EV39" s="319"/>
      <c r="EW39" s="319"/>
      <c r="EX39" s="319"/>
      <c r="EY39" s="319"/>
      <c r="EZ39" s="177">
        <v>33.601999999999997</v>
      </c>
      <c r="FA39" s="271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319"/>
      <c r="FQ39" s="319"/>
      <c r="FR39" s="319"/>
      <c r="FS39" s="319"/>
      <c r="FT39" s="319"/>
      <c r="FU39" s="158">
        <f t="shared" si="25"/>
        <v>134.41200000000001</v>
      </c>
      <c r="FV39" s="113"/>
      <c r="FW39" s="245"/>
      <c r="FX39" s="245"/>
      <c r="FY39" s="245"/>
      <c r="FZ39" s="319"/>
      <c r="GA39" s="319"/>
      <c r="GB39" s="319"/>
      <c r="GC39" s="319"/>
      <c r="GD39" s="319"/>
      <c r="GE39" s="319"/>
      <c r="GF39" s="319"/>
      <c r="GG39" s="319"/>
      <c r="GH39" s="28"/>
      <c r="GI39" s="270"/>
      <c r="GJ39" s="245"/>
      <c r="GK39" s="177"/>
      <c r="GL39" s="271"/>
      <c r="GM39" s="177"/>
      <c r="GN39" s="272"/>
      <c r="GO39" s="435"/>
      <c r="GP39" s="327">
        <f t="shared" si="26"/>
        <v>0</v>
      </c>
      <c r="GQ39" s="445">
        <f t="shared" si="27"/>
        <v>16.399999999999999</v>
      </c>
      <c r="GR39" s="449">
        <f t="shared" si="28"/>
        <v>16.399999999999999</v>
      </c>
      <c r="GS39" s="451">
        <f t="shared" si="29"/>
        <v>81.137</v>
      </c>
      <c r="GT39" s="239">
        <f t="shared" si="30"/>
        <v>0</v>
      </c>
      <c r="GU39" s="36" t="str">
        <f t="shared" si="31"/>
        <v>Биогром Энерджи</v>
      </c>
      <c r="GV39" s="664"/>
      <c r="GW39" s="948"/>
      <c r="GX39" s="14"/>
      <c r="GY39" s="14"/>
      <c r="GZ39" s="14"/>
      <c r="HA39" s="14"/>
      <c r="HB39" s="14"/>
      <c r="HC39" s="14"/>
      <c r="HD39" s="14"/>
      <c r="HE39" s="14"/>
      <c r="HF39" s="14"/>
    </row>
    <row r="40" spans="1:233" ht="15" customHeight="1" x14ac:dyDescent="0.3">
      <c r="A40" s="127">
        <f>A39+1</f>
        <v>30</v>
      </c>
      <c r="B40" s="695" t="s">
        <v>126</v>
      </c>
      <c r="C40" s="889">
        <v>379.22</v>
      </c>
      <c r="D40" s="515">
        <f>344.94+53.58</f>
        <v>398.52</v>
      </c>
      <c r="E40" s="108">
        <v>363.74</v>
      </c>
      <c r="F40" s="202">
        <v>461.81</v>
      </c>
      <c r="G40" s="92">
        <f>ROUND(AVERAGE(D40:F40),3)</f>
        <v>408.02300000000002</v>
      </c>
      <c r="H40" s="93">
        <v>582.67999999999995</v>
      </c>
      <c r="I40" s="93">
        <v>120.87</v>
      </c>
      <c r="J40" s="112"/>
      <c r="K40" s="319"/>
      <c r="L40" s="319"/>
      <c r="M40" s="319"/>
      <c r="N40" s="319"/>
      <c r="O40" s="319"/>
      <c r="P40" s="319">
        <f>30.24</f>
        <v>30.24</v>
      </c>
      <c r="Q40" s="319">
        <v>75.599999999999994</v>
      </c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>
        <v>180</v>
      </c>
      <c r="AI40" s="319"/>
      <c r="AJ40" s="319"/>
      <c r="AK40" s="319"/>
      <c r="AL40" s="319">
        <v>36</v>
      </c>
      <c r="AM40" s="319"/>
      <c r="AN40" s="319"/>
      <c r="AO40" s="319"/>
      <c r="AP40" s="319"/>
      <c r="AQ40" s="319">
        <v>54</v>
      </c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>
        <f>22.68</f>
        <v>22.68</v>
      </c>
      <c r="BD40" s="319"/>
      <c r="BE40" s="319"/>
      <c r="BF40" s="319"/>
      <c r="BG40" s="319"/>
      <c r="BH40" s="319"/>
      <c r="BI40" s="319"/>
      <c r="BJ40" s="158">
        <f t="shared" si="23"/>
        <v>398.52</v>
      </c>
      <c r="BK40" s="112"/>
      <c r="BL40" s="319"/>
      <c r="BM40" s="319"/>
      <c r="BN40" s="319"/>
      <c r="BO40" s="319"/>
      <c r="BP40" s="319"/>
      <c r="BQ40" s="319"/>
      <c r="BR40" s="319"/>
      <c r="BS40" s="319"/>
      <c r="BT40" s="319"/>
      <c r="BU40" s="319"/>
      <c r="BV40" s="319"/>
      <c r="BW40" s="319"/>
      <c r="BX40" s="319"/>
      <c r="BY40" s="319"/>
      <c r="BZ40" s="319"/>
      <c r="CA40" s="319"/>
      <c r="CB40" s="319"/>
      <c r="CC40" s="319"/>
      <c r="CD40" s="319"/>
      <c r="CE40" s="319"/>
      <c r="CF40" s="319"/>
      <c r="CG40" s="319"/>
      <c r="CH40" s="319">
        <f>30.24*0.6</f>
        <v>18.143999999999998</v>
      </c>
      <c r="CI40" s="319">
        <v>75.599999999999994</v>
      </c>
      <c r="CJ40" s="319"/>
      <c r="CK40" s="319"/>
      <c r="CL40" s="319">
        <f>36/0.6*0.9</f>
        <v>54</v>
      </c>
      <c r="CM40" s="319">
        <v>36</v>
      </c>
      <c r="CN40" s="319"/>
      <c r="CO40" s="319"/>
      <c r="CP40" s="319"/>
      <c r="CQ40" s="319"/>
      <c r="CR40" s="319"/>
      <c r="CS40" s="177"/>
      <c r="CT40" s="271"/>
      <c r="CU40" s="271"/>
      <c r="CV40" s="271"/>
      <c r="CW40" s="319"/>
      <c r="CX40" s="319"/>
      <c r="CY40" s="319"/>
      <c r="CZ40" s="319"/>
      <c r="DA40" s="319"/>
      <c r="DB40" s="319"/>
      <c r="DC40" s="319"/>
      <c r="DD40" s="319">
        <v>180</v>
      </c>
      <c r="DE40" s="319"/>
      <c r="DF40" s="319"/>
      <c r="DG40" s="319"/>
      <c r="DH40" s="319"/>
      <c r="DI40" s="319"/>
      <c r="DJ40" s="319"/>
      <c r="DK40" s="319"/>
      <c r="DL40" s="319"/>
      <c r="DM40" s="319"/>
      <c r="DN40" s="319"/>
      <c r="DO40" s="319"/>
      <c r="DP40" s="319"/>
      <c r="DQ40" s="319"/>
      <c r="DR40" s="319"/>
      <c r="DS40" s="419">
        <f t="shared" si="32"/>
        <v>363.74400000000003</v>
      </c>
      <c r="DT40" s="57"/>
      <c r="DU40" s="319"/>
      <c r="DV40" s="319"/>
      <c r="DW40" s="319"/>
      <c r="DX40" s="319"/>
      <c r="DY40" s="319"/>
      <c r="DZ40" s="319"/>
      <c r="EA40" s="319">
        <v>155.52000000000001</v>
      </c>
      <c r="EB40" s="319"/>
      <c r="EC40" s="319"/>
      <c r="ED40" s="319"/>
      <c r="EE40" s="319"/>
      <c r="EF40" s="319"/>
      <c r="EG40" s="319"/>
      <c r="EH40" s="319"/>
      <c r="EI40" s="319"/>
      <c r="EJ40" s="319"/>
      <c r="EK40" s="319"/>
      <c r="EL40" s="319"/>
      <c r="EM40" s="319"/>
      <c r="EN40" s="319"/>
      <c r="EO40" s="319"/>
      <c r="EP40" s="319"/>
      <c r="EQ40" s="319"/>
      <c r="ER40" s="245"/>
      <c r="ES40" s="319"/>
      <c r="ET40" s="319">
        <v>36</v>
      </c>
      <c r="EU40" s="319">
        <v>54</v>
      </c>
      <c r="EV40" s="319"/>
      <c r="EW40" s="319"/>
      <c r="EX40" s="319"/>
      <c r="EY40" s="319"/>
      <c r="EZ40" s="177"/>
      <c r="FA40" s="271"/>
      <c r="FB40" s="319">
        <f>18.144/0.6*1.2</f>
        <v>36.287999999999997</v>
      </c>
      <c r="FC40" s="319"/>
      <c r="FD40" s="319">
        <v>180</v>
      </c>
      <c r="FE40" s="319"/>
      <c r="FF40" s="319"/>
      <c r="FG40" s="319"/>
      <c r="FH40" s="319"/>
      <c r="FI40" s="319"/>
      <c r="FJ40" s="319"/>
      <c r="FK40" s="319"/>
      <c r="FL40" s="319"/>
      <c r="FM40" s="319"/>
      <c r="FN40" s="319"/>
      <c r="FO40" s="319"/>
      <c r="FP40" s="319"/>
      <c r="FQ40" s="319"/>
      <c r="FR40" s="319"/>
      <c r="FS40" s="319"/>
      <c r="FT40" s="319"/>
      <c r="FU40" s="158">
        <f t="shared" si="25"/>
        <v>461.80799999999999</v>
      </c>
      <c r="FV40" s="113"/>
      <c r="FW40" s="245"/>
      <c r="FX40" s="245"/>
      <c r="FY40" s="245"/>
      <c r="FZ40" s="319"/>
      <c r="GA40" s="319"/>
      <c r="GB40" s="319"/>
      <c r="GC40" s="319"/>
      <c r="GD40" s="319"/>
      <c r="GE40" s="319"/>
      <c r="GF40" s="319"/>
      <c r="GG40" s="319"/>
      <c r="GH40" s="28"/>
      <c r="GI40" s="270"/>
      <c r="GJ40" s="245"/>
      <c r="GK40" s="177"/>
      <c r="GL40" s="271"/>
      <c r="GM40" s="177"/>
      <c r="GN40" s="272"/>
      <c r="GO40" s="435"/>
      <c r="GP40" s="327">
        <f t="shared" si="26"/>
        <v>0</v>
      </c>
      <c r="GQ40" s="557">
        <f t="shared" si="27"/>
        <v>120.87</v>
      </c>
      <c r="GR40" s="449">
        <f t="shared" si="28"/>
        <v>120.87</v>
      </c>
      <c r="GS40" s="451">
        <f t="shared" si="29"/>
        <v>408.02300000000002</v>
      </c>
      <c r="GT40" s="239">
        <f t="shared" si="30"/>
        <v>363.74</v>
      </c>
      <c r="GU40" s="36" t="str">
        <f t="shared" si="31"/>
        <v>Биогром Холин</v>
      </c>
      <c r="GV40" s="664"/>
      <c r="GW40" s="948"/>
      <c r="GX40" s="14"/>
      <c r="GY40" s="14"/>
      <c r="GZ40" s="14"/>
      <c r="HA40" s="14"/>
      <c r="HB40" s="14"/>
      <c r="HC40" s="14"/>
      <c r="HD40" s="14"/>
      <c r="HE40" s="14"/>
      <c r="HF40" s="14"/>
    </row>
    <row r="41" spans="1:233" s="14" customFormat="1" ht="15" customHeight="1" x14ac:dyDescent="0.3">
      <c r="A41" s="127">
        <f>A40+1</f>
        <v>31</v>
      </c>
      <c r="B41" s="691" t="s">
        <v>101</v>
      </c>
      <c r="C41" s="889">
        <f>1048.47</f>
        <v>1048.47</v>
      </c>
      <c r="D41" s="514">
        <f>695.01</f>
        <v>695.01</v>
      </c>
      <c r="E41" s="192">
        <f>903.58+300</f>
        <v>1203.58</v>
      </c>
      <c r="F41" s="162">
        <f>833.7</f>
        <v>833.7</v>
      </c>
      <c r="G41" s="92">
        <f t="shared" si="9"/>
        <v>910.76300000000003</v>
      </c>
      <c r="H41" s="93">
        <v>996.54300000000001</v>
      </c>
      <c r="I41" s="93">
        <f>162.843+500+499</f>
        <v>1161.8429999999998</v>
      </c>
      <c r="J41" s="112"/>
      <c r="K41" s="319">
        <f>11.76*3</f>
        <v>35.28</v>
      </c>
      <c r="L41" s="319">
        <v>70.56</v>
      </c>
      <c r="M41" s="319"/>
      <c r="N41" s="319"/>
      <c r="O41" s="319">
        <v>0.53800000000000003</v>
      </c>
      <c r="P41" s="319">
        <f>6.72</f>
        <v>6.72</v>
      </c>
      <c r="Q41" s="319">
        <v>7.056</v>
      </c>
      <c r="R41" s="319">
        <f>6.72*3</f>
        <v>20.16</v>
      </c>
      <c r="S41" s="319">
        <f>50.4*1.6</f>
        <v>80.64</v>
      </c>
      <c r="T41" s="319">
        <f>17.674</f>
        <v>17.673999999999999</v>
      </c>
      <c r="U41" s="319">
        <f>6.384*1.5</f>
        <v>9.5760000000000005</v>
      </c>
      <c r="V41" s="319">
        <f>6.72*4</f>
        <v>26.88</v>
      </c>
      <c r="W41" s="319">
        <f>7.056*1.5</f>
        <v>10.584</v>
      </c>
      <c r="X41" s="319">
        <f>2.352*7</f>
        <v>16.463999999999999</v>
      </c>
      <c r="Y41" s="319"/>
      <c r="Z41" s="319">
        <f>2.352*2</f>
        <v>4.7039999999999997</v>
      </c>
      <c r="AA41" s="319">
        <f>6.72*4</f>
        <v>26.88</v>
      </c>
      <c r="AB41" s="319">
        <f>2.352*8</f>
        <v>18.815999999999999</v>
      </c>
      <c r="AC41" s="319"/>
      <c r="AD41" s="319">
        <v>0.108</v>
      </c>
      <c r="AE41" s="319">
        <v>3.024</v>
      </c>
      <c r="AF41" s="319"/>
      <c r="AG41" s="319"/>
      <c r="AH41" s="319">
        <v>14.112</v>
      </c>
      <c r="AI41" s="319">
        <f>23.52*4</f>
        <v>94.08</v>
      </c>
      <c r="AJ41" s="319">
        <v>0.77300000000000002</v>
      </c>
      <c r="AK41" s="319">
        <v>5.5439999999999996</v>
      </c>
      <c r="AL41" s="319">
        <v>2.8220000000000001</v>
      </c>
      <c r="AM41" s="319">
        <v>6.72</v>
      </c>
      <c r="AN41" s="319">
        <v>17.673999999999999</v>
      </c>
      <c r="AO41" s="319">
        <f>8.4*2</f>
        <v>16.8</v>
      </c>
      <c r="AP41" s="245">
        <f>17.674*1.3</f>
        <v>22.976199999999999</v>
      </c>
      <c r="AQ41" s="319">
        <v>6.048</v>
      </c>
      <c r="AR41" s="319">
        <v>2.7E-2</v>
      </c>
      <c r="AS41" s="319">
        <v>0.02</v>
      </c>
      <c r="AT41" s="319">
        <v>5.04</v>
      </c>
      <c r="AU41" s="319">
        <v>3.36</v>
      </c>
      <c r="AV41" s="319">
        <f>17.674</f>
        <v>17.673999999999999</v>
      </c>
      <c r="AW41" s="319">
        <v>70.56</v>
      </c>
      <c r="AX41" s="319">
        <f>11.76*1.2</f>
        <v>14.112</v>
      </c>
      <c r="AY41" s="319">
        <v>3.78</v>
      </c>
      <c r="AZ41" s="319"/>
      <c r="BA41" s="319"/>
      <c r="BB41" s="319">
        <v>2.3519999999999999</v>
      </c>
      <c r="BC41" s="319">
        <f>1.008</f>
        <v>1.008</v>
      </c>
      <c r="BD41" s="319">
        <f>2.651/0.3</f>
        <v>8.836666666666666</v>
      </c>
      <c r="BE41" s="319">
        <v>7.056</v>
      </c>
      <c r="BF41" s="319"/>
      <c r="BG41" s="319"/>
      <c r="BH41" s="319">
        <f>17.674*0.6</f>
        <v>10.6044</v>
      </c>
      <c r="BI41" s="319">
        <f>6.72*1.1</f>
        <v>7.3920000000000003</v>
      </c>
      <c r="BJ41" s="158">
        <f t="shared" si="23"/>
        <v>695.03526666666676</v>
      </c>
      <c r="BK41" s="112"/>
      <c r="BL41" s="319">
        <v>16.8</v>
      </c>
      <c r="BM41" s="319">
        <f>50.4*2.5</f>
        <v>126</v>
      </c>
      <c r="BN41" s="319">
        <f>17.674*1.5</f>
        <v>26.510999999999999</v>
      </c>
      <c r="BO41" s="319">
        <f>23.52*2.4</f>
        <v>56.448</v>
      </c>
      <c r="BP41" s="319">
        <v>17.673999999999999</v>
      </c>
      <c r="BQ41" s="319">
        <f>11.76*3</f>
        <v>35.28</v>
      </c>
      <c r="BR41" s="319"/>
      <c r="BS41" s="319">
        <f>2.352*5.4</f>
        <v>12.700800000000001</v>
      </c>
      <c r="BT41" s="319">
        <v>70.56</v>
      </c>
      <c r="BU41" s="319">
        <f>7.056*1.9</f>
        <v>13.4064</v>
      </c>
      <c r="BV41" s="319">
        <v>4.4180000000000001</v>
      </c>
      <c r="BW41" s="319">
        <v>2.218</v>
      </c>
      <c r="BX41" s="319">
        <f>2.352*2.1</f>
        <v>4.9391999999999996</v>
      </c>
      <c r="BY41" s="319">
        <f>6.384*2</f>
        <v>12.768000000000001</v>
      </c>
      <c r="BZ41" s="319">
        <f>17.674</f>
        <v>17.673999999999999</v>
      </c>
      <c r="CA41" s="319">
        <f>6.72*4</f>
        <v>26.88</v>
      </c>
      <c r="CB41" s="319">
        <f>11.76*3</f>
        <v>35.28</v>
      </c>
      <c r="CC41" s="319">
        <f>14.112/1.2*3</f>
        <v>35.28</v>
      </c>
      <c r="CD41" s="319">
        <f>6.72*4</f>
        <v>26.88</v>
      </c>
      <c r="CE41" s="319">
        <v>17.673999999999999</v>
      </c>
      <c r="CF41" s="319">
        <f>18.817/8*6</f>
        <v>14.11275</v>
      </c>
      <c r="CG41" s="319">
        <v>0.20200000000000001</v>
      </c>
      <c r="CH41" s="319">
        <f>6.72*0.6</f>
        <v>4.032</v>
      </c>
      <c r="CI41" s="319">
        <v>7.056</v>
      </c>
      <c r="CJ41" s="319"/>
      <c r="CK41" s="319">
        <f>6.72/0.8*0.9</f>
        <v>7.5599999999999987</v>
      </c>
      <c r="CL41" s="319">
        <f>4.032/0.6*0.9</f>
        <v>6.0480000000000009</v>
      </c>
      <c r="CM41" s="319">
        <v>2.8220000000000001</v>
      </c>
      <c r="CN41" s="319"/>
      <c r="CO41" s="319">
        <f>6.384*2</f>
        <v>12.768000000000001</v>
      </c>
      <c r="CP41" s="319">
        <f>17.674*0.3</f>
        <v>5.3022</v>
      </c>
      <c r="CQ41" s="319">
        <v>70.56</v>
      </c>
      <c r="CR41" s="319">
        <v>17.673999999999999</v>
      </c>
      <c r="CS41" s="177"/>
      <c r="CT41" s="271">
        <v>24.192</v>
      </c>
      <c r="CU41" s="271">
        <v>16.128</v>
      </c>
      <c r="CV41" s="271">
        <v>17.908999999999999</v>
      </c>
      <c r="CW41" s="319"/>
      <c r="CX41" s="319"/>
      <c r="CY41" s="319"/>
      <c r="CZ41" s="319">
        <f>6.72/0.8*3</f>
        <v>25.199999999999996</v>
      </c>
      <c r="DA41" s="245">
        <f>22.976/1.3*1.5</f>
        <v>26.510769230769228</v>
      </c>
      <c r="DB41" s="319">
        <f>5.544*2</f>
        <v>11.087999999999999</v>
      </c>
      <c r="DC41" s="319">
        <f>94.08/4*4.5</f>
        <v>105.84</v>
      </c>
      <c r="DD41" s="319">
        <v>14.112</v>
      </c>
      <c r="DE41" s="319">
        <v>17.673999999999999</v>
      </c>
      <c r="DF41" s="319">
        <f>3.36*0.6</f>
        <v>2.016</v>
      </c>
      <c r="DG41" s="319">
        <f>17.674</f>
        <v>17.673999999999999</v>
      </c>
      <c r="DH41" s="319">
        <f>6.72</f>
        <v>6.72</v>
      </c>
      <c r="DI41" s="319">
        <f>18.817/8</f>
        <v>2.352125</v>
      </c>
      <c r="DJ41" s="319">
        <f>80.64/1.6*1.5</f>
        <v>75.599999999999994</v>
      </c>
      <c r="DK41" s="319"/>
      <c r="DL41" s="319">
        <f>11.76*3</f>
        <v>35.28</v>
      </c>
      <c r="DM41" s="319">
        <f>11.76*3</f>
        <v>35.28</v>
      </c>
      <c r="DN41" s="319">
        <f>17.674</f>
        <v>17.673999999999999</v>
      </c>
      <c r="DO41" s="319">
        <f>6.72*4</f>
        <v>26.88</v>
      </c>
      <c r="DP41" s="319">
        <f>18.817/8*7.5</f>
        <v>17.6409375</v>
      </c>
      <c r="DQ41" s="319"/>
      <c r="DR41" s="319">
        <v>0.30199999999999999</v>
      </c>
      <c r="DS41" s="419">
        <f t="shared" si="32"/>
        <v>1203.6011817307692</v>
      </c>
      <c r="DT41" s="57"/>
      <c r="DU41" s="319">
        <v>56.448</v>
      </c>
      <c r="DV41" s="319">
        <v>10.584</v>
      </c>
      <c r="DW41" s="319">
        <v>2.6509999999999998</v>
      </c>
      <c r="DX41" s="319">
        <f>6.72/0.8*0.9</f>
        <v>7.5599999999999987</v>
      </c>
      <c r="DY41" s="319">
        <f>17.674*1.3</f>
        <v>22.976199999999999</v>
      </c>
      <c r="DZ41" s="319"/>
      <c r="EA41" s="319"/>
      <c r="EB41" s="319"/>
      <c r="EC41" s="319">
        <v>5.04</v>
      </c>
      <c r="ED41" s="319">
        <v>0.04</v>
      </c>
      <c r="EE41" s="319">
        <v>1.2999999999999999E-2</v>
      </c>
      <c r="EF41" s="319">
        <v>2.3519999999999999</v>
      </c>
      <c r="EG41" s="319">
        <f>2.218/0.3*0.6</f>
        <v>4.4359999999999999</v>
      </c>
      <c r="EH41" s="319">
        <v>3.528</v>
      </c>
      <c r="EI41" s="319">
        <f>17.674*0.8</f>
        <v>14.139200000000001</v>
      </c>
      <c r="EJ41" s="319">
        <f>6.72*1.5</f>
        <v>10.08</v>
      </c>
      <c r="EK41" s="319">
        <v>3.36</v>
      </c>
      <c r="EL41" s="319">
        <v>3.36</v>
      </c>
      <c r="EM41" s="319">
        <v>14.112</v>
      </c>
      <c r="EN41" s="319">
        <f>18.817/8*5</f>
        <v>11.760625000000001</v>
      </c>
      <c r="EO41" s="319">
        <f>17.674*5</f>
        <v>88.37</v>
      </c>
      <c r="EP41" s="319">
        <f>6.72*2</f>
        <v>13.44</v>
      </c>
      <c r="EQ41" s="319">
        <v>70.56</v>
      </c>
      <c r="ER41" s="245">
        <f>4.704*0.3</f>
        <v>1.4111999999999998</v>
      </c>
      <c r="ES41" s="319">
        <f>6.72*3</f>
        <v>20.16</v>
      </c>
      <c r="ET41" s="319">
        <v>2.8220000000000001</v>
      </c>
      <c r="EU41" s="319">
        <v>6.048</v>
      </c>
      <c r="EV41" s="319">
        <v>8.8369999999999997</v>
      </c>
      <c r="EW41" s="319">
        <f>5.544*2</f>
        <v>11.087999999999999</v>
      </c>
      <c r="EX41" s="319">
        <f>94.08/4*5</f>
        <v>117.6</v>
      </c>
      <c r="EY41" s="245">
        <f>22.976/1.3*2</f>
        <v>35.347692307692306</v>
      </c>
      <c r="EZ41" s="177">
        <v>17.908999999999999</v>
      </c>
      <c r="FA41" s="271"/>
      <c r="FB41" s="319">
        <f>4.032/0.6*1.2</f>
        <v>8.0640000000000001</v>
      </c>
      <c r="FC41" s="319"/>
      <c r="FD41" s="319">
        <v>14.112</v>
      </c>
      <c r="FE41" s="319">
        <f>6.72/0.8*2.5</f>
        <v>20.999999999999996</v>
      </c>
      <c r="FF41" s="319">
        <f>10.584/1.5*1.1</f>
        <v>7.7616000000000005</v>
      </c>
      <c r="FG41" s="319">
        <v>47.04</v>
      </c>
      <c r="FH41" s="319"/>
      <c r="FI41" s="319">
        <f>10.584/1.5*0.6</f>
        <v>4.2336</v>
      </c>
      <c r="FJ41" s="319"/>
      <c r="FK41" s="319">
        <f>35.28</f>
        <v>35.28</v>
      </c>
      <c r="FL41" s="319">
        <f>17.674*0.7</f>
        <v>12.371799999999999</v>
      </c>
      <c r="FM41" s="319">
        <v>17.673999999999999</v>
      </c>
      <c r="FN41" s="319"/>
      <c r="FO41" s="319">
        <f>6.384*1.2</f>
        <v>7.6608000000000001</v>
      </c>
      <c r="FP41" s="319">
        <f>35.28</f>
        <v>35.28</v>
      </c>
      <c r="FQ41" s="319">
        <f>35.28</f>
        <v>35.28</v>
      </c>
      <c r="FR41" s="319">
        <v>14.138999999999999</v>
      </c>
      <c r="FS41" s="319">
        <f>3.36</f>
        <v>3.36</v>
      </c>
      <c r="FT41" s="319">
        <f>2.218/0.3*0.6</f>
        <v>4.4359999999999999</v>
      </c>
      <c r="FU41" s="158">
        <f t="shared" si="25"/>
        <v>833.72571730769243</v>
      </c>
      <c r="FV41" s="113"/>
      <c r="FW41" s="245"/>
      <c r="FX41" s="245"/>
      <c r="FY41" s="245"/>
      <c r="FZ41" s="319"/>
      <c r="GA41" s="319"/>
      <c r="GB41" s="319"/>
      <c r="GC41" s="319"/>
      <c r="GD41" s="319"/>
      <c r="GE41" s="319"/>
      <c r="GF41" s="319"/>
      <c r="GG41" s="319"/>
      <c r="GH41" s="28"/>
      <c r="GI41" s="270"/>
      <c r="GJ41" s="245"/>
      <c r="GK41" s="177"/>
      <c r="GL41" s="271"/>
      <c r="GM41" s="177"/>
      <c r="GN41" s="272"/>
      <c r="GO41" s="435"/>
      <c r="GP41" s="327">
        <f t="shared" si="26"/>
        <v>0</v>
      </c>
      <c r="GQ41" s="445">
        <f t="shared" si="27"/>
        <v>1161.8429999999998</v>
      </c>
      <c r="GR41" s="449">
        <f t="shared" si="28"/>
        <v>1161.8429999999998</v>
      </c>
      <c r="GS41" s="451">
        <f t="shared" si="29"/>
        <v>910.76300000000003</v>
      </c>
      <c r="GT41" s="239">
        <f t="shared" si="30"/>
        <v>1203.58</v>
      </c>
      <c r="GU41" s="36" t="str">
        <f t="shared" si="31"/>
        <v>Биоплекс марганец</v>
      </c>
      <c r="GV41" s="664"/>
      <c r="GW41" s="949"/>
      <c r="GX41" s="175"/>
      <c r="GY41" s="175"/>
      <c r="GZ41" s="175"/>
      <c r="HA41" s="175"/>
      <c r="HB41" s="175"/>
      <c r="HC41" s="175"/>
      <c r="HD41" s="175"/>
      <c r="HE41" s="175"/>
      <c r="HF41" s="175"/>
    </row>
    <row r="42" spans="1:233" ht="15" customHeight="1" x14ac:dyDescent="0.3">
      <c r="A42" s="127">
        <f t="shared" si="21"/>
        <v>32</v>
      </c>
      <c r="B42" s="691" t="s">
        <v>110</v>
      </c>
      <c r="C42" s="889">
        <v>807.13</v>
      </c>
      <c r="D42" s="514">
        <f>129.313+448.117</f>
        <v>577.43000000000006</v>
      </c>
      <c r="E42" s="192">
        <f>750.883+289.387</f>
        <v>1040.27</v>
      </c>
      <c r="F42" s="162">
        <v>652.71</v>
      </c>
      <c r="G42" s="92">
        <f t="shared" si="9"/>
        <v>756.803</v>
      </c>
      <c r="H42" s="93">
        <f>708.613+1000</f>
        <v>1708.6130000000001</v>
      </c>
      <c r="I42" s="93">
        <f>55.903+1000</f>
        <v>1055.903</v>
      </c>
      <c r="J42" s="94"/>
      <c r="K42" s="319">
        <f>10.08*3</f>
        <v>30.240000000000002</v>
      </c>
      <c r="L42" s="319">
        <v>60.48</v>
      </c>
      <c r="M42" s="319"/>
      <c r="N42" s="319"/>
      <c r="O42" s="319">
        <v>0.80600000000000005</v>
      </c>
      <c r="P42" s="319">
        <f>4.032</f>
        <v>4.032</v>
      </c>
      <c r="Q42" s="319">
        <v>4.5359999999999996</v>
      </c>
      <c r="R42" s="319">
        <f>4.838*3</f>
        <v>14.513999999999999</v>
      </c>
      <c r="S42" s="319">
        <f>50.4*1.6</f>
        <v>80.64</v>
      </c>
      <c r="T42" s="319">
        <f>12.751</f>
        <v>12.750999999999999</v>
      </c>
      <c r="U42" s="319">
        <f>4.838*1.5</f>
        <v>7.2569999999999997</v>
      </c>
      <c r="V42" s="319">
        <f>4.838*4</f>
        <v>19.352</v>
      </c>
      <c r="W42" s="319">
        <f>6.048*1.5</f>
        <v>9.0719999999999992</v>
      </c>
      <c r="X42" s="319">
        <f>2.419*7</f>
        <v>16.933</v>
      </c>
      <c r="Y42" s="319"/>
      <c r="Z42" s="319">
        <f>2.419*2</f>
        <v>4.8380000000000001</v>
      </c>
      <c r="AA42" s="319">
        <f>4.838*4</f>
        <v>19.352</v>
      </c>
      <c r="AB42" s="319">
        <f>2.419*8</f>
        <v>19.352</v>
      </c>
      <c r="AC42" s="319"/>
      <c r="AD42" s="319"/>
      <c r="AE42" s="319">
        <v>4.5359999999999996</v>
      </c>
      <c r="AF42" s="319"/>
      <c r="AG42" s="319"/>
      <c r="AH42" s="319">
        <v>12.096</v>
      </c>
      <c r="AI42" s="319">
        <f>20.16*4</f>
        <v>80.64</v>
      </c>
      <c r="AJ42" s="319">
        <v>1.159</v>
      </c>
      <c r="AK42" s="319">
        <v>3.024</v>
      </c>
      <c r="AL42" s="319">
        <v>2.419</v>
      </c>
      <c r="AM42" s="319">
        <v>2.8220000000000001</v>
      </c>
      <c r="AN42" s="319">
        <f>12.751</f>
        <v>12.750999999999999</v>
      </c>
      <c r="AO42" s="319">
        <f>3.528*2</f>
        <v>7.056</v>
      </c>
      <c r="AP42" s="245">
        <f>12.751*1.3</f>
        <v>16.5763</v>
      </c>
      <c r="AQ42" s="319">
        <v>4.3550000000000004</v>
      </c>
      <c r="AR42" s="319">
        <v>3.2000000000000001E-2</v>
      </c>
      <c r="AS42" s="319">
        <v>0.03</v>
      </c>
      <c r="AT42" s="319">
        <v>7.56</v>
      </c>
      <c r="AU42" s="319">
        <v>2.419</v>
      </c>
      <c r="AV42" s="319">
        <f>12.751</f>
        <v>12.750999999999999</v>
      </c>
      <c r="AW42" s="319">
        <v>60.48</v>
      </c>
      <c r="AX42" s="319">
        <f>10.08*1.2</f>
        <v>12.096</v>
      </c>
      <c r="AY42" s="319">
        <v>5.67</v>
      </c>
      <c r="AZ42" s="319"/>
      <c r="BA42" s="319"/>
      <c r="BB42" s="319">
        <v>2.419</v>
      </c>
      <c r="BC42" s="319"/>
      <c r="BD42" s="319">
        <f>1.913/0.3</f>
        <v>6.3766666666666669</v>
      </c>
      <c r="BE42" s="319">
        <v>3.024</v>
      </c>
      <c r="BF42" s="319"/>
      <c r="BG42" s="319"/>
      <c r="BH42" s="319">
        <f>12.751*0.6</f>
        <v>7.650599999999999</v>
      </c>
      <c r="BI42" s="319">
        <f>4.838*1.1</f>
        <v>5.3218000000000005</v>
      </c>
      <c r="BJ42" s="158">
        <f t="shared" si="23"/>
        <v>577.41936666666652</v>
      </c>
      <c r="BK42" s="94"/>
      <c r="BL42" s="319">
        <f>25.2</f>
        <v>25.2</v>
      </c>
      <c r="BM42" s="319">
        <f>50.4*2.5</f>
        <v>126</v>
      </c>
      <c r="BN42" s="319">
        <f>12.751*1.5</f>
        <v>19.1265</v>
      </c>
      <c r="BO42" s="319">
        <f>20.16*2.4</f>
        <v>48.384</v>
      </c>
      <c r="BP42" s="319">
        <v>12.750999999999999</v>
      </c>
      <c r="BQ42" s="319">
        <f>10.08*3</f>
        <v>30.240000000000002</v>
      </c>
      <c r="BR42" s="319"/>
      <c r="BS42" s="319">
        <f>2.419*5.4</f>
        <v>13.062600000000002</v>
      </c>
      <c r="BT42" s="319">
        <v>60.48</v>
      </c>
      <c r="BU42" s="319">
        <f>6.048*1.9</f>
        <v>11.491199999999999</v>
      </c>
      <c r="BV42" s="319">
        <v>3.1880000000000002</v>
      </c>
      <c r="BW42" s="319">
        <v>3.3260000000000001</v>
      </c>
      <c r="BX42" s="319">
        <f>2.419*2.1</f>
        <v>5.0799000000000003</v>
      </c>
      <c r="BY42" s="319">
        <f>4.838*2</f>
        <v>9.6760000000000002</v>
      </c>
      <c r="BZ42" s="319">
        <f>12.751</f>
        <v>12.750999999999999</v>
      </c>
      <c r="CA42" s="319">
        <f>4.838*4</f>
        <v>19.352</v>
      </c>
      <c r="CB42" s="319">
        <f>10.08*3</f>
        <v>30.240000000000002</v>
      </c>
      <c r="CC42" s="319">
        <f>12.096/1.2*3</f>
        <v>30.240000000000002</v>
      </c>
      <c r="CD42" s="319">
        <f>4.838*4</f>
        <v>19.352</v>
      </c>
      <c r="CE42" s="319">
        <v>12.750999999999999</v>
      </c>
      <c r="CF42" s="319">
        <f>19.354/8*6</f>
        <v>14.515499999999999</v>
      </c>
      <c r="CG42" s="319">
        <v>0.30199999999999999</v>
      </c>
      <c r="CH42" s="319">
        <f>4.032*0.6</f>
        <v>2.4192</v>
      </c>
      <c r="CI42" s="319">
        <v>4.5359999999999996</v>
      </c>
      <c r="CJ42" s="319"/>
      <c r="CK42" s="319">
        <f>2.822/0.8*0.9</f>
        <v>3.17475</v>
      </c>
      <c r="CL42" s="319">
        <f>2.903/0.6*0.9</f>
        <v>4.3545000000000007</v>
      </c>
      <c r="CM42" s="319">
        <v>2.419</v>
      </c>
      <c r="CN42" s="319"/>
      <c r="CO42" s="319">
        <f>4.838*2</f>
        <v>9.6760000000000002</v>
      </c>
      <c r="CP42" s="319">
        <f>12.751*0.3</f>
        <v>3.8252999999999995</v>
      </c>
      <c r="CQ42" s="319">
        <v>60.48</v>
      </c>
      <c r="CR42" s="319">
        <f>12.751</f>
        <v>12.750999999999999</v>
      </c>
      <c r="CS42" s="177"/>
      <c r="CT42" s="271">
        <v>36.287999999999997</v>
      </c>
      <c r="CU42" s="271">
        <v>28.224</v>
      </c>
      <c r="CV42" s="271">
        <v>5.04</v>
      </c>
      <c r="CW42" s="319"/>
      <c r="CX42" s="319"/>
      <c r="CY42" s="319"/>
      <c r="CZ42" s="319">
        <f>2.822/0.8*3</f>
        <v>10.5825</v>
      </c>
      <c r="DA42" s="245">
        <f>16.577/1.3*1.5</f>
        <v>19.127307692307696</v>
      </c>
      <c r="DB42" s="319">
        <f>3.024*2</f>
        <v>6.048</v>
      </c>
      <c r="DC42" s="319">
        <f>80.64/4*4.5</f>
        <v>90.72</v>
      </c>
      <c r="DD42" s="319">
        <v>12.096</v>
      </c>
      <c r="DE42" s="319">
        <f>12.751</f>
        <v>12.750999999999999</v>
      </c>
      <c r="DF42" s="319">
        <f>2.419*0.6</f>
        <v>1.4514</v>
      </c>
      <c r="DG42" s="319">
        <f>12.751</f>
        <v>12.750999999999999</v>
      </c>
      <c r="DH42" s="319">
        <f>4.838</f>
        <v>4.8380000000000001</v>
      </c>
      <c r="DI42" s="319">
        <f>19.354/8</f>
        <v>2.4192499999999999</v>
      </c>
      <c r="DJ42" s="319">
        <f>80.64/1.6*1.5</f>
        <v>75.599999999999994</v>
      </c>
      <c r="DK42" s="319"/>
      <c r="DL42" s="319">
        <f>10.08*3</f>
        <v>30.240000000000002</v>
      </c>
      <c r="DM42" s="319">
        <f>10.08*3</f>
        <v>30.240000000000002</v>
      </c>
      <c r="DN42" s="319">
        <f>12.751</f>
        <v>12.750999999999999</v>
      </c>
      <c r="DO42" s="319">
        <f>4.838*4</f>
        <v>19.352</v>
      </c>
      <c r="DP42" s="319">
        <f>19.354/8*7.5</f>
        <v>18.144375</v>
      </c>
      <c r="DQ42" s="319"/>
      <c r="DR42" s="319">
        <v>0.45400000000000001</v>
      </c>
      <c r="DS42" s="419">
        <f t="shared" si="32"/>
        <v>1040.2622826923075</v>
      </c>
      <c r="DT42" s="57"/>
      <c r="DU42" s="319">
        <v>48.384</v>
      </c>
      <c r="DV42" s="319">
        <v>9.0719999999999992</v>
      </c>
      <c r="DW42" s="319">
        <v>1.913</v>
      </c>
      <c r="DX42" s="319">
        <f>2.822/0.8*0.9</f>
        <v>3.17475</v>
      </c>
      <c r="DY42" s="319">
        <f>12.751*1.3</f>
        <v>16.5763</v>
      </c>
      <c r="DZ42" s="319"/>
      <c r="EA42" s="319"/>
      <c r="EB42" s="319"/>
      <c r="EC42" s="319">
        <v>7.56</v>
      </c>
      <c r="ED42" s="319">
        <v>4.8000000000000001E-2</v>
      </c>
      <c r="EE42" s="319">
        <f>0.02</f>
        <v>0.02</v>
      </c>
      <c r="EF42" s="319">
        <v>2.419</v>
      </c>
      <c r="EG42" s="319">
        <f>3.326/0.3*0.6</f>
        <v>6.6520000000000001</v>
      </c>
      <c r="EH42" s="319">
        <v>3.024</v>
      </c>
      <c r="EI42" s="319">
        <f>12.751*0.8</f>
        <v>10.200800000000001</v>
      </c>
      <c r="EJ42" s="319">
        <f>4.838*1.5</f>
        <v>7.2569999999999997</v>
      </c>
      <c r="EK42" s="319">
        <v>2.419</v>
      </c>
      <c r="EL42" s="319">
        <v>2.419</v>
      </c>
      <c r="EM42" s="319">
        <v>6.048</v>
      </c>
      <c r="EN42" s="319">
        <f>19.354/8*5</f>
        <v>12.09625</v>
      </c>
      <c r="EO42" s="319">
        <f>12.751*5</f>
        <v>63.754999999999995</v>
      </c>
      <c r="EP42" s="319">
        <f>4.838*2</f>
        <v>9.6760000000000002</v>
      </c>
      <c r="EQ42" s="319">
        <v>60.48</v>
      </c>
      <c r="ER42" s="245">
        <f>2.016*0.3</f>
        <v>0.6048</v>
      </c>
      <c r="ES42" s="319">
        <f>4.838*3</f>
        <v>14.513999999999999</v>
      </c>
      <c r="ET42" s="319">
        <v>2.419</v>
      </c>
      <c r="EU42" s="319">
        <v>4.3550000000000004</v>
      </c>
      <c r="EV42" s="319">
        <v>6.3760000000000003</v>
      </c>
      <c r="EW42" s="319">
        <f>3.024*2</f>
        <v>6.048</v>
      </c>
      <c r="EX42" s="319">
        <f>80.64/4*5</f>
        <v>100.8</v>
      </c>
      <c r="EY42" s="245">
        <f>16.577/1.3*2</f>
        <v>25.503076923076925</v>
      </c>
      <c r="EZ42" s="177">
        <v>5.04</v>
      </c>
      <c r="FA42" s="271"/>
      <c r="FB42" s="319">
        <f>2.419/0.6*1.2</f>
        <v>4.8380000000000001</v>
      </c>
      <c r="FC42" s="319"/>
      <c r="FD42" s="319">
        <v>12.096</v>
      </c>
      <c r="FE42" s="319">
        <f>2.822/0.8*2.5</f>
        <v>8.8187499999999996</v>
      </c>
      <c r="FF42" s="319">
        <f>9.072/1.5*1.1</f>
        <v>6.6528</v>
      </c>
      <c r="FG42" s="319">
        <v>40.32</v>
      </c>
      <c r="FH42" s="319"/>
      <c r="FI42" s="319">
        <f>9.072/1.5*0.6</f>
        <v>3.6287999999999991</v>
      </c>
      <c r="FJ42" s="319"/>
      <c r="FK42" s="319">
        <f>30.24</f>
        <v>30.24</v>
      </c>
      <c r="FL42" s="319">
        <f>12.751*0.7</f>
        <v>8.9256999999999991</v>
      </c>
      <c r="FM42" s="319">
        <v>12.750999999999999</v>
      </c>
      <c r="FN42" s="319"/>
      <c r="FO42" s="319">
        <f>4.838*1.2</f>
        <v>5.8056000000000001</v>
      </c>
      <c r="FP42" s="319">
        <f>30.24</f>
        <v>30.24</v>
      </c>
      <c r="FQ42" s="319">
        <f>30.24</f>
        <v>30.24</v>
      </c>
      <c r="FR42" s="319">
        <v>10.201000000000001</v>
      </c>
      <c r="FS42" s="319">
        <f>2.419</f>
        <v>2.419</v>
      </c>
      <c r="FT42" s="319">
        <f>3.326/0.3*0.6</f>
        <v>6.6520000000000001</v>
      </c>
      <c r="FU42" s="158">
        <f t="shared" si="25"/>
        <v>652.68262692307712</v>
      </c>
      <c r="FV42" s="95"/>
      <c r="FW42" s="245"/>
      <c r="FX42" s="245"/>
      <c r="FY42" s="245"/>
      <c r="FZ42" s="319"/>
      <c r="GA42" s="319"/>
      <c r="GB42" s="319"/>
      <c r="GC42" s="319"/>
      <c r="GD42" s="319"/>
      <c r="GE42" s="319"/>
      <c r="GF42" s="319"/>
      <c r="GG42" s="319"/>
      <c r="GH42" s="28"/>
      <c r="GI42" s="270"/>
      <c r="GJ42" s="245"/>
      <c r="GK42" s="177"/>
      <c r="GL42" s="271"/>
      <c r="GM42" s="177"/>
      <c r="GN42" s="272"/>
      <c r="GO42" s="435"/>
      <c r="GP42" s="327">
        <f t="shared" si="26"/>
        <v>0</v>
      </c>
      <c r="GQ42" s="445">
        <f t="shared" si="27"/>
        <v>1055.903</v>
      </c>
      <c r="GR42" s="449">
        <f t="shared" si="28"/>
        <v>1055.903</v>
      </c>
      <c r="GS42" s="451">
        <f t="shared" si="29"/>
        <v>756.803</v>
      </c>
      <c r="GT42" s="239">
        <f t="shared" si="30"/>
        <v>1040.27</v>
      </c>
      <c r="GU42" s="36" t="str">
        <f t="shared" si="31"/>
        <v>Биоплекс медь</v>
      </c>
      <c r="GV42" s="664"/>
    </row>
    <row r="43" spans="1:233" ht="15" customHeight="1" x14ac:dyDescent="0.3">
      <c r="A43" s="132">
        <f t="shared" si="21"/>
        <v>33</v>
      </c>
      <c r="B43" s="691" t="s">
        <v>100</v>
      </c>
      <c r="C43" s="889">
        <f>242.243+500+1171.477</f>
        <v>1913.72</v>
      </c>
      <c r="D43" s="514">
        <f>327.523+890.197</f>
        <v>1217.72</v>
      </c>
      <c r="E43" s="192">
        <f>2128.03</f>
        <v>2128.0300000000002</v>
      </c>
      <c r="F43" s="201">
        <v>1367.95</v>
      </c>
      <c r="G43" s="92">
        <f t="shared" si="9"/>
        <v>1571.2329999999999</v>
      </c>
      <c r="H43" s="93">
        <f>179.773+1000</f>
        <v>1179.7729999999999</v>
      </c>
      <c r="I43" s="93">
        <f>811.823+499</f>
        <v>1310.8229999999999</v>
      </c>
      <c r="J43" s="94"/>
      <c r="K43" s="319">
        <f>21.84*3</f>
        <v>65.52</v>
      </c>
      <c r="L43" s="319">
        <v>131.04</v>
      </c>
      <c r="M43" s="319">
        <f>7.728*8</f>
        <v>61.823999999999998</v>
      </c>
      <c r="N43" s="319"/>
      <c r="O43" s="319">
        <v>3.7629999999999999</v>
      </c>
      <c r="P43" s="319">
        <f>6.72</f>
        <v>6.72</v>
      </c>
      <c r="Q43" s="319">
        <v>10.08</v>
      </c>
      <c r="R43" s="319">
        <f>5.376*3</f>
        <v>16.128</v>
      </c>
      <c r="S43" s="319">
        <f>67.2*1.6</f>
        <v>107.52000000000001</v>
      </c>
      <c r="T43" s="319">
        <f>14.515</f>
        <v>14.515000000000001</v>
      </c>
      <c r="U43" s="319">
        <f>12.096*1.5</f>
        <v>18.143999999999998</v>
      </c>
      <c r="V43" s="319">
        <f>5.376*4</f>
        <v>21.504000000000001</v>
      </c>
      <c r="W43" s="319">
        <f>13.104*1.5</f>
        <v>19.655999999999999</v>
      </c>
      <c r="X43" s="319">
        <f>4.704*7</f>
        <v>32.927999999999997</v>
      </c>
      <c r="Y43" s="319"/>
      <c r="Z43" s="319">
        <f>4.704*2</f>
        <v>9.4079999999999995</v>
      </c>
      <c r="AA43" s="319">
        <f>5.376*4</f>
        <v>21.504000000000001</v>
      </c>
      <c r="AB43" s="319">
        <f>4.704*8</f>
        <v>37.631999999999998</v>
      </c>
      <c r="AC43" s="319">
        <f>7.728*6</f>
        <v>46.367999999999995</v>
      </c>
      <c r="AD43" s="319">
        <v>0.53800000000000003</v>
      </c>
      <c r="AE43" s="319">
        <v>6.048</v>
      </c>
      <c r="AF43" s="319"/>
      <c r="AG43" s="319"/>
      <c r="AH43" s="319">
        <v>24.192</v>
      </c>
      <c r="AI43" s="319">
        <f>43.68*4</f>
        <v>174.72</v>
      </c>
      <c r="AJ43" s="319">
        <v>3.0910000000000002</v>
      </c>
      <c r="AK43" s="319">
        <v>7.056</v>
      </c>
      <c r="AL43" s="319">
        <v>4.8380000000000001</v>
      </c>
      <c r="AM43" s="319">
        <v>6.72</v>
      </c>
      <c r="AN43" s="319">
        <v>14.515000000000001</v>
      </c>
      <c r="AO43" s="319">
        <f>8.4*2</f>
        <v>16.8</v>
      </c>
      <c r="AP43" s="245">
        <f>14.515*1.3</f>
        <v>18.869500000000002</v>
      </c>
      <c r="AQ43" s="319">
        <v>4.8380000000000001</v>
      </c>
      <c r="AR43" s="319"/>
      <c r="AS43" s="319">
        <v>1.2E-2</v>
      </c>
      <c r="AT43" s="319">
        <v>10.08</v>
      </c>
      <c r="AU43" s="319">
        <v>2.8220000000000001</v>
      </c>
      <c r="AV43" s="319">
        <f>14.515</f>
        <v>14.515000000000001</v>
      </c>
      <c r="AW43" s="319">
        <v>131.04</v>
      </c>
      <c r="AX43" s="319">
        <f>21.84*1.2</f>
        <v>26.207999999999998</v>
      </c>
      <c r="AY43" s="319">
        <v>7.56</v>
      </c>
      <c r="AZ43" s="319"/>
      <c r="BA43" s="319"/>
      <c r="BB43" s="319">
        <v>4.7039999999999997</v>
      </c>
      <c r="BC43" s="319">
        <f>8.064</f>
        <v>8.0640000000000001</v>
      </c>
      <c r="BD43" s="319">
        <f>2.177/0.3</f>
        <v>7.2566666666666668</v>
      </c>
      <c r="BE43" s="319">
        <v>7.056</v>
      </c>
      <c r="BF43" s="319"/>
      <c r="BG43" s="319">
        <f>77.28</f>
        <v>77.28</v>
      </c>
      <c r="BH43" s="319">
        <f>14.515*0.6</f>
        <v>8.7089999999999996</v>
      </c>
      <c r="BI43" s="319">
        <f>5.376*1.1</f>
        <v>5.9136000000000006</v>
      </c>
      <c r="BJ43" s="158">
        <f t="shared" si="23"/>
        <v>1217.6997666666668</v>
      </c>
      <c r="BK43" s="94"/>
      <c r="BL43" s="319">
        <v>25.2</v>
      </c>
      <c r="BM43" s="319">
        <f>67.2*2.5</f>
        <v>168</v>
      </c>
      <c r="BN43" s="319">
        <f>14.515*1.5</f>
        <v>21.772500000000001</v>
      </c>
      <c r="BO43" s="319">
        <f>43.68*2.4</f>
        <v>104.83199999999999</v>
      </c>
      <c r="BP43" s="319">
        <v>14.515000000000001</v>
      </c>
      <c r="BQ43" s="319">
        <f>21.84*3</f>
        <v>65.52</v>
      </c>
      <c r="BR43" s="319"/>
      <c r="BS43" s="319">
        <f>4.704*5.4</f>
        <v>25.401600000000002</v>
      </c>
      <c r="BT43" s="319">
        <v>131.04</v>
      </c>
      <c r="BU43" s="319">
        <f>13.104*1.9</f>
        <v>24.897599999999997</v>
      </c>
      <c r="BV43" s="319">
        <v>3.629</v>
      </c>
      <c r="BW43" s="319">
        <v>4.4349999999999996</v>
      </c>
      <c r="BX43" s="319">
        <f>4.704*2.1</f>
        <v>9.8783999999999992</v>
      </c>
      <c r="BY43" s="319">
        <f>12.096*2</f>
        <v>24.192</v>
      </c>
      <c r="BZ43" s="319">
        <f>14.515</f>
        <v>14.515000000000001</v>
      </c>
      <c r="CA43" s="319">
        <f>5.376*4</f>
        <v>21.504000000000001</v>
      </c>
      <c r="CB43" s="319">
        <f>21.84*3</f>
        <v>65.52</v>
      </c>
      <c r="CC43" s="319">
        <f>26.208/1.2*3</f>
        <v>65.52</v>
      </c>
      <c r="CD43" s="319">
        <f>5.376*4</f>
        <v>21.504000000000001</v>
      </c>
      <c r="CE43" s="319">
        <v>14.515000000000001</v>
      </c>
      <c r="CF43" s="319">
        <f>37.632/8*6</f>
        <v>28.223999999999997</v>
      </c>
      <c r="CG43" s="319">
        <v>1.411</v>
      </c>
      <c r="CH43" s="319">
        <f>6.72*0.6</f>
        <v>4.032</v>
      </c>
      <c r="CI43" s="319">
        <v>10.08</v>
      </c>
      <c r="CJ43" s="319"/>
      <c r="CK43" s="319">
        <f>6.72/0.8*0.9</f>
        <v>7.5599999999999987</v>
      </c>
      <c r="CL43" s="319">
        <f>3.226/0.6*0.9</f>
        <v>4.8390000000000004</v>
      </c>
      <c r="CM43" s="319">
        <v>4.8380000000000001</v>
      </c>
      <c r="CN43" s="319"/>
      <c r="CO43" s="319">
        <f>12.096*2</f>
        <v>24.192</v>
      </c>
      <c r="CP43" s="319">
        <f>14.515*0.3</f>
        <v>4.3544999999999998</v>
      </c>
      <c r="CQ43" s="319">
        <v>131.04</v>
      </c>
      <c r="CR43" s="319">
        <v>14.515000000000001</v>
      </c>
      <c r="CS43" s="177"/>
      <c r="CT43" s="271">
        <v>302.39999999999998</v>
      </c>
      <c r="CU43" s="271">
        <v>26.88</v>
      </c>
      <c r="CV43" s="271">
        <v>33.6</v>
      </c>
      <c r="CW43" s="319"/>
      <c r="CX43" s="319">
        <f>77.28</f>
        <v>77.28</v>
      </c>
      <c r="CY43" s="319"/>
      <c r="CZ43" s="319">
        <f>6.72/0.8*3</f>
        <v>25.199999999999996</v>
      </c>
      <c r="DA43" s="245">
        <f>18.87/1.3*1.5</f>
        <v>21.773076923076921</v>
      </c>
      <c r="DB43" s="319">
        <f>7.056*2</f>
        <v>14.112</v>
      </c>
      <c r="DC43" s="319">
        <f>174.72/4*4.5</f>
        <v>196.56</v>
      </c>
      <c r="DD43" s="319">
        <v>24.192</v>
      </c>
      <c r="DE43" s="319">
        <v>14.515000000000001</v>
      </c>
      <c r="DF43" s="319">
        <f>2.822*0.6</f>
        <v>1.6932</v>
      </c>
      <c r="DG43" s="319">
        <f>14.515</f>
        <v>14.515000000000001</v>
      </c>
      <c r="DH43" s="319">
        <f>5.376</f>
        <v>5.3760000000000003</v>
      </c>
      <c r="DI43" s="319">
        <f>37.632/8</f>
        <v>4.7039999999999997</v>
      </c>
      <c r="DJ43" s="319">
        <f>107.52/1.6*1.5</f>
        <v>100.79999999999998</v>
      </c>
      <c r="DK43" s="319"/>
      <c r="DL43" s="319">
        <f>21.84*3</f>
        <v>65.52</v>
      </c>
      <c r="DM43" s="319">
        <f>21.84*3</f>
        <v>65.52</v>
      </c>
      <c r="DN43" s="319">
        <f>14.515</f>
        <v>14.515000000000001</v>
      </c>
      <c r="DO43" s="319">
        <f>5.376*4</f>
        <v>21.504000000000001</v>
      </c>
      <c r="DP43" s="319">
        <f>37.632/8*7.5</f>
        <v>35.28</v>
      </c>
      <c r="DQ43" s="319"/>
      <c r="DR43" s="319">
        <v>0.60499999999999998</v>
      </c>
      <c r="DS43" s="419">
        <f t="shared" si="32"/>
        <v>2128.0208769230771</v>
      </c>
      <c r="DT43" s="57"/>
      <c r="DU43" s="319">
        <v>104.83199999999999</v>
      </c>
      <c r="DV43" s="319">
        <v>19.655999999999999</v>
      </c>
      <c r="DW43" s="319">
        <v>2.177</v>
      </c>
      <c r="DX43" s="319">
        <f>6.72/0.8*0.9</f>
        <v>7.5599999999999987</v>
      </c>
      <c r="DY43" s="319">
        <f>14.515*1.3</f>
        <v>18.869500000000002</v>
      </c>
      <c r="DZ43" s="319"/>
      <c r="EA43" s="319"/>
      <c r="EB43" s="319">
        <f>7.728*10</f>
        <v>77.28</v>
      </c>
      <c r="EC43" s="319">
        <v>10.08</v>
      </c>
      <c r="ED43" s="319"/>
      <c r="EE43" s="319">
        <v>8.0000000000000002E-3</v>
      </c>
      <c r="EF43" s="319">
        <v>4.7039999999999997</v>
      </c>
      <c r="EG43" s="319">
        <f>4.435/0.3*0.6</f>
        <v>8.8699999999999992</v>
      </c>
      <c r="EH43" s="319">
        <v>6.5519999999999996</v>
      </c>
      <c r="EI43" s="319">
        <f>14.515*0.8</f>
        <v>11.612000000000002</v>
      </c>
      <c r="EJ43" s="319">
        <f>5.376*1.5</f>
        <v>8.0640000000000001</v>
      </c>
      <c r="EK43" s="319">
        <v>2.8220000000000001</v>
      </c>
      <c r="EL43" s="319">
        <v>2.8220000000000001</v>
      </c>
      <c r="EM43" s="319">
        <v>14.112</v>
      </c>
      <c r="EN43" s="319">
        <f>37.632/8*5</f>
        <v>23.52</v>
      </c>
      <c r="EO43" s="319">
        <f>14.515*5</f>
        <v>72.575000000000003</v>
      </c>
      <c r="EP43" s="319">
        <f>5.376*2</f>
        <v>10.752000000000001</v>
      </c>
      <c r="EQ43" s="319">
        <v>131.04</v>
      </c>
      <c r="ER43" s="245">
        <f>4.704*0.3</f>
        <v>1.4111999999999998</v>
      </c>
      <c r="ES43" s="319">
        <f>5.376*3</f>
        <v>16.128</v>
      </c>
      <c r="ET43" s="319">
        <v>4.8380000000000001</v>
      </c>
      <c r="EU43" s="319">
        <v>4.8380000000000001</v>
      </c>
      <c r="EV43" s="319">
        <v>7.258</v>
      </c>
      <c r="EW43" s="319">
        <f>7.056*2</f>
        <v>14.112</v>
      </c>
      <c r="EX43" s="319">
        <f>174.72/4*5</f>
        <v>218.4</v>
      </c>
      <c r="EY43" s="245">
        <f>18.87/1.3*2</f>
        <v>29.030769230769231</v>
      </c>
      <c r="EZ43" s="177">
        <v>33.6</v>
      </c>
      <c r="FA43" s="271"/>
      <c r="FB43" s="319">
        <f>4.032/0.6*1.2</f>
        <v>8.0640000000000001</v>
      </c>
      <c r="FC43" s="319"/>
      <c r="FD43" s="319">
        <v>24.192</v>
      </c>
      <c r="FE43" s="319">
        <f>6.72/0.8*2.5</f>
        <v>20.999999999999996</v>
      </c>
      <c r="FF43" s="319">
        <f>19.656/1.5*1.1</f>
        <v>14.414400000000001</v>
      </c>
      <c r="FG43" s="319">
        <v>87.36</v>
      </c>
      <c r="FH43" s="319"/>
      <c r="FI43" s="319">
        <f>19.656/1.5*0.6</f>
        <v>7.8623999999999992</v>
      </c>
      <c r="FJ43" s="319">
        <f>7.728*10</f>
        <v>77.28</v>
      </c>
      <c r="FK43" s="319">
        <f>65.52</f>
        <v>65.52</v>
      </c>
      <c r="FL43" s="319">
        <f>14.515*0.7</f>
        <v>10.160499999999999</v>
      </c>
      <c r="FM43" s="319">
        <v>14.515000000000001</v>
      </c>
      <c r="FN43" s="319">
        <f>1.008/0.5*0.6</f>
        <v>1.2096</v>
      </c>
      <c r="FO43" s="319">
        <f>12.096*1.2</f>
        <v>14.5152</v>
      </c>
      <c r="FP43" s="319">
        <f>65.52</f>
        <v>65.52</v>
      </c>
      <c r="FQ43" s="319">
        <f>65.52</f>
        <v>65.52</v>
      </c>
      <c r="FR43" s="319">
        <v>11.612</v>
      </c>
      <c r="FS43" s="319">
        <f>2.822</f>
        <v>2.8220000000000001</v>
      </c>
      <c r="FT43" s="319">
        <f>4.435/0.3*0.6</f>
        <v>8.8699999999999992</v>
      </c>
      <c r="FU43" s="158">
        <f t="shared" si="25"/>
        <v>1367.9605692307691</v>
      </c>
      <c r="FV43" s="95"/>
      <c r="FW43" s="245"/>
      <c r="FX43" s="245"/>
      <c r="FY43" s="245"/>
      <c r="FZ43" s="319"/>
      <c r="GA43" s="319"/>
      <c r="GB43" s="319"/>
      <c r="GC43" s="319"/>
      <c r="GD43" s="319"/>
      <c r="GE43" s="319"/>
      <c r="GF43" s="319"/>
      <c r="GG43" s="319"/>
      <c r="GH43" s="28"/>
      <c r="GI43" s="270"/>
      <c r="GJ43" s="245"/>
      <c r="GK43" s="177"/>
      <c r="GL43" s="271"/>
      <c r="GM43" s="177"/>
      <c r="GN43" s="272"/>
      <c r="GO43" s="435"/>
      <c r="GP43" s="327">
        <f t="shared" si="26"/>
        <v>0</v>
      </c>
      <c r="GQ43" s="445">
        <f t="shared" si="27"/>
        <v>1310.8229999999999</v>
      </c>
      <c r="GR43" s="449">
        <f t="shared" si="28"/>
        <v>1310.8229999999999</v>
      </c>
      <c r="GS43" s="451">
        <f t="shared" si="29"/>
        <v>1571.2329999999999</v>
      </c>
      <c r="GT43" s="239">
        <f t="shared" si="30"/>
        <v>2128.0300000000002</v>
      </c>
      <c r="GU43" s="36" t="str">
        <f t="shared" si="31"/>
        <v>Биоплекс цинк</v>
      </c>
      <c r="GV43" s="664"/>
      <c r="GW43" s="948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</row>
    <row r="44" spans="1:233" ht="15" customHeight="1" x14ac:dyDescent="0.3">
      <c r="A44" s="132">
        <f t="shared" si="21"/>
        <v>34</v>
      </c>
      <c r="B44" s="696" t="s">
        <v>146</v>
      </c>
      <c r="C44" s="889">
        <v>0</v>
      </c>
      <c r="D44" s="1205">
        <v>0</v>
      </c>
      <c r="E44" s="192">
        <v>0</v>
      </c>
      <c r="F44" s="201">
        <v>0</v>
      </c>
      <c r="G44" s="92">
        <f t="shared" si="9"/>
        <v>0</v>
      </c>
      <c r="H44" s="93">
        <v>0</v>
      </c>
      <c r="I44" s="93">
        <v>0</v>
      </c>
      <c r="J44" s="112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  <c r="AJ44" s="319"/>
      <c r="AK44" s="319"/>
      <c r="AL44" s="319"/>
      <c r="AM44" s="319"/>
      <c r="AN44" s="319"/>
      <c r="AO44" s="319"/>
      <c r="AP44" s="319"/>
      <c r="AQ44" s="319"/>
      <c r="AR44" s="319"/>
      <c r="AS44" s="319"/>
      <c r="AT44" s="319"/>
      <c r="AU44" s="319"/>
      <c r="AV44" s="319"/>
      <c r="AW44" s="319"/>
      <c r="AX44" s="319"/>
      <c r="AY44" s="319"/>
      <c r="AZ44" s="319"/>
      <c r="BA44" s="319"/>
      <c r="BB44" s="319"/>
      <c r="BC44" s="319"/>
      <c r="BD44" s="319"/>
      <c r="BE44" s="319"/>
      <c r="BF44" s="319"/>
      <c r="BG44" s="319"/>
      <c r="BH44" s="319"/>
      <c r="BI44" s="319"/>
      <c r="BJ44" s="158">
        <f t="shared" si="23"/>
        <v>0</v>
      </c>
      <c r="BK44" s="112"/>
      <c r="BL44" s="319"/>
      <c r="BM44" s="319"/>
      <c r="BN44" s="319"/>
      <c r="BO44" s="319"/>
      <c r="BP44" s="319"/>
      <c r="BQ44" s="319"/>
      <c r="BR44" s="319"/>
      <c r="BS44" s="319"/>
      <c r="BT44" s="319"/>
      <c r="BU44" s="319"/>
      <c r="BV44" s="319"/>
      <c r="BW44" s="319"/>
      <c r="BX44" s="319"/>
      <c r="BY44" s="319"/>
      <c r="BZ44" s="319"/>
      <c r="CA44" s="319"/>
      <c r="CB44" s="319"/>
      <c r="CC44" s="319"/>
      <c r="CD44" s="319"/>
      <c r="CE44" s="319"/>
      <c r="CF44" s="319"/>
      <c r="CG44" s="319"/>
      <c r="CH44" s="319"/>
      <c r="CI44" s="319"/>
      <c r="CJ44" s="319"/>
      <c r="CK44" s="319"/>
      <c r="CL44" s="319"/>
      <c r="CM44" s="319"/>
      <c r="CN44" s="319"/>
      <c r="CO44" s="319"/>
      <c r="CP44" s="319"/>
      <c r="CQ44" s="319"/>
      <c r="CR44" s="319"/>
      <c r="CS44" s="177"/>
      <c r="CT44" s="271"/>
      <c r="CU44" s="271"/>
      <c r="CV44" s="271"/>
      <c r="CW44" s="319"/>
      <c r="CX44" s="319"/>
      <c r="CY44" s="319"/>
      <c r="CZ44" s="319"/>
      <c r="DA44" s="319"/>
      <c r="DB44" s="319"/>
      <c r="DC44" s="319"/>
      <c r="DD44" s="319"/>
      <c r="DE44" s="319"/>
      <c r="DF44" s="319"/>
      <c r="DG44" s="319"/>
      <c r="DH44" s="319"/>
      <c r="DI44" s="319"/>
      <c r="DJ44" s="319"/>
      <c r="DK44" s="319"/>
      <c r="DL44" s="319"/>
      <c r="DM44" s="319"/>
      <c r="DN44" s="319"/>
      <c r="DO44" s="319"/>
      <c r="DP44" s="319"/>
      <c r="DQ44" s="319"/>
      <c r="DR44" s="319"/>
      <c r="DS44" s="419">
        <f t="shared" si="32"/>
        <v>0</v>
      </c>
      <c r="DT44" s="57"/>
      <c r="DU44" s="319"/>
      <c r="DV44" s="319"/>
      <c r="DW44" s="319"/>
      <c r="DX44" s="319"/>
      <c r="DY44" s="319"/>
      <c r="DZ44" s="319"/>
      <c r="EA44" s="319"/>
      <c r="EB44" s="319"/>
      <c r="EC44" s="319"/>
      <c r="ED44" s="319"/>
      <c r="EE44" s="319"/>
      <c r="EF44" s="319"/>
      <c r="EG44" s="319"/>
      <c r="EH44" s="319"/>
      <c r="EI44" s="319"/>
      <c r="EJ44" s="319"/>
      <c r="EK44" s="319"/>
      <c r="EL44" s="319"/>
      <c r="EM44" s="319"/>
      <c r="EN44" s="319"/>
      <c r="EO44" s="319"/>
      <c r="EP44" s="319"/>
      <c r="EQ44" s="319"/>
      <c r="ER44" s="245"/>
      <c r="ES44" s="319"/>
      <c r="ET44" s="319"/>
      <c r="EU44" s="319"/>
      <c r="EV44" s="319"/>
      <c r="EW44" s="319"/>
      <c r="EX44" s="319"/>
      <c r="EY44" s="319"/>
      <c r="EZ44" s="177"/>
      <c r="FA44" s="271"/>
      <c r="FB44" s="319"/>
      <c r="FC44" s="319"/>
      <c r="FD44" s="319"/>
      <c r="FE44" s="319"/>
      <c r="FF44" s="319"/>
      <c r="FG44" s="319"/>
      <c r="FH44" s="319"/>
      <c r="FI44" s="319"/>
      <c r="FJ44" s="319"/>
      <c r="FK44" s="319"/>
      <c r="FL44" s="319"/>
      <c r="FM44" s="319"/>
      <c r="FN44" s="319"/>
      <c r="FO44" s="319"/>
      <c r="FP44" s="319"/>
      <c r="FQ44" s="319"/>
      <c r="FR44" s="319"/>
      <c r="FS44" s="319"/>
      <c r="FT44" s="319"/>
      <c r="FU44" s="158">
        <f t="shared" si="25"/>
        <v>0</v>
      </c>
      <c r="FV44" s="113"/>
      <c r="FW44" s="245"/>
      <c r="FX44" s="245"/>
      <c r="FY44" s="245"/>
      <c r="FZ44" s="319"/>
      <c r="GA44" s="319"/>
      <c r="GB44" s="319"/>
      <c r="GC44" s="319"/>
      <c r="GD44" s="319"/>
      <c r="GE44" s="319"/>
      <c r="GF44" s="319"/>
      <c r="GG44" s="319"/>
      <c r="GH44" s="28"/>
      <c r="GI44" s="270"/>
      <c r="GJ44" s="245"/>
      <c r="GK44" s="177"/>
      <c r="GL44" s="271"/>
      <c r="GM44" s="177"/>
      <c r="GN44" s="272"/>
      <c r="GO44" s="435"/>
      <c r="GP44" s="327">
        <f t="shared" si="26"/>
        <v>0</v>
      </c>
      <c r="GQ44" s="445">
        <f t="shared" si="27"/>
        <v>0</v>
      </c>
      <c r="GR44" s="449">
        <f t="shared" si="28"/>
        <v>0</v>
      </c>
      <c r="GS44" s="451">
        <f t="shared" si="29"/>
        <v>0</v>
      </c>
      <c r="GT44" s="239">
        <f t="shared" si="30"/>
        <v>0</v>
      </c>
      <c r="GU44" s="36" t="str">
        <f t="shared" si="31"/>
        <v>Биопромис Селен Пауэр</v>
      </c>
      <c r="GV44" s="664"/>
      <c r="GW44" s="948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</row>
    <row r="45" spans="1:233" s="14" customFormat="1" ht="15" customHeight="1" x14ac:dyDescent="0.3">
      <c r="A45" s="132">
        <f t="shared" si="21"/>
        <v>35</v>
      </c>
      <c r="B45" s="696" t="s">
        <v>121</v>
      </c>
      <c r="C45" s="889">
        <v>60.06</v>
      </c>
      <c r="D45" s="514">
        <f>40.07+58.1</f>
        <v>98.17</v>
      </c>
      <c r="E45" s="192">
        <v>34.56</v>
      </c>
      <c r="F45" s="162">
        <f>7.34+30.92</f>
        <v>38.260000000000005</v>
      </c>
      <c r="G45" s="92">
        <f t="shared" si="9"/>
        <v>56.997</v>
      </c>
      <c r="H45" s="93">
        <v>7.34</v>
      </c>
      <c r="I45" s="93">
        <v>69.08</v>
      </c>
      <c r="J45" s="112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>
        <v>3.0720000000000001</v>
      </c>
      <c r="AH45" s="319"/>
      <c r="AI45" s="319"/>
      <c r="AJ45" s="319">
        <v>88.319000000000003</v>
      </c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319"/>
      <c r="AY45" s="319"/>
      <c r="AZ45" s="319">
        <v>6.7779999999999996</v>
      </c>
      <c r="BA45" s="319"/>
      <c r="BB45" s="319"/>
      <c r="BC45" s="319"/>
      <c r="BD45" s="319"/>
      <c r="BE45" s="319"/>
      <c r="BF45" s="319"/>
      <c r="BG45" s="319"/>
      <c r="BH45" s="319"/>
      <c r="BI45" s="319"/>
      <c r="BJ45" s="158">
        <f t="shared" si="23"/>
        <v>98.169000000000011</v>
      </c>
      <c r="BK45" s="112"/>
      <c r="BL45" s="319"/>
      <c r="BM45" s="319"/>
      <c r="BN45" s="319"/>
      <c r="BO45" s="319"/>
      <c r="BP45" s="319"/>
      <c r="BQ45" s="319"/>
      <c r="BR45" s="319"/>
      <c r="BS45" s="319"/>
      <c r="BT45" s="319"/>
      <c r="BU45" s="319"/>
      <c r="BV45" s="319"/>
      <c r="BW45" s="319"/>
      <c r="BX45" s="319"/>
      <c r="BY45" s="319"/>
      <c r="BZ45" s="319"/>
      <c r="CA45" s="319"/>
      <c r="CB45" s="319"/>
      <c r="CC45" s="319"/>
      <c r="CD45" s="319"/>
      <c r="CE45" s="319"/>
      <c r="CF45" s="319"/>
      <c r="CG45" s="319"/>
      <c r="CH45" s="319"/>
      <c r="CI45" s="319"/>
      <c r="CJ45" s="319"/>
      <c r="CK45" s="319"/>
      <c r="CL45" s="319"/>
      <c r="CM45" s="319"/>
      <c r="CN45" s="319"/>
      <c r="CO45" s="319"/>
      <c r="CP45" s="319"/>
      <c r="CQ45" s="319"/>
      <c r="CR45" s="319"/>
      <c r="CS45" s="177"/>
      <c r="CT45" s="271">
        <v>34.564</v>
      </c>
      <c r="CU45" s="271"/>
      <c r="CV45" s="271"/>
      <c r="CW45" s="319"/>
      <c r="CX45" s="319"/>
      <c r="CY45" s="319"/>
      <c r="CZ45" s="319"/>
      <c r="DA45" s="319"/>
      <c r="DB45" s="319"/>
      <c r="DC45" s="319"/>
      <c r="DD45" s="319"/>
      <c r="DE45" s="319"/>
      <c r="DF45" s="319"/>
      <c r="DG45" s="319"/>
      <c r="DH45" s="319"/>
      <c r="DI45" s="319"/>
      <c r="DJ45" s="319"/>
      <c r="DK45" s="319"/>
      <c r="DL45" s="319"/>
      <c r="DM45" s="319"/>
      <c r="DN45" s="319"/>
      <c r="DO45" s="319"/>
      <c r="DP45" s="319"/>
      <c r="DQ45" s="319"/>
      <c r="DR45" s="319"/>
      <c r="DS45" s="419">
        <f t="shared" si="32"/>
        <v>34.564</v>
      </c>
      <c r="DT45" s="57"/>
      <c r="DU45" s="319"/>
      <c r="DV45" s="319"/>
      <c r="DW45" s="319"/>
      <c r="DX45" s="319"/>
      <c r="DY45" s="319"/>
      <c r="DZ45" s="319"/>
      <c r="EA45" s="319"/>
      <c r="EB45" s="319"/>
      <c r="EC45" s="319"/>
      <c r="ED45" s="319"/>
      <c r="EE45" s="319"/>
      <c r="EF45" s="319"/>
      <c r="EG45" s="319"/>
      <c r="EH45" s="319"/>
      <c r="EI45" s="319"/>
      <c r="EJ45" s="319"/>
      <c r="EK45" s="319"/>
      <c r="EL45" s="319"/>
      <c r="EM45" s="319"/>
      <c r="EN45" s="319"/>
      <c r="EO45" s="319"/>
      <c r="EP45" s="319"/>
      <c r="EQ45" s="319"/>
      <c r="ER45" s="245"/>
      <c r="ES45" s="319"/>
      <c r="ET45" s="319"/>
      <c r="EU45" s="319"/>
      <c r="EV45" s="319"/>
      <c r="EW45" s="319"/>
      <c r="EX45" s="319"/>
      <c r="EY45" s="319"/>
      <c r="EZ45" s="177">
        <f>7.34+27.352</f>
        <v>34.692</v>
      </c>
      <c r="FA45" s="271"/>
      <c r="FB45" s="319"/>
      <c r="FC45" s="319"/>
      <c r="FD45" s="319"/>
      <c r="FE45" s="319"/>
      <c r="FF45" s="319"/>
      <c r="FG45" s="319"/>
      <c r="FH45" s="319"/>
      <c r="FI45" s="319"/>
      <c r="FJ45" s="319"/>
      <c r="FK45" s="319"/>
      <c r="FL45" s="319"/>
      <c r="FM45" s="319"/>
      <c r="FN45" s="319">
        <f>2.978/0.5*0.6</f>
        <v>3.5736000000000003</v>
      </c>
      <c r="FO45" s="319"/>
      <c r="FP45" s="319"/>
      <c r="FQ45" s="319"/>
      <c r="FR45" s="319"/>
      <c r="FS45" s="319"/>
      <c r="FT45" s="319"/>
      <c r="FU45" s="158">
        <f t="shared" si="25"/>
        <v>38.265599999999999</v>
      </c>
      <c r="FV45" s="113"/>
      <c r="FW45" s="245"/>
      <c r="FX45" s="245"/>
      <c r="FY45" s="245"/>
      <c r="FZ45" s="319"/>
      <c r="GA45" s="319"/>
      <c r="GB45" s="319"/>
      <c r="GC45" s="319"/>
      <c r="GD45" s="319"/>
      <c r="GE45" s="319"/>
      <c r="GF45" s="319"/>
      <c r="GG45" s="319"/>
      <c r="GH45" s="28"/>
      <c r="GI45" s="270"/>
      <c r="GJ45" s="245"/>
      <c r="GK45" s="177"/>
      <c r="GL45" s="271"/>
      <c r="GM45" s="177"/>
      <c r="GN45" s="272"/>
      <c r="GO45" s="435"/>
      <c r="GP45" s="327">
        <f t="shared" si="26"/>
        <v>0</v>
      </c>
      <c r="GQ45" s="445">
        <f t="shared" si="27"/>
        <v>69.08</v>
      </c>
      <c r="GR45" s="449">
        <f t="shared" si="28"/>
        <v>69.08</v>
      </c>
      <c r="GS45" s="451">
        <f t="shared" si="29"/>
        <v>56.997</v>
      </c>
      <c r="GT45" s="239">
        <f t="shared" si="30"/>
        <v>34.56</v>
      </c>
      <c r="GU45" s="36" t="str">
        <f t="shared" si="31"/>
        <v>Биопромис Хром пиколинат</v>
      </c>
      <c r="GV45" s="38"/>
      <c r="GW45" s="948"/>
    </row>
    <row r="46" spans="1:233" ht="15" customHeight="1" x14ac:dyDescent="0.3">
      <c r="A46" s="132">
        <f t="shared" si="21"/>
        <v>36</v>
      </c>
      <c r="B46" s="697" t="s">
        <v>207</v>
      </c>
      <c r="C46" s="889">
        <v>119.35</v>
      </c>
      <c r="D46" s="514">
        <v>169.44</v>
      </c>
      <c r="E46" s="192">
        <v>22.07</v>
      </c>
      <c r="F46" s="201">
        <v>104.05</v>
      </c>
      <c r="G46" s="92">
        <f t="shared" si="9"/>
        <v>98.52</v>
      </c>
      <c r="H46" s="93">
        <f>17.37+125</f>
        <v>142.37</v>
      </c>
      <c r="I46" s="93">
        <v>38.32</v>
      </c>
      <c r="J46" s="94"/>
      <c r="K46" s="319"/>
      <c r="L46" s="319"/>
      <c r="M46" s="319"/>
      <c r="N46" s="319"/>
      <c r="O46" s="319">
        <v>4.516</v>
      </c>
      <c r="P46" s="319">
        <v>6.7539999999999996</v>
      </c>
      <c r="Q46" s="319">
        <v>9.5410000000000004</v>
      </c>
      <c r="R46" s="319">
        <f>6.804*3</f>
        <v>20.411999999999999</v>
      </c>
      <c r="S46" s="319"/>
      <c r="T46" s="319">
        <f>5.645</f>
        <v>5.6449999999999996</v>
      </c>
      <c r="U46" s="319"/>
      <c r="V46" s="319">
        <f>6.804*4</f>
        <v>27.216000000000001</v>
      </c>
      <c r="W46" s="319"/>
      <c r="X46" s="319"/>
      <c r="Y46" s="319"/>
      <c r="Z46" s="319"/>
      <c r="AA46" s="319">
        <f>6.804*4</f>
        <v>27.216000000000001</v>
      </c>
      <c r="AB46" s="319"/>
      <c r="AC46" s="319"/>
      <c r="AD46" s="319">
        <v>20.16</v>
      </c>
      <c r="AE46" s="319"/>
      <c r="AF46" s="319"/>
      <c r="AG46" s="319"/>
      <c r="AH46" s="319"/>
      <c r="AI46" s="319"/>
      <c r="AJ46" s="319"/>
      <c r="AK46" s="319"/>
      <c r="AL46" s="319"/>
      <c r="AM46" s="319"/>
      <c r="AN46" s="319"/>
      <c r="AO46" s="319"/>
      <c r="AP46" s="319"/>
      <c r="AQ46" s="319">
        <v>3.4020000000000001</v>
      </c>
      <c r="AR46" s="319">
        <v>2.258</v>
      </c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>
        <f>0.454/0.3</f>
        <v>1.5133333333333334</v>
      </c>
      <c r="BE46" s="319">
        <v>29.937999999999999</v>
      </c>
      <c r="BF46" s="319"/>
      <c r="BG46" s="319"/>
      <c r="BH46" s="319">
        <f>5.645*0.6</f>
        <v>3.3869999999999996</v>
      </c>
      <c r="BI46" s="319">
        <f>6.804*1.1</f>
        <v>7.4844000000000008</v>
      </c>
      <c r="BJ46" s="158">
        <f t="shared" si="23"/>
        <v>169.44273333333331</v>
      </c>
      <c r="BK46" s="94"/>
      <c r="BL46" s="319"/>
      <c r="BM46" s="319"/>
      <c r="BN46" s="319"/>
      <c r="BO46" s="319"/>
      <c r="BP46" s="319"/>
      <c r="BQ46" s="319"/>
      <c r="BR46" s="319"/>
      <c r="BS46" s="319"/>
      <c r="BT46" s="319"/>
      <c r="BU46" s="319"/>
      <c r="BV46" s="319"/>
      <c r="BW46" s="319"/>
      <c r="BX46" s="319"/>
      <c r="BY46" s="319"/>
      <c r="BZ46" s="319">
        <v>3.528</v>
      </c>
      <c r="CA46" s="319"/>
      <c r="CB46" s="319"/>
      <c r="CC46" s="319"/>
      <c r="CD46" s="319"/>
      <c r="CE46" s="319"/>
      <c r="CF46" s="319"/>
      <c r="CG46" s="319"/>
      <c r="CH46" s="319">
        <f>2.066*0.6</f>
        <v>1.2395999999999998</v>
      </c>
      <c r="CI46" s="319">
        <v>3.1749999999999998</v>
      </c>
      <c r="CJ46" s="319"/>
      <c r="CK46" s="319"/>
      <c r="CL46" s="319">
        <f>1.591/0.6*0.9</f>
        <v>2.3865000000000003</v>
      </c>
      <c r="CM46" s="319"/>
      <c r="CN46" s="319"/>
      <c r="CO46" s="319"/>
      <c r="CP46" s="319"/>
      <c r="CQ46" s="319"/>
      <c r="CR46" s="319">
        <v>3.911</v>
      </c>
      <c r="CS46" s="177"/>
      <c r="CT46" s="271"/>
      <c r="CU46" s="271"/>
      <c r="CV46" s="271"/>
      <c r="CW46" s="319"/>
      <c r="CX46" s="319"/>
      <c r="CY46" s="319"/>
      <c r="CZ46" s="319"/>
      <c r="DA46" s="319"/>
      <c r="DB46" s="319"/>
      <c r="DC46" s="319"/>
      <c r="DD46" s="319"/>
      <c r="DE46" s="319"/>
      <c r="DF46" s="319"/>
      <c r="DG46" s="319">
        <v>3.911</v>
      </c>
      <c r="DH46" s="319"/>
      <c r="DI46" s="319"/>
      <c r="DJ46" s="319"/>
      <c r="DK46" s="319"/>
      <c r="DL46" s="319"/>
      <c r="DM46" s="319"/>
      <c r="DN46" s="319">
        <v>3.911</v>
      </c>
      <c r="DO46" s="319"/>
      <c r="DP46" s="319"/>
      <c r="DQ46" s="319"/>
      <c r="DR46" s="319"/>
      <c r="DS46" s="419">
        <f t="shared" si="32"/>
        <v>22.062100000000001</v>
      </c>
      <c r="DT46" s="57"/>
      <c r="DU46" s="319"/>
      <c r="DV46" s="319"/>
      <c r="DW46" s="319"/>
      <c r="DX46" s="319"/>
      <c r="DY46" s="319">
        <f>6.048*1.3</f>
        <v>7.8624000000000001</v>
      </c>
      <c r="DZ46" s="319"/>
      <c r="EA46" s="319"/>
      <c r="EB46" s="319"/>
      <c r="EC46" s="319"/>
      <c r="ED46" s="319">
        <v>2.601</v>
      </c>
      <c r="EE46" s="319"/>
      <c r="EF46" s="319"/>
      <c r="EG46" s="319"/>
      <c r="EH46" s="319"/>
      <c r="EI46" s="319">
        <f>3.911*0.8</f>
        <v>3.1288</v>
      </c>
      <c r="EJ46" s="319"/>
      <c r="EK46" s="319"/>
      <c r="EL46" s="319"/>
      <c r="EM46" s="319">
        <v>49.896000000000001</v>
      </c>
      <c r="EN46" s="319"/>
      <c r="EO46" s="319">
        <f>3.911*5</f>
        <v>19.555</v>
      </c>
      <c r="EP46" s="319"/>
      <c r="EQ46" s="319"/>
      <c r="ER46" s="245">
        <f>18.144*0.3</f>
        <v>5.4431999999999992</v>
      </c>
      <c r="ES46" s="319"/>
      <c r="ET46" s="319"/>
      <c r="EU46" s="319"/>
      <c r="EV46" s="319"/>
      <c r="EW46" s="319"/>
      <c r="EX46" s="319"/>
      <c r="EY46" s="319"/>
      <c r="EZ46" s="177"/>
      <c r="FA46" s="271"/>
      <c r="FB46" s="319">
        <f>1.089/0.6*1.2</f>
        <v>2.1779999999999999</v>
      </c>
      <c r="FC46" s="319"/>
      <c r="FD46" s="319"/>
      <c r="FE46" s="319"/>
      <c r="FF46" s="319"/>
      <c r="FG46" s="319"/>
      <c r="FH46" s="319">
        <f>11.089/0.3*0.1</f>
        <v>3.6963333333333339</v>
      </c>
      <c r="FI46" s="319"/>
      <c r="FJ46" s="319"/>
      <c r="FK46" s="319"/>
      <c r="FL46" s="319">
        <f>3.911*0.7</f>
        <v>2.7376999999999998</v>
      </c>
      <c r="FM46" s="319"/>
      <c r="FN46" s="319"/>
      <c r="FO46" s="319"/>
      <c r="FP46" s="319"/>
      <c r="FQ46" s="319"/>
      <c r="FR46" s="319">
        <v>6.9349999999999996</v>
      </c>
      <c r="FS46" s="319"/>
      <c r="FT46" s="319"/>
      <c r="FU46" s="158">
        <f t="shared" si="25"/>
        <v>104.03343333333333</v>
      </c>
      <c r="FV46" s="95"/>
      <c r="FW46" s="245"/>
      <c r="FX46" s="245"/>
      <c r="FY46" s="245"/>
      <c r="FZ46" s="319"/>
      <c r="GA46" s="319"/>
      <c r="GB46" s="319"/>
      <c r="GC46" s="319"/>
      <c r="GD46" s="319"/>
      <c r="GE46" s="319"/>
      <c r="GF46" s="319"/>
      <c r="GG46" s="319"/>
      <c r="GH46" s="28"/>
      <c r="GI46" s="270"/>
      <c r="GJ46" s="245"/>
      <c r="GK46" s="177"/>
      <c r="GL46" s="271"/>
      <c r="GM46" s="177"/>
      <c r="GN46" s="272"/>
      <c r="GO46" s="435"/>
      <c r="GP46" s="327">
        <f t="shared" si="26"/>
        <v>0</v>
      </c>
      <c r="GQ46" s="445">
        <f t="shared" si="27"/>
        <v>38.32</v>
      </c>
      <c r="GR46" s="449">
        <f t="shared" si="28"/>
        <v>38.32</v>
      </c>
      <c r="GS46" s="451">
        <f t="shared" si="29"/>
        <v>98.52</v>
      </c>
      <c r="GT46" s="239">
        <f t="shared" si="30"/>
        <v>22.07</v>
      </c>
      <c r="GU46" s="36" t="str">
        <f t="shared" si="31"/>
        <v>Виусид-Вет</v>
      </c>
      <c r="GV46" s="402"/>
    </row>
    <row r="47" spans="1:233" ht="15" customHeight="1" x14ac:dyDescent="0.3">
      <c r="A47" s="132">
        <f t="shared" si="21"/>
        <v>37</v>
      </c>
      <c r="B47" s="688" t="s">
        <v>36</v>
      </c>
      <c r="C47" s="889">
        <f>3476.96+8201</f>
        <v>11677.96</v>
      </c>
      <c r="D47" s="514">
        <f>1799+9632</f>
        <v>11431</v>
      </c>
      <c r="E47" s="192">
        <f>368+4000+8630.17</f>
        <v>12998.17</v>
      </c>
      <c r="F47" s="201">
        <f>1369.83+3000+136.77</f>
        <v>4506.6000000000004</v>
      </c>
      <c r="G47" s="92">
        <f t="shared" ref="G47:G57" si="33">ROUND(AVERAGE(D47:F47),3)</f>
        <v>9645.2569999999996</v>
      </c>
      <c r="H47" s="93">
        <v>1369.83</v>
      </c>
      <c r="I47" s="93">
        <v>14863.23</v>
      </c>
      <c r="J47" s="112"/>
      <c r="K47" s="319"/>
      <c r="L47" s="319"/>
      <c r="M47" s="319"/>
      <c r="N47" s="319">
        <v>1058.4000000000001</v>
      </c>
      <c r="O47" s="319"/>
      <c r="P47" s="319">
        <f>131.04</f>
        <v>131.04</v>
      </c>
      <c r="Q47" s="319"/>
      <c r="R47" s="319"/>
      <c r="S47" s="319"/>
      <c r="T47" s="319"/>
      <c r="U47" s="319">
        <f>302.4*1.5</f>
        <v>453.59999999999997</v>
      </c>
      <c r="V47" s="319"/>
      <c r="W47" s="319"/>
      <c r="X47" s="319">
        <f>302.4*7</f>
        <v>2116.7999999999997</v>
      </c>
      <c r="Y47" s="319">
        <f>756*3</f>
        <v>2268</v>
      </c>
      <c r="Z47" s="319">
        <f>302.4*2</f>
        <v>604.79999999999995</v>
      </c>
      <c r="AA47" s="319"/>
      <c r="AB47" s="319">
        <f>302.4*8</f>
        <v>2419.1999999999998</v>
      </c>
      <c r="AC47" s="319"/>
      <c r="AD47" s="319">
        <v>40.32</v>
      </c>
      <c r="AE47" s="319"/>
      <c r="AF47" s="319">
        <v>53.76</v>
      </c>
      <c r="AG47" s="319">
        <v>80.64</v>
      </c>
      <c r="AH47" s="319">
        <v>604.79999999999995</v>
      </c>
      <c r="AI47" s="319"/>
      <c r="AJ47" s="319">
        <v>695.52</v>
      </c>
      <c r="AK47" s="319"/>
      <c r="AL47" s="319">
        <v>120.96</v>
      </c>
      <c r="AM47" s="319"/>
      <c r="AN47" s="319"/>
      <c r="AO47" s="319"/>
      <c r="AP47" s="319"/>
      <c r="AQ47" s="319">
        <v>54.432000000000002</v>
      </c>
      <c r="AR47" s="319">
        <v>40.32</v>
      </c>
      <c r="AS47" s="319">
        <v>80.64</v>
      </c>
      <c r="AT47" s="319"/>
      <c r="AU47" s="319"/>
      <c r="AV47" s="319"/>
      <c r="AW47" s="319"/>
      <c r="AX47" s="319"/>
      <c r="AY47" s="319"/>
      <c r="AZ47" s="319">
        <v>35.576000000000001</v>
      </c>
      <c r="BA47" s="319">
        <v>118.589</v>
      </c>
      <c r="BB47" s="319">
        <v>302.39999999999998</v>
      </c>
      <c r="BC47" s="319"/>
      <c r="BD47" s="319"/>
      <c r="BE47" s="319">
        <v>151.19999999999999</v>
      </c>
      <c r="BF47" s="319"/>
      <c r="BG47" s="319"/>
      <c r="BH47" s="319"/>
      <c r="BI47" s="319"/>
      <c r="BJ47" s="158">
        <f t="shared" si="23"/>
        <v>11430.996999999998</v>
      </c>
      <c r="BK47" s="112"/>
      <c r="BL47" s="319"/>
      <c r="BM47" s="319"/>
      <c r="BN47" s="319"/>
      <c r="BO47" s="319"/>
      <c r="BP47" s="319"/>
      <c r="BQ47" s="319"/>
      <c r="BR47" s="319"/>
      <c r="BS47" s="319">
        <f>302.4*5.4</f>
        <v>1632.96</v>
      </c>
      <c r="BT47" s="319"/>
      <c r="BU47" s="319"/>
      <c r="BV47" s="319"/>
      <c r="BW47" s="319"/>
      <c r="BX47" s="319">
        <f>302.4*2.1</f>
        <v>635.04</v>
      </c>
      <c r="BY47" s="319">
        <f>302.4*2</f>
        <v>604.79999999999995</v>
      </c>
      <c r="BZ47" s="319"/>
      <c r="CA47" s="319"/>
      <c r="CB47" s="319"/>
      <c r="CC47" s="319"/>
      <c r="CD47" s="319"/>
      <c r="CE47" s="319"/>
      <c r="CF47" s="319">
        <f>2419.2/8*6</f>
        <v>1814.3999999999999</v>
      </c>
      <c r="CG47" s="319"/>
      <c r="CH47" s="319">
        <f>131.04*0.6</f>
        <v>78.623999999999995</v>
      </c>
      <c r="CI47" s="319"/>
      <c r="CJ47" s="319">
        <v>2268</v>
      </c>
      <c r="CK47" s="319"/>
      <c r="CL47" s="319">
        <f>36.288/0.6*0.9</f>
        <v>54.431999999999995</v>
      </c>
      <c r="CM47" s="319">
        <v>120.96</v>
      </c>
      <c r="CN47" s="319">
        <v>1058.4000000000001</v>
      </c>
      <c r="CO47" s="319">
        <f>302.4*2</f>
        <v>604.79999999999995</v>
      </c>
      <c r="CP47" s="319"/>
      <c r="CQ47" s="319"/>
      <c r="CR47" s="319"/>
      <c r="CS47" s="177"/>
      <c r="CT47" s="271">
        <v>907.2</v>
      </c>
      <c r="CU47" s="271"/>
      <c r="CV47" s="271"/>
      <c r="CW47" s="319"/>
      <c r="CX47" s="319"/>
      <c r="CY47" s="319">
        <v>28.24</v>
      </c>
      <c r="CZ47" s="319"/>
      <c r="DA47" s="319"/>
      <c r="DB47" s="319"/>
      <c r="DC47" s="319"/>
      <c r="DD47" s="319">
        <v>604.79999999999995</v>
      </c>
      <c r="DE47" s="319"/>
      <c r="DF47" s="319"/>
      <c r="DG47" s="319"/>
      <c r="DH47" s="319"/>
      <c r="DI47" s="319">
        <f>2419.2/8</f>
        <v>302.39999999999998</v>
      </c>
      <c r="DJ47" s="319"/>
      <c r="DK47" s="319"/>
      <c r="DL47" s="319"/>
      <c r="DM47" s="319"/>
      <c r="DN47" s="319"/>
      <c r="DO47" s="319"/>
      <c r="DP47" s="319">
        <f>2419.2/8*7.5</f>
        <v>2268</v>
      </c>
      <c r="DQ47" s="319"/>
      <c r="DR47" s="319">
        <v>15.12</v>
      </c>
      <c r="DS47" s="419">
        <f t="shared" si="32"/>
        <v>12998.175999999999</v>
      </c>
      <c r="DT47" s="57"/>
      <c r="DU47" s="319"/>
      <c r="DV47" s="319"/>
      <c r="DW47" s="319"/>
      <c r="DX47" s="319"/>
      <c r="DY47" s="319"/>
      <c r="DZ47" s="319"/>
      <c r="EA47" s="319"/>
      <c r="EB47" s="319"/>
      <c r="EC47" s="319"/>
      <c r="ED47" s="319">
        <v>60.48</v>
      </c>
      <c r="EE47" s="319">
        <v>53.76</v>
      </c>
      <c r="EF47" s="319">
        <v>302.39999999999998</v>
      </c>
      <c r="EG47" s="319"/>
      <c r="EH47" s="319"/>
      <c r="EI47" s="319"/>
      <c r="EJ47" s="319"/>
      <c r="EK47" s="319"/>
      <c r="EL47" s="319"/>
      <c r="EM47" s="319">
        <v>302.39999999999998</v>
      </c>
      <c r="EN47" s="319">
        <f>2419.2/8*5</f>
        <v>1512</v>
      </c>
      <c r="EO47" s="319"/>
      <c r="EP47" s="319"/>
      <c r="EQ47" s="319"/>
      <c r="ER47" s="245">
        <f>100.8*0.3</f>
        <v>30.24</v>
      </c>
      <c r="ES47" s="319"/>
      <c r="ET47" s="319">
        <v>120.96</v>
      </c>
      <c r="EU47" s="319">
        <v>54.432000000000002</v>
      </c>
      <c r="EV47" s="319"/>
      <c r="EW47" s="319"/>
      <c r="EX47" s="319"/>
      <c r="EY47" s="319"/>
      <c r="EZ47" s="177"/>
      <c r="FA47" s="271"/>
      <c r="FB47" s="319">
        <f>78.624/0.6*1.2</f>
        <v>157.24799999999999</v>
      </c>
      <c r="FC47" s="319">
        <v>945</v>
      </c>
      <c r="FD47" s="319">
        <v>604.79999999999995</v>
      </c>
      <c r="FE47" s="319"/>
      <c r="FF47" s="319"/>
      <c r="FG47" s="319"/>
      <c r="FH47" s="319"/>
      <c r="FI47" s="319"/>
      <c r="FJ47" s="319"/>
      <c r="FK47" s="319"/>
      <c r="FL47" s="319"/>
      <c r="FM47" s="319"/>
      <c r="FN47" s="319"/>
      <c r="FO47" s="319">
        <f>302.4*1.2</f>
        <v>362.87999999999994</v>
      </c>
      <c r="FP47" s="319"/>
      <c r="FQ47" s="319"/>
      <c r="FR47" s="319"/>
      <c r="FS47" s="319"/>
      <c r="FT47" s="319"/>
      <c r="FU47" s="158">
        <f t="shared" si="25"/>
        <v>4506.5999999999995</v>
      </c>
      <c r="FV47" s="113"/>
      <c r="FW47" s="245"/>
      <c r="FX47" s="245"/>
      <c r="FY47" s="245"/>
      <c r="FZ47" s="319"/>
      <c r="GA47" s="319"/>
      <c r="GB47" s="319"/>
      <c r="GC47" s="319"/>
      <c r="GD47" s="319"/>
      <c r="GE47" s="319"/>
      <c r="GF47" s="319"/>
      <c r="GG47" s="319"/>
      <c r="GH47" s="28"/>
      <c r="GI47" s="270"/>
      <c r="GJ47" s="245"/>
      <c r="GK47" s="177"/>
      <c r="GL47" s="271"/>
      <c r="GM47" s="177"/>
      <c r="GN47" s="272"/>
      <c r="GO47" s="435"/>
      <c r="GP47" s="327">
        <f t="shared" si="26"/>
        <v>0</v>
      </c>
      <c r="GQ47" s="445">
        <f t="shared" si="27"/>
        <v>14863.23</v>
      </c>
      <c r="GR47" s="449">
        <f t="shared" si="28"/>
        <v>14863.23</v>
      </c>
      <c r="GS47" s="451">
        <f t="shared" si="29"/>
        <v>9645.2569999999996</v>
      </c>
      <c r="GT47" s="239">
        <f t="shared" si="30"/>
        <v>12998.17</v>
      </c>
      <c r="GU47" s="36" t="str">
        <f t="shared" si="31"/>
        <v xml:space="preserve">Декстроза </v>
      </c>
      <c r="GV47" s="38"/>
      <c r="GW47" s="948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</row>
    <row r="48" spans="1:233" ht="15" customHeight="1" x14ac:dyDescent="0.3">
      <c r="A48" s="127">
        <f t="shared" ref="A48:A57" si="34">A47+1</f>
        <v>38</v>
      </c>
      <c r="B48" s="688" t="s">
        <v>204</v>
      </c>
      <c r="C48" s="903">
        <v>0</v>
      </c>
      <c r="D48" s="1205">
        <v>0</v>
      </c>
      <c r="E48" s="192">
        <v>0</v>
      </c>
      <c r="F48" s="201">
        <v>0</v>
      </c>
      <c r="G48" s="92">
        <f t="shared" si="33"/>
        <v>0</v>
      </c>
      <c r="H48" s="93">
        <v>49.97</v>
      </c>
      <c r="I48" s="93">
        <v>49.97</v>
      </c>
      <c r="J48" s="94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 s="319"/>
      <c r="BE48" s="319"/>
      <c r="BF48" s="319"/>
      <c r="BG48" s="319"/>
      <c r="BH48" s="319"/>
      <c r="BI48" s="319"/>
      <c r="BJ48" s="158">
        <f t="shared" si="23"/>
        <v>0</v>
      </c>
      <c r="BK48" s="94"/>
      <c r="BL48" s="319"/>
      <c r="BM48" s="319"/>
      <c r="BN48" s="319"/>
      <c r="BO48" s="319"/>
      <c r="BP48" s="319"/>
      <c r="BQ48" s="319"/>
      <c r="BR48" s="319"/>
      <c r="BS48" s="319"/>
      <c r="BT48" s="319"/>
      <c r="BU48" s="319"/>
      <c r="BV48" s="319"/>
      <c r="BW48" s="319"/>
      <c r="BX48" s="319"/>
      <c r="BY48" s="319"/>
      <c r="BZ48" s="319"/>
      <c r="CA48" s="319"/>
      <c r="CB48" s="319"/>
      <c r="CC48" s="319"/>
      <c r="CD48" s="319"/>
      <c r="CE48" s="319"/>
      <c r="CF48" s="319"/>
      <c r="CG48" s="319"/>
      <c r="CH48" s="319"/>
      <c r="CI48" s="319"/>
      <c r="CJ48" s="319"/>
      <c r="CK48" s="319"/>
      <c r="CL48" s="319"/>
      <c r="CM48" s="319"/>
      <c r="CN48" s="319"/>
      <c r="CO48" s="319"/>
      <c r="CP48" s="319"/>
      <c r="CQ48" s="319"/>
      <c r="CR48" s="319"/>
      <c r="CS48" s="177"/>
      <c r="CT48" s="271"/>
      <c r="CU48" s="271"/>
      <c r="CV48" s="271"/>
      <c r="CW48" s="319"/>
      <c r="CX48" s="319"/>
      <c r="CY48" s="319"/>
      <c r="CZ48" s="319"/>
      <c r="DA48" s="319"/>
      <c r="DB48" s="319"/>
      <c r="DC48" s="319"/>
      <c r="DD48" s="319"/>
      <c r="DE48" s="319"/>
      <c r="DF48" s="319"/>
      <c r="DG48" s="319"/>
      <c r="DH48" s="319"/>
      <c r="DI48" s="319"/>
      <c r="DJ48" s="319"/>
      <c r="DK48" s="319"/>
      <c r="DL48" s="319"/>
      <c r="DM48" s="319"/>
      <c r="DN48" s="319"/>
      <c r="DO48" s="319"/>
      <c r="DP48" s="319"/>
      <c r="DQ48" s="319"/>
      <c r="DR48" s="319"/>
      <c r="DS48" s="419">
        <f t="shared" si="32"/>
        <v>0</v>
      </c>
      <c r="DT48" s="57"/>
      <c r="DU48" s="319"/>
      <c r="DV48" s="319"/>
      <c r="DW48" s="319"/>
      <c r="DX48" s="319"/>
      <c r="DY48" s="319"/>
      <c r="DZ48" s="319"/>
      <c r="EA48" s="319"/>
      <c r="EB48" s="319"/>
      <c r="EC48" s="319"/>
      <c r="ED48" s="319"/>
      <c r="EE48" s="319"/>
      <c r="EF48" s="319"/>
      <c r="EG48" s="319"/>
      <c r="EH48" s="319"/>
      <c r="EI48" s="319"/>
      <c r="EJ48" s="319"/>
      <c r="EK48" s="319"/>
      <c r="EL48" s="319"/>
      <c r="EM48" s="319"/>
      <c r="EN48" s="319"/>
      <c r="EO48" s="319"/>
      <c r="EP48" s="319"/>
      <c r="EQ48" s="319"/>
      <c r="ER48" s="245"/>
      <c r="ES48" s="319"/>
      <c r="ET48" s="319"/>
      <c r="EU48" s="319"/>
      <c r="EV48" s="319"/>
      <c r="EW48" s="319"/>
      <c r="EX48" s="319"/>
      <c r="EY48" s="319"/>
      <c r="EZ48" s="177"/>
      <c r="FA48" s="271"/>
      <c r="FB48" s="319"/>
      <c r="FC48" s="319"/>
      <c r="FD48" s="319"/>
      <c r="FE48" s="319"/>
      <c r="FF48" s="319"/>
      <c r="FG48" s="319"/>
      <c r="FH48" s="319"/>
      <c r="FI48" s="319"/>
      <c r="FJ48" s="319"/>
      <c r="FK48" s="319"/>
      <c r="FL48" s="319"/>
      <c r="FM48" s="319"/>
      <c r="FN48" s="319"/>
      <c r="FO48" s="319"/>
      <c r="FP48" s="319"/>
      <c r="FQ48" s="319"/>
      <c r="FR48" s="319"/>
      <c r="FS48" s="319"/>
      <c r="FT48" s="319"/>
      <c r="FU48" s="158">
        <f t="shared" si="25"/>
        <v>0</v>
      </c>
      <c r="FV48" s="95"/>
      <c r="FW48" s="245"/>
      <c r="FX48" s="245"/>
      <c r="FY48" s="245"/>
      <c r="FZ48" s="319"/>
      <c r="GA48" s="319"/>
      <c r="GB48" s="319"/>
      <c r="GC48" s="319"/>
      <c r="GD48" s="319"/>
      <c r="GE48" s="319"/>
      <c r="GF48" s="319"/>
      <c r="GG48" s="319"/>
      <c r="GH48" s="28"/>
      <c r="GI48" s="270"/>
      <c r="GJ48" s="245"/>
      <c r="GK48" s="177"/>
      <c r="GL48" s="271"/>
      <c r="GM48" s="177"/>
      <c r="GN48" s="272"/>
      <c r="GO48" s="435"/>
      <c r="GP48" s="327">
        <f t="shared" si="26"/>
        <v>0</v>
      </c>
      <c r="GQ48" s="445">
        <f t="shared" si="27"/>
        <v>49.97</v>
      </c>
      <c r="GR48" s="449">
        <f t="shared" si="28"/>
        <v>49.97</v>
      </c>
      <c r="GS48" s="451">
        <f t="shared" si="29"/>
        <v>0</v>
      </c>
      <c r="GT48" s="239">
        <f t="shared" si="30"/>
        <v>0</v>
      </c>
      <c r="GU48" s="36" t="str">
        <f t="shared" si="31"/>
        <v>Диоксид кремния Экстрасил</v>
      </c>
      <c r="GV48" s="402"/>
    </row>
    <row r="49" spans="1:224" ht="15" customHeight="1" x14ac:dyDescent="0.3">
      <c r="A49" s="127">
        <f t="shared" si="34"/>
        <v>39</v>
      </c>
      <c r="B49" s="691" t="s">
        <v>256</v>
      </c>
      <c r="C49" s="889">
        <f>14.98+626.89</f>
        <v>641.87</v>
      </c>
      <c r="D49" s="262">
        <f>353.11+470.24</f>
        <v>823.35</v>
      </c>
      <c r="E49" s="108">
        <f>529.76+20+511.06</f>
        <v>1060.82</v>
      </c>
      <c r="F49" s="162">
        <v>462.88</v>
      </c>
      <c r="G49" s="92">
        <f t="shared" si="33"/>
        <v>782.35</v>
      </c>
      <c r="H49" s="93">
        <v>488.94</v>
      </c>
      <c r="I49" s="93">
        <f>186.06+840</f>
        <v>1026.06</v>
      </c>
      <c r="J49" s="94"/>
      <c r="K49" s="319"/>
      <c r="L49" s="319">
        <v>66.528000000000006</v>
      </c>
      <c r="M49" s="319">
        <f>16.128*8</f>
        <v>129.024</v>
      </c>
      <c r="N49" s="319"/>
      <c r="O49" s="319"/>
      <c r="P49" s="319"/>
      <c r="Q49" s="319"/>
      <c r="R49" s="319">
        <f>4.032*3</f>
        <v>12.096</v>
      </c>
      <c r="S49" s="319">
        <f>100.8*1.6</f>
        <v>161.28</v>
      </c>
      <c r="T49" s="319"/>
      <c r="U49" s="319">
        <f>4.032*1.5</f>
        <v>6.048</v>
      </c>
      <c r="V49" s="319">
        <f>4.032*4</f>
        <v>16.128</v>
      </c>
      <c r="W49" s="319"/>
      <c r="X49" s="319">
        <f>4.032*7</f>
        <v>28.224</v>
      </c>
      <c r="Y49" s="319"/>
      <c r="Z49" s="319">
        <f>4.032*2</f>
        <v>8.0640000000000001</v>
      </c>
      <c r="AA49" s="319">
        <f>4.032*4</f>
        <v>16.128</v>
      </c>
      <c r="AB49" s="319">
        <f>4.032*8</f>
        <v>32.256</v>
      </c>
      <c r="AC49" s="319">
        <f>16.128*6</f>
        <v>96.768000000000001</v>
      </c>
      <c r="AD49" s="319"/>
      <c r="AE49" s="319"/>
      <c r="AF49" s="319"/>
      <c r="AG49" s="319"/>
      <c r="AH49" s="319">
        <v>12.096</v>
      </c>
      <c r="AI49" s="319"/>
      <c r="AJ49" s="319"/>
      <c r="AK49" s="319"/>
      <c r="AL49" s="319">
        <v>2.419</v>
      </c>
      <c r="AM49" s="319"/>
      <c r="AN49" s="319"/>
      <c r="AO49" s="319"/>
      <c r="AP49" s="319"/>
      <c r="AQ49" s="319"/>
      <c r="AR49" s="319"/>
      <c r="AS49" s="319"/>
      <c r="AT49" s="319"/>
      <c r="AU49" s="319"/>
      <c r="AV49" s="319"/>
      <c r="AW49" s="319">
        <v>66.528000000000006</v>
      </c>
      <c r="AX49" s="319"/>
      <c r="AY49" s="319"/>
      <c r="AZ49" s="319"/>
      <c r="BA49" s="319"/>
      <c r="BB49" s="319">
        <v>4.032</v>
      </c>
      <c r="BC49" s="319"/>
      <c r="BD49" s="319"/>
      <c r="BE49" s="319"/>
      <c r="BF49" s="319"/>
      <c r="BG49" s="319">
        <f>161.28</f>
        <v>161.28</v>
      </c>
      <c r="BH49" s="319"/>
      <c r="BI49" s="319">
        <f>4.032*1.1</f>
        <v>4.4352</v>
      </c>
      <c r="BJ49" s="158">
        <f t="shared" si="23"/>
        <v>823.33420000000001</v>
      </c>
      <c r="BK49" s="94"/>
      <c r="BL49" s="319">
        <v>34.271999999999998</v>
      </c>
      <c r="BM49" s="319">
        <f>100.8*2.5</f>
        <v>252</v>
      </c>
      <c r="BN49" s="319"/>
      <c r="BO49" s="319"/>
      <c r="BP49" s="319"/>
      <c r="BQ49" s="319"/>
      <c r="BR49" s="319"/>
      <c r="BS49" s="319">
        <f>4.032*5.4</f>
        <v>21.7728</v>
      </c>
      <c r="BT49" s="319">
        <v>66.528000000000006</v>
      </c>
      <c r="BU49" s="319"/>
      <c r="BV49" s="319"/>
      <c r="BW49" s="319"/>
      <c r="BX49" s="319">
        <f>4.032*2.1</f>
        <v>8.4672000000000001</v>
      </c>
      <c r="BY49" s="319">
        <f>4.032*2</f>
        <v>8.0640000000000001</v>
      </c>
      <c r="BZ49" s="319"/>
      <c r="CA49" s="319">
        <f>4.032*4</f>
        <v>16.128</v>
      </c>
      <c r="CB49" s="319"/>
      <c r="CC49" s="319"/>
      <c r="CD49" s="319">
        <f>4.032*4</f>
        <v>16.128</v>
      </c>
      <c r="CE49" s="319"/>
      <c r="CF49" s="319">
        <f>32.256/8*6</f>
        <v>24.192</v>
      </c>
      <c r="CG49" s="319"/>
      <c r="CH49" s="319"/>
      <c r="CI49" s="319"/>
      <c r="CJ49" s="319">
        <v>60.48</v>
      </c>
      <c r="CK49" s="319"/>
      <c r="CL49" s="319"/>
      <c r="CM49" s="319">
        <v>2.419</v>
      </c>
      <c r="CN49" s="319"/>
      <c r="CO49" s="319">
        <f>4.032*2</f>
        <v>8.0640000000000001</v>
      </c>
      <c r="CP49" s="319"/>
      <c r="CQ49" s="319">
        <v>66.528000000000006</v>
      </c>
      <c r="CR49" s="319"/>
      <c r="CS49" s="177">
        <v>24.192</v>
      </c>
      <c r="CT49" s="271">
        <v>72.575999999999993</v>
      </c>
      <c r="CU49" s="271"/>
      <c r="CV49" s="271"/>
      <c r="CW49" s="319"/>
      <c r="CX49" s="319">
        <f>161.28</f>
        <v>161.28</v>
      </c>
      <c r="CY49" s="319"/>
      <c r="CZ49" s="319"/>
      <c r="DA49" s="319"/>
      <c r="DB49" s="319"/>
      <c r="DC49" s="319"/>
      <c r="DD49" s="319">
        <v>12.096</v>
      </c>
      <c r="DE49" s="319"/>
      <c r="DF49" s="319"/>
      <c r="DG49" s="319"/>
      <c r="DH49" s="319">
        <f>4.032</f>
        <v>4.032</v>
      </c>
      <c r="DI49" s="319">
        <f>32.256/8</f>
        <v>4.032</v>
      </c>
      <c r="DJ49" s="319">
        <f>161.28/1.6*1.5</f>
        <v>151.19999999999999</v>
      </c>
      <c r="DK49" s="319"/>
      <c r="DL49" s="319"/>
      <c r="DM49" s="319"/>
      <c r="DN49" s="319"/>
      <c r="DO49" s="319">
        <f>4.032*4</f>
        <v>16.128</v>
      </c>
      <c r="DP49" s="319">
        <f>32.256/8*7.5</f>
        <v>30.240000000000002</v>
      </c>
      <c r="DQ49" s="319"/>
      <c r="DR49" s="319"/>
      <c r="DS49" s="419">
        <f t="shared" si="32"/>
        <v>1060.819</v>
      </c>
      <c r="DT49" s="57"/>
      <c r="DU49" s="319"/>
      <c r="DV49" s="319"/>
      <c r="DW49" s="319"/>
      <c r="DX49" s="319"/>
      <c r="DY49" s="319"/>
      <c r="DZ49" s="319"/>
      <c r="EA49" s="319"/>
      <c r="EB49" s="319">
        <f>16.128*10</f>
        <v>161.28</v>
      </c>
      <c r="EC49" s="319"/>
      <c r="ED49" s="319"/>
      <c r="EE49" s="319"/>
      <c r="EF49" s="319">
        <v>4.032</v>
      </c>
      <c r="EG49" s="319"/>
      <c r="EH49" s="319"/>
      <c r="EI49" s="319"/>
      <c r="EJ49" s="319">
        <f>4.032*1.5</f>
        <v>6.048</v>
      </c>
      <c r="EK49" s="319"/>
      <c r="EL49" s="319"/>
      <c r="EM49" s="319"/>
      <c r="EN49" s="319">
        <f>32.256/8*5</f>
        <v>20.16</v>
      </c>
      <c r="EO49" s="319"/>
      <c r="EP49" s="319">
        <f>4.032*2</f>
        <v>8.0640000000000001</v>
      </c>
      <c r="EQ49" s="319">
        <v>66.528000000000006</v>
      </c>
      <c r="ER49" s="245"/>
      <c r="ES49" s="319">
        <f>4.032*3</f>
        <v>12.096</v>
      </c>
      <c r="ET49" s="319">
        <v>2.419</v>
      </c>
      <c r="EU49" s="319"/>
      <c r="EV49" s="319"/>
      <c r="EW49" s="319"/>
      <c r="EX49" s="319"/>
      <c r="EY49" s="319"/>
      <c r="EZ49" s="177"/>
      <c r="FA49" s="271"/>
      <c r="FB49" s="319"/>
      <c r="FC49" s="319"/>
      <c r="FD49" s="319">
        <v>12.096</v>
      </c>
      <c r="FE49" s="319"/>
      <c r="FF49" s="319"/>
      <c r="FG49" s="319"/>
      <c r="FH49" s="319"/>
      <c r="FI49" s="319"/>
      <c r="FJ49" s="319">
        <f>16.128*10</f>
        <v>161.28</v>
      </c>
      <c r="FK49" s="319"/>
      <c r="FL49" s="319"/>
      <c r="FM49" s="319"/>
      <c r="FN49" s="319"/>
      <c r="FO49" s="319">
        <f>4.032*1.2</f>
        <v>4.8384</v>
      </c>
      <c r="FP49" s="319"/>
      <c r="FQ49" s="319"/>
      <c r="FR49" s="319"/>
      <c r="FS49" s="319">
        <f>4.032</f>
        <v>4.032</v>
      </c>
      <c r="FT49" s="319"/>
      <c r="FU49" s="158">
        <f t="shared" si="25"/>
        <v>462.8734</v>
      </c>
      <c r="FV49" s="95"/>
      <c r="FW49" s="245"/>
      <c r="FX49" s="245"/>
      <c r="FY49" s="245"/>
      <c r="FZ49" s="319"/>
      <c r="GA49" s="319"/>
      <c r="GB49" s="319"/>
      <c r="GC49" s="319"/>
      <c r="GD49" s="319"/>
      <c r="GE49" s="319"/>
      <c r="GF49" s="319"/>
      <c r="GG49" s="319"/>
      <c r="GH49" s="28"/>
      <c r="GI49" s="270"/>
      <c r="GJ49" s="245"/>
      <c r="GK49" s="177"/>
      <c r="GL49" s="271"/>
      <c r="GM49" s="177"/>
      <c r="GN49" s="272"/>
      <c r="GO49" s="435"/>
      <c r="GP49" s="327">
        <f t="shared" si="26"/>
        <v>0</v>
      </c>
      <c r="GQ49" s="445">
        <f t="shared" si="27"/>
        <v>1026.06</v>
      </c>
      <c r="GR49" s="449">
        <f t="shared" si="28"/>
        <v>1026.06</v>
      </c>
      <c r="GS49" s="451">
        <f t="shared" si="29"/>
        <v>782.35</v>
      </c>
      <c r="GT49" s="239">
        <f t="shared" si="30"/>
        <v>1060.82</v>
      </c>
      <c r="GU49" s="36" t="str">
        <f t="shared" si="31"/>
        <v>Дрожжевые клетки Saccharomyces</v>
      </c>
      <c r="GV49" s="402"/>
      <c r="HG49" s="14"/>
      <c r="HH49" s="14"/>
      <c r="HI49" s="14"/>
      <c r="HJ49" s="14"/>
      <c r="HK49" s="14"/>
      <c r="HL49" s="14"/>
      <c r="HM49" s="14"/>
      <c r="HN49" s="14"/>
      <c r="HO49" s="14"/>
      <c r="HP49" s="14"/>
    </row>
    <row r="50" spans="1:224" ht="15" customHeight="1" x14ac:dyDescent="0.3">
      <c r="A50" s="127">
        <f t="shared" si="34"/>
        <v>40</v>
      </c>
      <c r="B50" s="698" t="s">
        <v>18</v>
      </c>
      <c r="C50" s="889">
        <f>65.742+6.378</f>
        <v>72.12</v>
      </c>
      <c r="D50" s="262">
        <v>25.19</v>
      </c>
      <c r="E50" s="108">
        <f>52.89</f>
        <v>52.89</v>
      </c>
      <c r="F50" s="162">
        <v>48.77</v>
      </c>
      <c r="G50" s="92">
        <f t="shared" si="33"/>
        <v>42.283000000000001</v>
      </c>
      <c r="H50" s="879">
        <v>15.542</v>
      </c>
      <c r="I50" s="879">
        <v>66.772000000000006</v>
      </c>
      <c r="J50" s="146"/>
      <c r="K50" s="319">
        <f>0.449*3</f>
        <v>1.347</v>
      </c>
      <c r="L50" s="319">
        <v>1.216</v>
      </c>
      <c r="M50" s="319"/>
      <c r="N50" s="319"/>
      <c r="O50" s="319">
        <v>0.40300000000000002</v>
      </c>
      <c r="P50" s="319">
        <f>0.05</f>
        <v>0.05</v>
      </c>
      <c r="Q50" s="319">
        <v>7.5999999999999998E-2</v>
      </c>
      <c r="R50" s="319">
        <f>0.151*3</f>
        <v>0.45299999999999996</v>
      </c>
      <c r="S50" s="319"/>
      <c r="T50" s="319">
        <f>0.469</f>
        <v>0.46899999999999997</v>
      </c>
      <c r="U50" s="319">
        <f>0.151*1.5</f>
        <v>0.22649999999999998</v>
      </c>
      <c r="V50" s="319">
        <f>0.151*4</f>
        <v>0.60399999999999998</v>
      </c>
      <c r="W50" s="319">
        <f>0.449*1.5</f>
        <v>0.67349999999999999</v>
      </c>
      <c r="X50" s="319">
        <f>0.151*7</f>
        <v>1.0569999999999999</v>
      </c>
      <c r="Y50" s="319"/>
      <c r="Z50" s="319">
        <f>0.151*2</f>
        <v>0.30199999999999999</v>
      </c>
      <c r="AA50" s="319">
        <f>0.151*4</f>
        <v>0.60399999999999998</v>
      </c>
      <c r="AB50" s="319">
        <f>0.151*8</f>
        <v>1.208</v>
      </c>
      <c r="AC50" s="319"/>
      <c r="AD50" s="319">
        <v>0.01</v>
      </c>
      <c r="AE50" s="319">
        <v>1.8140000000000001</v>
      </c>
      <c r="AF50" s="319"/>
      <c r="AG50" s="319"/>
      <c r="AH50" s="319">
        <v>0.45400000000000001</v>
      </c>
      <c r="AI50" s="319">
        <f>0.405*4</f>
        <v>1.62</v>
      </c>
      <c r="AJ50" s="319"/>
      <c r="AK50" s="319">
        <v>0.49199999999999999</v>
      </c>
      <c r="AL50" s="319">
        <v>9.0999999999999998E-2</v>
      </c>
      <c r="AM50" s="319">
        <v>0.39</v>
      </c>
      <c r="AN50" s="319">
        <v>0.39300000000000002</v>
      </c>
      <c r="AO50" s="319">
        <f>0.488*2</f>
        <v>0.97599999999999998</v>
      </c>
      <c r="AP50" s="245">
        <f>0.469*1.3</f>
        <v>0.60970000000000002</v>
      </c>
      <c r="AQ50" s="319">
        <v>0.13600000000000001</v>
      </c>
      <c r="AR50" s="319"/>
      <c r="AS50" s="319"/>
      <c r="AT50" s="319">
        <v>3.024</v>
      </c>
      <c r="AU50" s="319">
        <v>0.151</v>
      </c>
      <c r="AV50" s="319">
        <f>0.469</f>
        <v>0.46899999999999997</v>
      </c>
      <c r="AW50" s="319">
        <v>1.216</v>
      </c>
      <c r="AX50" s="319">
        <f>0.449*1.2</f>
        <v>0.53879999999999995</v>
      </c>
      <c r="AY50" s="319">
        <v>2.2679999999999998</v>
      </c>
      <c r="AZ50" s="319"/>
      <c r="BA50" s="319"/>
      <c r="BB50" s="319">
        <v>0.151</v>
      </c>
      <c r="BC50" s="319">
        <f>0.015</f>
        <v>1.4999999999999999E-2</v>
      </c>
      <c r="BD50" s="319">
        <f>0.141/0.3</f>
        <v>0.47</v>
      </c>
      <c r="BE50" s="319">
        <v>0.75600000000000001</v>
      </c>
      <c r="BF50" s="319"/>
      <c r="BG50" s="319"/>
      <c r="BH50" s="319">
        <f>0.469*0.6</f>
        <v>0.28139999999999998</v>
      </c>
      <c r="BI50" s="319">
        <f>0.151*1.1</f>
        <v>0.1661</v>
      </c>
      <c r="BJ50" s="158">
        <f t="shared" si="23"/>
        <v>25.181000000000004</v>
      </c>
      <c r="BK50" s="146"/>
      <c r="BL50" s="319">
        <v>2.4700000000000002</v>
      </c>
      <c r="BM50" s="319"/>
      <c r="BN50" s="319">
        <f>0.469*1.5</f>
        <v>0.70350000000000001</v>
      </c>
      <c r="BO50" s="319">
        <f>0.405*2.4</f>
        <v>0.97199999999999998</v>
      </c>
      <c r="BP50" s="319">
        <v>0.46899999999999997</v>
      </c>
      <c r="BQ50" s="319">
        <f>0.449*3</f>
        <v>1.347</v>
      </c>
      <c r="BR50" s="319">
        <v>0.504</v>
      </c>
      <c r="BS50" s="319">
        <f>0.151*5.4</f>
        <v>0.81540000000000001</v>
      </c>
      <c r="BT50" s="319">
        <v>1.216</v>
      </c>
      <c r="BU50" s="319">
        <f>0.449*1.9</f>
        <v>0.85309999999999997</v>
      </c>
      <c r="BV50" s="319">
        <v>0.23400000000000001</v>
      </c>
      <c r="BW50" s="319">
        <v>0.14399999999999999</v>
      </c>
      <c r="BX50" s="319">
        <f>0.151*2.1</f>
        <v>0.31709999999999999</v>
      </c>
      <c r="BY50" s="319">
        <f>0.151*2</f>
        <v>0.30199999999999999</v>
      </c>
      <c r="BZ50" s="319">
        <f>0.469</f>
        <v>0.46899999999999997</v>
      </c>
      <c r="CA50" s="319">
        <f>0.151*4</f>
        <v>0.60399999999999998</v>
      </c>
      <c r="CB50" s="319">
        <f>0.449*3</f>
        <v>1.347</v>
      </c>
      <c r="CC50" s="319">
        <f>0.538/1.2*3</f>
        <v>1.3450000000000002</v>
      </c>
      <c r="CD50" s="319">
        <f>0.151*4</f>
        <v>0.60399999999999998</v>
      </c>
      <c r="CE50" s="319">
        <v>0.46899999999999997</v>
      </c>
      <c r="CF50" s="319">
        <f>1.21/8*6</f>
        <v>0.90749999999999997</v>
      </c>
      <c r="CG50" s="319">
        <v>0.151</v>
      </c>
      <c r="CH50" s="319">
        <f>0.05*0.6</f>
        <v>0.03</v>
      </c>
      <c r="CI50" s="319">
        <v>7.5999999999999998E-2</v>
      </c>
      <c r="CJ50" s="319"/>
      <c r="CK50" s="319">
        <f>0.39/0.8*0.9</f>
        <v>0.43874999999999997</v>
      </c>
      <c r="CL50" s="319">
        <f>0.091/0.6*0.9</f>
        <v>0.13650000000000001</v>
      </c>
      <c r="CM50" s="319">
        <v>9.0999999999999998E-2</v>
      </c>
      <c r="CN50" s="319"/>
      <c r="CO50" s="319">
        <f>0.151*2</f>
        <v>0.30199999999999999</v>
      </c>
      <c r="CP50" s="319">
        <f>0.469*0.3</f>
        <v>0.14069999999999999</v>
      </c>
      <c r="CQ50" s="319">
        <v>1.216</v>
      </c>
      <c r="CR50" s="319">
        <v>0.46899999999999997</v>
      </c>
      <c r="CS50" s="177">
        <v>20.16</v>
      </c>
      <c r="CT50" s="271"/>
      <c r="CU50" s="271">
        <v>2.016</v>
      </c>
      <c r="CV50" s="271"/>
      <c r="CW50" s="319"/>
      <c r="CX50" s="319"/>
      <c r="CY50" s="319"/>
      <c r="CZ50" s="319">
        <f>0.39/0.8*3</f>
        <v>1.4624999999999999</v>
      </c>
      <c r="DA50" s="245">
        <f>0.609/1.3*1.5</f>
        <v>0.70269230769230762</v>
      </c>
      <c r="DB50" s="319">
        <f>0.492*2</f>
        <v>0.98399999999999999</v>
      </c>
      <c r="DC50" s="319">
        <f>1.621/4*4.5</f>
        <v>1.8236250000000001</v>
      </c>
      <c r="DD50" s="319">
        <v>0.45400000000000001</v>
      </c>
      <c r="DE50" s="319">
        <v>0.39300000000000002</v>
      </c>
      <c r="DF50" s="319">
        <f>0.151*0.6</f>
        <v>9.06E-2</v>
      </c>
      <c r="DG50" s="319">
        <f>0.469</f>
        <v>0.46899999999999997</v>
      </c>
      <c r="DH50" s="319">
        <f>0.151</f>
        <v>0.151</v>
      </c>
      <c r="DI50" s="319">
        <f>1.21/8</f>
        <v>0.15125</v>
      </c>
      <c r="DJ50" s="319"/>
      <c r="DK50" s="319"/>
      <c r="DL50" s="319">
        <f>0.449*3</f>
        <v>1.347</v>
      </c>
      <c r="DM50" s="319">
        <f>0.449*3</f>
        <v>1.347</v>
      </c>
      <c r="DN50" s="319">
        <f>0.469</f>
        <v>0.46899999999999997</v>
      </c>
      <c r="DO50" s="319">
        <f>0.151*4</f>
        <v>0.60399999999999998</v>
      </c>
      <c r="DP50" s="319">
        <f>1.21/8*7.5</f>
        <v>1.1343749999999999</v>
      </c>
      <c r="DQ50" s="319"/>
      <c r="DR50" s="319"/>
      <c r="DS50" s="419">
        <f t="shared" si="32"/>
        <v>52.902592307692316</v>
      </c>
      <c r="DT50" s="147"/>
      <c r="DU50" s="319">
        <v>0.97299999999999998</v>
      </c>
      <c r="DV50" s="319">
        <v>0.67300000000000004</v>
      </c>
      <c r="DW50" s="319">
        <v>0.14099999999999999</v>
      </c>
      <c r="DX50" s="319">
        <f>0.39/0.8*0.9</f>
        <v>0.43874999999999997</v>
      </c>
      <c r="DY50" s="319">
        <f>0.469*1.3</f>
        <v>0.60970000000000002</v>
      </c>
      <c r="DZ50" s="319">
        <v>0.03</v>
      </c>
      <c r="EA50" s="319"/>
      <c r="EB50" s="319"/>
      <c r="EC50" s="319">
        <v>3.024</v>
      </c>
      <c r="ED50" s="319"/>
      <c r="EE50" s="319"/>
      <c r="EF50" s="319">
        <v>0.151</v>
      </c>
      <c r="EG50" s="319">
        <f>0.144/0.3*0.6</f>
        <v>0.28799999999999998</v>
      </c>
      <c r="EH50" s="319">
        <v>0.13500000000000001</v>
      </c>
      <c r="EI50" s="319">
        <f>0.469*0.8</f>
        <v>0.37519999999999998</v>
      </c>
      <c r="EJ50" s="319">
        <f>0.151*1.5</f>
        <v>0.22649999999999998</v>
      </c>
      <c r="EK50" s="319">
        <v>0.151</v>
      </c>
      <c r="EL50" s="319">
        <v>0.151</v>
      </c>
      <c r="EM50" s="319">
        <v>1.512</v>
      </c>
      <c r="EN50" s="319">
        <f>1.21/8*5</f>
        <v>0.75624999999999998</v>
      </c>
      <c r="EO50" s="319">
        <f>0.469*5</f>
        <v>2.3449999999999998</v>
      </c>
      <c r="EP50" s="319">
        <f>0.151*2</f>
        <v>0.30199999999999999</v>
      </c>
      <c r="EQ50" s="319">
        <v>1.216</v>
      </c>
      <c r="ER50" s="245">
        <f>0.504*0.3</f>
        <v>0.1512</v>
      </c>
      <c r="ES50" s="319">
        <f>0.151*3</f>
        <v>0.45299999999999996</v>
      </c>
      <c r="ET50" s="319">
        <v>9.0999999999999998E-2</v>
      </c>
      <c r="EU50" s="319">
        <v>0.13600000000000001</v>
      </c>
      <c r="EV50" s="319">
        <v>0.19700000000000001</v>
      </c>
      <c r="EW50" s="319">
        <f>0.492*2</f>
        <v>0.98399999999999999</v>
      </c>
      <c r="EX50" s="319">
        <f>1.621/4*5</f>
        <v>2.0262500000000001</v>
      </c>
      <c r="EY50" s="245">
        <f>0.609/1.3*2</f>
        <v>0.93692307692307686</v>
      </c>
      <c r="EZ50" s="177"/>
      <c r="FA50" s="271">
        <v>20.16</v>
      </c>
      <c r="FB50" s="319">
        <f>0.03/0.6*1.2</f>
        <v>0.06</v>
      </c>
      <c r="FC50" s="319"/>
      <c r="FD50" s="319">
        <v>0.45400000000000001</v>
      </c>
      <c r="FE50" s="319">
        <f>0.39/0.8*2.5</f>
        <v>1.21875</v>
      </c>
      <c r="FF50" s="319">
        <f>0.673/1.5*1.1</f>
        <v>0.49353333333333343</v>
      </c>
      <c r="FG50" s="319">
        <v>1.794</v>
      </c>
      <c r="FH50" s="319"/>
      <c r="FI50" s="319">
        <f>0.673/1.5*0.6</f>
        <v>0.26919999999999999</v>
      </c>
      <c r="FJ50" s="319"/>
      <c r="FK50" s="319">
        <f>1.346</f>
        <v>1.3460000000000001</v>
      </c>
      <c r="FL50" s="319">
        <f>0.469*0.7</f>
        <v>0.32829999999999998</v>
      </c>
      <c r="FM50" s="319">
        <v>0.46899999999999997</v>
      </c>
      <c r="FN50" s="319">
        <f>0.025/0.5*0.6</f>
        <v>0.03</v>
      </c>
      <c r="FO50" s="319">
        <f>0.151*1.2</f>
        <v>0.1812</v>
      </c>
      <c r="FP50" s="319">
        <f>1.346</f>
        <v>1.3460000000000001</v>
      </c>
      <c r="FQ50" s="319">
        <f>1.346</f>
        <v>1.3460000000000001</v>
      </c>
      <c r="FR50" s="319">
        <v>0.375</v>
      </c>
      <c r="FS50" s="319">
        <f>0.151</f>
        <v>0.151</v>
      </c>
      <c r="FT50" s="319">
        <f>0.144/0.3*0.6</f>
        <v>0.28799999999999998</v>
      </c>
      <c r="FU50" s="158">
        <f t="shared" si="25"/>
        <v>48.783756410256409</v>
      </c>
      <c r="FV50" s="95"/>
      <c r="FW50" s="245"/>
      <c r="FX50" s="245"/>
      <c r="FY50" s="245"/>
      <c r="FZ50" s="319"/>
      <c r="GA50" s="319"/>
      <c r="GB50" s="319"/>
      <c r="GC50" s="319"/>
      <c r="GD50" s="319"/>
      <c r="GE50" s="319"/>
      <c r="GF50" s="319"/>
      <c r="GG50" s="319"/>
      <c r="GH50" s="28"/>
      <c r="GI50" s="270"/>
      <c r="GJ50" s="245"/>
      <c r="GK50" s="177"/>
      <c r="GL50" s="271"/>
      <c r="GM50" s="177"/>
      <c r="GN50" s="272"/>
      <c r="GO50" s="435"/>
      <c r="GP50" s="327">
        <f t="shared" si="26"/>
        <v>0</v>
      </c>
      <c r="GQ50" s="445">
        <f t="shared" si="27"/>
        <v>66.772000000000006</v>
      </c>
      <c r="GR50" s="449">
        <f t="shared" si="28"/>
        <v>66.772000000000006</v>
      </c>
      <c r="GS50" s="451">
        <f t="shared" si="29"/>
        <v>42.283000000000001</v>
      </c>
      <c r="GT50" s="239">
        <f t="shared" si="30"/>
        <v>52.89</v>
      </c>
      <c r="GU50" s="36" t="str">
        <f t="shared" si="31"/>
        <v>Оксикап</v>
      </c>
      <c r="GV50" s="231"/>
      <c r="GW50" s="948"/>
      <c r="HG50" s="14"/>
      <c r="HH50" s="14"/>
      <c r="HI50" s="14"/>
      <c r="HJ50" s="14"/>
      <c r="HK50" s="14"/>
      <c r="HL50" s="14"/>
      <c r="HM50" s="14"/>
      <c r="HN50" s="14"/>
      <c r="HO50" s="14"/>
      <c r="HP50" s="14"/>
    </row>
    <row r="51" spans="1:224" ht="15" customHeight="1" x14ac:dyDescent="0.3">
      <c r="A51" s="127">
        <f t="shared" si="34"/>
        <v>41</v>
      </c>
      <c r="B51" s="904" t="s">
        <v>444</v>
      </c>
      <c r="C51" s="889">
        <v>0</v>
      </c>
      <c r="D51" s="262">
        <v>3.01</v>
      </c>
      <c r="E51" s="108">
        <f>16.99+0.3</f>
        <v>17.29</v>
      </c>
      <c r="F51" s="162">
        <v>5.65</v>
      </c>
      <c r="G51" s="92">
        <f t="shared" si="33"/>
        <v>8.65</v>
      </c>
      <c r="H51" s="879">
        <v>19.7</v>
      </c>
      <c r="I51" s="879">
        <v>14.05</v>
      </c>
      <c r="J51" s="146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>
        <f>0.504*3</f>
        <v>1.512</v>
      </c>
      <c r="Z51" s="319"/>
      <c r="AA51" s="319"/>
      <c r="AB51" s="319"/>
      <c r="AC51" s="319"/>
      <c r="AD51" s="319"/>
      <c r="AE51" s="319"/>
      <c r="AF51" s="319"/>
      <c r="AG51" s="319"/>
      <c r="AH51" s="319"/>
      <c r="AI51" s="319"/>
      <c r="AJ51" s="319"/>
      <c r="AK51" s="319"/>
      <c r="AL51" s="319"/>
      <c r="AM51" s="319"/>
      <c r="AN51" s="319"/>
      <c r="AO51" s="319"/>
      <c r="AP51" s="319"/>
      <c r="AQ51" s="319"/>
      <c r="AR51" s="319">
        <v>0.80600000000000005</v>
      </c>
      <c r="AS51" s="319">
        <v>0.68500000000000005</v>
      </c>
      <c r="AT51" s="319"/>
      <c r="AU51" s="319"/>
      <c r="AV51" s="319"/>
      <c r="AW51" s="319"/>
      <c r="AX51" s="319"/>
      <c r="AY51" s="319"/>
      <c r="AZ51" s="319"/>
      <c r="BA51" s="319"/>
      <c r="BB51" s="319"/>
      <c r="BC51" s="319"/>
      <c r="BD51" s="319"/>
      <c r="BE51" s="319"/>
      <c r="BF51" s="319"/>
      <c r="BG51" s="319"/>
      <c r="BH51" s="319"/>
      <c r="BI51" s="319"/>
      <c r="BJ51" s="158">
        <f t="shared" si="23"/>
        <v>3.0030000000000001</v>
      </c>
      <c r="BK51" s="146"/>
      <c r="BL51" s="319"/>
      <c r="BM51" s="319"/>
      <c r="BN51" s="319"/>
      <c r="BO51" s="319"/>
      <c r="BP51" s="319"/>
      <c r="BQ51" s="319"/>
      <c r="BR51" s="319"/>
      <c r="BS51" s="319"/>
      <c r="BT51" s="319"/>
      <c r="BU51" s="319"/>
      <c r="BV51" s="319"/>
      <c r="BW51" s="319"/>
      <c r="BX51" s="319"/>
      <c r="BY51" s="319"/>
      <c r="BZ51" s="319"/>
      <c r="CA51" s="319"/>
      <c r="CB51" s="319"/>
      <c r="CC51" s="319"/>
      <c r="CD51" s="319"/>
      <c r="CE51" s="319"/>
      <c r="CF51" s="319"/>
      <c r="CG51" s="319">
        <v>0.998</v>
      </c>
      <c r="CH51" s="319">
        <f>2.016*0.6</f>
        <v>1.2096</v>
      </c>
      <c r="CI51" s="319">
        <v>3.024</v>
      </c>
      <c r="CJ51" s="319">
        <v>11.76</v>
      </c>
      <c r="CK51" s="319"/>
      <c r="CL51" s="319"/>
      <c r="CM51" s="319"/>
      <c r="CN51" s="319"/>
      <c r="CO51" s="319"/>
      <c r="CP51" s="319"/>
      <c r="CQ51" s="319"/>
      <c r="CR51" s="319"/>
      <c r="CS51" s="177"/>
      <c r="CT51" s="271"/>
      <c r="CU51" s="271"/>
      <c r="CV51" s="271"/>
      <c r="CW51" s="319"/>
      <c r="CX51" s="319"/>
      <c r="CY51" s="319"/>
      <c r="CZ51" s="319"/>
      <c r="DA51" s="319"/>
      <c r="DB51" s="319"/>
      <c r="DC51" s="319"/>
      <c r="DD51" s="319"/>
      <c r="DE51" s="319"/>
      <c r="DF51" s="319"/>
      <c r="DG51" s="319"/>
      <c r="DH51" s="319"/>
      <c r="DI51" s="319"/>
      <c r="DJ51" s="319"/>
      <c r="DK51" s="319"/>
      <c r="DL51" s="319"/>
      <c r="DM51" s="319"/>
      <c r="DN51" s="319"/>
      <c r="DO51" s="319"/>
      <c r="DP51" s="319"/>
      <c r="DQ51" s="319"/>
      <c r="DR51" s="319">
        <v>0.30199999999999999</v>
      </c>
      <c r="DS51" s="419">
        <f t="shared" si="32"/>
        <v>17.293599999999998</v>
      </c>
      <c r="DT51" s="147"/>
      <c r="DU51" s="319"/>
      <c r="DV51" s="319"/>
      <c r="DW51" s="319"/>
      <c r="DX51" s="319"/>
      <c r="DY51" s="319"/>
      <c r="DZ51" s="319"/>
      <c r="EA51" s="319"/>
      <c r="EB51" s="319"/>
      <c r="EC51" s="319"/>
      <c r="ED51" s="319">
        <v>1.21</v>
      </c>
      <c r="EE51" s="319"/>
      <c r="EF51" s="319"/>
      <c r="EG51" s="319"/>
      <c r="EH51" s="319"/>
      <c r="EI51" s="319"/>
      <c r="EJ51" s="319"/>
      <c r="EK51" s="319"/>
      <c r="EL51" s="319"/>
      <c r="EM51" s="319"/>
      <c r="EN51" s="319"/>
      <c r="EO51" s="319"/>
      <c r="EP51" s="319"/>
      <c r="EQ51" s="319"/>
      <c r="ER51" s="245"/>
      <c r="ES51" s="319"/>
      <c r="ET51" s="319"/>
      <c r="EU51" s="319"/>
      <c r="EV51" s="319"/>
      <c r="EW51" s="319"/>
      <c r="EX51" s="319"/>
      <c r="EY51" s="319"/>
      <c r="EZ51" s="177"/>
      <c r="FA51" s="271"/>
      <c r="FB51" s="319">
        <f>1.21/0.6*1.2</f>
        <v>2.42</v>
      </c>
      <c r="FC51" s="319"/>
      <c r="FD51" s="319"/>
      <c r="FE51" s="319"/>
      <c r="FF51" s="319"/>
      <c r="FG51" s="319"/>
      <c r="FH51" s="319"/>
      <c r="FI51" s="319"/>
      <c r="FJ51" s="319"/>
      <c r="FK51" s="319"/>
      <c r="FL51" s="319"/>
      <c r="FM51" s="319"/>
      <c r="FN51" s="319"/>
      <c r="FO51" s="319"/>
      <c r="FP51" s="319"/>
      <c r="FQ51" s="319"/>
      <c r="FR51" s="319"/>
      <c r="FS51" s="319">
        <f>2.016</f>
        <v>2.016</v>
      </c>
      <c r="FT51" s="319"/>
      <c r="FU51" s="158">
        <f t="shared" si="25"/>
        <v>5.6459999999999999</v>
      </c>
      <c r="FV51" s="95"/>
      <c r="FW51" s="245"/>
      <c r="FX51" s="245"/>
      <c r="FY51" s="245"/>
      <c r="FZ51" s="319"/>
      <c r="GA51" s="319"/>
      <c r="GB51" s="319"/>
      <c r="GC51" s="319"/>
      <c r="GD51" s="319"/>
      <c r="GE51" s="319"/>
      <c r="GF51" s="319"/>
      <c r="GG51" s="319"/>
      <c r="GH51" s="28"/>
      <c r="GI51" s="270"/>
      <c r="GJ51" s="245"/>
      <c r="GK51" s="177"/>
      <c r="GL51" s="271"/>
      <c r="GM51" s="177"/>
      <c r="GN51" s="272"/>
      <c r="GO51" s="435"/>
      <c r="GP51" s="327">
        <f t="shared" si="26"/>
        <v>0</v>
      </c>
      <c r="GQ51" s="445">
        <f t="shared" si="27"/>
        <v>14.05</v>
      </c>
      <c r="GR51" s="449">
        <f t="shared" si="28"/>
        <v>14.05</v>
      </c>
      <c r="GS51" s="451">
        <f t="shared" si="29"/>
        <v>8.65</v>
      </c>
      <c r="GT51" s="239">
        <f t="shared" si="30"/>
        <v>17.29</v>
      </c>
      <c r="GU51" s="36" t="str">
        <f t="shared" si="31"/>
        <v>Олеобиотик</v>
      </c>
      <c r="GV51" s="231"/>
      <c r="GW51" s="948"/>
      <c r="HG51" s="14"/>
      <c r="HH51" s="14"/>
      <c r="HI51" s="14"/>
      <c r="HJ51" s="14"/>
      <c r="HK51" s="14"/>
      <c r="HL51" s="14"/>
      <c r="HM51" s="14"/>
      <c r="HN51" s="14"/>
      <c r="HO51" s="14"/>
      <c r="HP51" s="14"/>
    </row>
    <row r="52" spans="1:224" ht="15" customHeight="1" x14ac:dyDescent="0.3">
      <c r="A52" s="127">
        <f t="shared" si="34"/>
        <v>42</v>
      </c>
      <c r="B52" s="691" t="s">
        <v>456</v>
      </c>
      <c r="C52" s="889"/>
      <c r="D52" s="517">
        <v>1474</v>
      </c>
      <c r="E52" s="108">
        <v>1224</v>
      </c>
      <c r="F52" s="471">
        <v>0</v>
      </c>
      <c r="G52" s="92">
        <f t="shared" si="33"/>
        <v>899.33299999999997</v>
      </c>
      <c r="H52" s="93">
        <v>0</v>
      </c>
      <c r="I52" s="93">
        <v>1226</v>
      </c>
      <c r="J52" s="146"/>
      <c r="K52" s="319"/>
      <c r="L52" s="319"/>
      <c r="M52" s="319"/>
      <c r="N52" s="319">
        <v>1225</v>
      </c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>
        <v>249</v>
      </c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  <c r="BC52" s="319"/>
      <c r="BD52" s="319"/>
      <c r="BE52" s="319"/>
      <c r="BF52" s="319"/>
      <c r="BG52" s="319"/>
      <c r="BH52" s="319"/>
      <c r="BI52" s="319"/>
      <c r="BJ52" s="158">
        <f t="shared" si="23"/>
        <v>1474</v>
      </c>
      <c r="BK52" s="146"/>
      <c r="BL52" s="319"/>
      <c r="BM52" s="319"/>
      <c r="BN52" s="319"/>
      <c r="BO52" s="319"/>
      <c r="BP52" s="319"/>
      <c r="BQ52" s="319"/>
      <c r="BR52" s="319"/>
      <c r="BS52" s="319"/>
      <c r="BT52" s="319"/>
      <c r="BU52" s="319"/>
      <c r="BV52" s="319"/>
      <c r="BW52" s="319"/>
      <c r="BX52" s="319"/>
      <c r="BY52" s="319"/>
      <c r="BZ52" s="319"/>
      <c r="CA52" s="319"/>
      <c r="CB52" s="319"/>
      <c r="CC52" s="319"/>
      <c r="CD52" s="319"/>
      <c r="CE52" s="319"/>
      <c r="CF52" s="319"/>
      <c r="CG52" s="319"/>
      <c r="CH52" s="319"/>
      <c r="CI52" s="319"/>
      <c r="CJ52" s="319"/>
      <c r="CK52" s="319"/>
      <c r="CL52" s="319"/>
      <c r="CM52" s="319"/>
      <c r="CN52" s="319">
        <v>1224</v>
      </c>
      <c r="CO52" s="319"/>
      <c r="CP52" s="319"/>
      <c r="CQ52" s="319"/>
      <c r="CR52" s="319"/>
      <c r="CS52" s="24"/>
      <c r="CT52" s="33"/>
      <c r="CU52" s="33"/>
      <c r="CV52" s="33"/>
      <c r="CW52" s="319"/>
      <c r="CX52" s="319"/>
      <c r="CY52" s="319"/>
      <c r="CZ52" s="319"/>
      <c r="DA52" s="319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419">
        <f t="shared" si="32"/>
        <v>1224</v>
      </c>
      <c r="DT52" s="147"/>
      <c r="DU52" s="319"/>
      <c r="DV52" s="319"/>
      <c r="DW52" s="319"/>
      <c r="DX52" s="319"/>
      <c r="DY52" s="319"/>
      <c r="DZ52" s="319"/>
      <c r="EA52" s="319"/>
      <c r="EB52" s="319"/>
      <c r="EC52" s="319"/>
      <c r="ED52" s="319"/>
      <c r="EE52" s="319"/>
      <c r="EF52" s="319"/>
      <c r="EG52" s="319"/>
      <c r="EH52" s="319"/>
      <c r="EI52" s="319"/>
      <c r="EJ52" s="319"/>
      <c r="EK52" s="319"/>
      <c r="EL52" s="319"/>
      <c r="EM52" s="319"/>
      <c r="EN52" s="319"/>
      <c r="EO52" s="319"/>
      <c r="EP52" s="319"/>
      <c r="EQ52" s="319"/>
      <c r="ER52" s="245"/>
      <c r="ES52" s="319"/>
      <c r="ET52" s="319"/>
      <c r="EU52" s="319"/>
      <c r="EV52" s="319"/>
      <c r="EW52" s="319"/>
      <c r="EX52" s="319"/>
      <c r="EY52" s="319"/>
      <c r="EZ52" s="24"/>
      <c r="FA52" s="33"/>
      <c r="FB52" s="319"/>
      <c r="FC52" s="319"/>
      <c r="FD52" s="319"/>
      <c r="FE52" s="319"/>
      <c r="FF52" s="319"/>
      <c r="FG52" s="319"/>
      <c r="FH52" s="319"/>
      <c r="FI52" s="319"/>
      <c r="FJ52" s="319"/>
      <c r="FK52" s="319"/>
      <c r="FL52" s="319"/>
      <c r="FM52" s="319"/>
      <c r="FN52" s="319"/>
      <c r="FO52" s="319"/>
      <c r="FP52" s="319"/>
      <c r="FQ52" s="319"/>
      <c r="FR52" s="319"/>
      <c r="FS52" s="319"/>
      <c r="FT52" s="319"/>
      <c r="FU52" s="158">
        <f t="shared" si="25"/>
        <v>0</v>
      </c>
      <c r="FV52" s="95"/>
      <c r="FW52" s="245"/>
      <c r="FX52" s="245"/>
      <c r="FY52" s="245"/>
      <c r="FZ52" s="319"/>
      <c r="GA52" s="319"/>
      <c r="GB52" s="319"/>
      <c r="GC52" s="319"/>
      <c r="GD52" s="319"/>
      <c r="GE52" s="319"/>
      <c r="GF52" s="319"/>
      <c r="GG52" s="319"/>
      <c r="GH52" s="28"/>
      <c r="GI52" s="164"/>
      <c r="GJ52" s="245"/>
      <c r="GK52" s="24"/>
      <c r="GL52" s="33"/>
      <c r="GM52" s="24"/>
      <c r="GN52" s="32"/>
      <c r="GO52" s="472"/>
      <c r="GP52" s="51">
        <f t="shared" si="26"/>
        <v>0</v>
      </c>
      <c r="GQ52" s="557">
        <f t="shared" si="27"/>
        <v>1226</v>
      </c>
      <c r="GR52" s="449">
        <f t="shared" si="28"/>
        <v>1226</v>
      </c>
      <c r="GS52" s="451">
        <f t="shared" si="29"/>
        <v>899.33299999999997</v>
      </c>
      <c r="GT52" s="239">
        <f t="shared" si="30"/>
        <v>1224</v>
      </c>
      <c r="GU52" s="36" t="str">
        <f t="shared" si="31"/>
        <v>Оптиген</v>
      </c>
      <c r="GV52" s="664"/>
      <c r="GW52" s="950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14"/>
    </row>
    <row r="53" spans="1:224" ht="15" customHeight="1" x14ac:dyDescent="0.3">
      <c r="A53" s="127">
        <f t="shared" si="34"/>
        <v>43</v>
      </c>
      <c r="B53" s="904" t="s">
        <v>500</v>
      </c>
      <c r="C53" s="889"/>
      <c r="D53" s="1206">
        <v>0</v>
      </c>
      <c r="E53" s="108">
        <v>1208.6099999999999</v>
      </c>
      <c r="F53" s="471">
        <v>291.39</v>
      </c>
      <c r="G53" s="92">
        <f t="shared" si="33"/>
        <v>500</v>
      </c>
      <c r="H53" s="93">
        <v>291.39</v>
      </c>
      <c r="I53" s="93">
        <v>0</v>
      </c>
      <c r="J53" s="146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158">
        <f t="shared" si="23"/>
        <v>0</v>
      </c>
      <c r="BK53" s="146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>
        <f>53.222/1.2*3</f>
        <v>133.05500000000001</v>
      </c>
      <c r="CD53" s="319"/>
      <c r="CE53" s="319"/>
      <c r="CF53" s="319"/>
      <c r="CG53" s="319"/>
      <c r="CH53" s="319"/>
      <c r="CI53" s="319"/>
      <c r="CJ53" s="319">
        <v>226.8</v>
      </c>
      <c r="CK53" s="319"/>
      <c r="CL53" s="319"/>
      <c r="CM53" s="319"/>
      <c r="CN53" s="319"/>
      <c r="CO53" s="319"/>
      <c r="CP53" s="319"/>
      <c r="CQ53" s="319"/>
      <c r="CR53" s="319"/>
      <c r="CS53" s="24">
        <v>52.415999999999997</v>
      </c>
      <c r="CT53" s="33">
        <v>528.89800000000002</v>
      </c>
      <c r="CU53" s="33"/>
      <c r="CV53" s="33">
        <v>10.08</v>
      </c>
      <c r="CW53" s="319"/>
      <c r="CX53" s="319">
        <v>120.053</v>
      </c>
      <c r="CY53" s="319"/>
      <c r="CZ53" s="319"/>
      <c r="DA53" s="319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>
        <f>45.763*3</f>
        <v>137.28899999999999</v>
      </c>
      <c r="DM53" s="319"/>
      <c r="DN53" s="319"/>
      <c r="DO53" s="319"/>
      <c r="DP53" s="319"/>
      <c r="DQ53" s="319"/>
      <c r="DR53" s="319"/>
      <c r="DS53" s="419">
        <f t="shared" si="32"/>
        <v>1208.5910000000001</v>
      </c>
      <c r="DT53" s="147"/>
      <c r="DU53" s="319"/>
      <c r="DV53" s="319"/>
      <c r="DW53" s="319"/>
      <c r="DX53" s="319"/>
      <c r="DY53" s="319"/>
      <c r="DZ53" s="319"/>
      <c r="EA53" s="319"/>
      <c r="EB53" s="319"/>
      <c r="EC53" s="319"/>
      <c r="ED53" s="319"/>
      <c r="EE53" s="319"/>
      <c r="EF53" s="319"/>
      <c r="EG53" s="319"/>
      <c r="EH53" s="319"/>
      <c r="EI53" s="319"/>
      <c r="EJ53" s="319"/>
      <c r="EK53" s="319"/>
      <c r="EL53" s="319"/>
      <c r="EM53" s="319">
        <v>291.39</v>
      </c>
      <c r="EN53" s="319"/>
      <c r="EO53" s="319"/>
      <c r="EP53" s="319"/>
      <c r="EQ53" s="319"/>
      <c r="ER53" s="245"/>
      <c r="ES53" s="319"/>
      <c r="ET53" s="319"/>
      <c r="EU53" s="319"/>
      <c r="EV53" s="319"/>
      <c r="EW53" s="319"/>
      <c r="EX53" s="319"/>
      <c r="EY53" s="319"/>
      <c r="EZ53" s="24"/>
      <c r="FA53" s="33"/>
      <c r="FB53" s="319"/>
      <c r="FC53" s="319"/>
      <c r="FD53" s="319"/>
      <c r="FE53" s="319"/>
      <c r="FF53" s="319"/>
      <c r="FG53" s="319"/>
      <c r="FH53" s="319"/>
      <c r="FI53" s="319"/>
      <c r="FJ53" s="319"/>
      <c r="FK53" s="319"/>
      <c r="FL53" s="319"/>
      <c r="FM53" s="319"/>
      <c r="FN53" s="319"/>
      <c r="FO53" s="319"/>
      <c r="FP53" s="319"/>
      <c r="FQ53" s="319"/>
      <c r="FR53" s="319"/>
      <c r="FS53" s="319"/>
      <c r="FT53" s="319"/>
      <c r="FU53" s="158">
        <f t="shared" si="25"/>
        <v>291.39</v>
      </c>
      <c r="FV53" s="95"/>
      <c r="FW53" s="245"/>
      <c r="FX53" s="245"/>
      <c r="FY53" s="245"/>
      <c r="FZ53" s="319"/>
      <c r="GA53" s="319"/>
      <c r="GB53" s="319"/>
      <c r="GC53" s="319"/>
      <c r="GD53" s="319"/>
      <c r="GE53" s="319"/>
      <c r="GF53" s="319"/>
      <c r="GG53" s="319"/>
      <c r="GH53" s="28"/>
      <c r="GI53" s="164"/>
      <c r="GJ53" s="245"/>
      <c r="GK53" s="24"/>
      <c r="GL53" s="33"/>
      <c r="GM53" s="24"/>
      <c r="GN53" s="32"/>
      <c r="GO53" s="472"/>
      <c r="GP53" s="51">
        <f t="shared" si="26"/>
        <v>0</v>
      </c>
      <c r="GQ53" s="445">
        <f t="shared" si="27"/>
        <v>0</v>
      </c>
      <c r="GR53" s="449">
        <f t="shared" si="28"/>
        <v>0</v>
      </c>
      <c r="GS53" s="451">
        <f t="shared" si="29"/>
        <v>500</v>
      </c>
      <c r="GT53" s="239">
        <f t="shared" si="30"/>
        <v>1208.6099999999999</v>
      </c>
      <c r="GU53" s="36" t="str">
        <f t="shared" si="31"/>
        <v>Оптима 100</v>
      </c>
      <c r="GV53" s="664"/>
      <c r="GW53" s="950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14"/>
    </row>
    <row r="54" spans="1:224" ht="15" customHeight="1" x14ac:dyDescent="0.3">
      <c r="A54" s="127">
        <f t="shared" si="34"/>
        <v>44</v>
      </c>
      <c r="B54" s="746" t="s">
        <v>139</v>
      </c>
      <c r="C54" s="889">
        <v>82.93</v>
      </c>
      <c r="D54" s="1205">
        <v>0</v>
      </c>
      <c r="E54" s="192">
        <v>0</v>
      </c>
      <c r="F54" s="201">
        <v>0</v>
      </c>
      <c r="G54" s="92">
        <f t="shared" si="33"/>
        <v>0</v>
      </c>
      <c r="H54" s="370">
        <v>0</v>
      </c>
      <c r="I54" s="370">
        <v>0</v>
      </c>
      <c r="J54" s="146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  <c r="BH54" s="319"/>
      <c r="BI54" s="319"/>
      <c r="BJ54" s="158">
        <f t="shared" si="23"/>
        <v>0</v>
      </c>
      <c r="BK54" s="146"/>
      <c r="BL54" s="319"/>
      <c r="BM54" s="319"/>
      <c r="BN54" s="319"/>
      <c r="BO54" s="319"/>
      <c r="BP54" s="319"/>
      <c r="BQ54" s="319"/>
      <c r="BR54" s="319"/>
      <c r="BS54" s="319"/>
      <c r="BT54" s="319"/>
      <c r="BU54" s="319"/>
      <c r="BV54" s="319"/>
      <c r="BW54" s="319"/>
      <c r="BX54" s="319"/>
      <c r="BY54" s="319"/>
      <c r="BZ54" s="319"/>
      <c r="CA54" s="319"/>
      <c r="CB54" s="319"/>
      <c r="CC54" s="319"/>
      <c r="CD54" s="319"/>
      <c r="CE54" s="319"/>
      <c r="CF54" s="319"/>
      <c r="CG54" s="319"/>
      <c r="CH54" s="319"/>
      <c r="CI54" s="319"/>
      <c r="CJ54" s="319"/>
      <c r="CK54" s="319"/>
      <c r="CL54" s="319"/>
      <c r="CM54" s="319"/>
      <c r="CN54" s="319"/>
      <c r="CO54" s="319"/>
      <c r="CP54" s="319"/>
      <c r="CQ54" s="319"/>
      <c r="CR54" s="319"/>
      <c r="CS54" s="177"/>
      <c r="CT54" s="271"/>
      <c r="CU54" s="271"/>
      <c r="CV54" s="271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/>
      <c r="DS54" s="419">
        <f t="shared" si="32"/>
        <v>0</v>
      </c>
      <c r="DT54" s="57"/>
      <c r="DU54" s="319"/>
      <c r="DV54" s="319"/>
      <c r="DW54" s="319"/>
      <c r="DX54" s="319"/>
      <c r="DY54" s="319"/>
      <c r="DZ54" s="319"/>
      <c r="EA54" s="319"/>
      <c r="EB54" s="319"/>
      <c r="EC54" s="319"/>
      <c r="ED54" s="319"/>
      <c r="EE54" s="319"/>
      <c r="EF54" s="319"/>
      <c r="EG54" s="319"/>
      <c r="EH54" s="319"/>
      <c r="EI54" s="319"/>
      <c r="EJ54" s="319"/>
      <c r="EK54" s="319"/>
      <c r="EL54" s="319"/>
      <c r="EM54" s="319"/>
      <c r="EN54" s="319"/>
      <c r="EO54" s="319"/>
      <c r="EP54" s="319"/>
      <c r="EQ54" s="319"/>
      <c r="ER54" s="245"/>
      <c r="ES54" s="319"/>
      <c r="ET54" s="319"/>
      <c r="EU54" s="319"/>
      <c r="EV54" s="319"/>
      <c r="EW54" s="319"/>
      <c r="EX54" s="319"/>
      <c r="EY54" s="319"/>
      <c r="EZ54" s="177"/>
      <c r="FA54" s="271"/>
      <c r="FB54" s="319"/>
      <c r="FC54" s="319"/>
      <c r="FD54" s="319"/>
      <c r="FE54" s="319"/>
      <c r="FF54" s="319"/>
      <c r="FG54" s="319"/>
      <c r="FH54" s="319"/>
      <c r="FI54" s="319"/>
      <c r="FJ54" s="319"/>
      <c r="FK54" s="319"/>
      <c r="FL54" s="319"/>
      <c r="FM54" s="319"/>
      <c r="FN54" s="319"/>
      <c r="FO54" s="319"/>
      <c r="FP54" s="319"/>
      <c r="FQ54" s="319"/>
      <c r="FR54" s="319"/>
      <c r="FS54" s="319"/>
      <c r="FT54" s="319"/>
      <c r="FU54" s="158">
        <f t="shared" si="25"/>
        <v>0</v>
      </c>
      <c r="FV54" s="95"/>
      <c r="FW54" s="245"/>
      <c r="FX54" s="245"/>
      <c r="FY54" s="245"/>
      <c r="FZ54" s="319"/>
      <c r="GA54" s="319"/>
      <c r="GB54" s="319"/>
      <c r="GC54" s="319"/>
      <c r="GD54" s="319"/>
      <c r="GE54" s="319"/>
      <c r="GF54" s="319"/>
      <c r="GG54" s="319"/>
      <c r="GH54" s="28"/>
      <c r="GI54" s="270"/>
      <c r="GJ54" s="245"/>
      <c r="GK54" s="177"/>
      <c r="GL54" s="271"/>
      <c r="GM54" s="177"/>
      <c r="GN54" s="272"/>
      <c r="GO54" s="435"/>
      <c r="GP54" s="327">
        <f t="shared" si="26"/>
        <v>0</v>
      </c>
      <c r="GQ54" s="445">
        <f t="shared" si="27"/>
        <v>0</v>
      </c>
      <c r="GR54" s="449">
        <f t="shared" si="28"/>
        <v>0</v>
      </c>
      <c r="GS54" s="451">
        <f t="shared" si="29"/>
        <v>0</v>
      </c>
      <c r="GT54" s="239">
        <f t="shared" si="30"/>
        <v>0</v>
      </c>
      <c r="GU54" s="36" t="str">
        <f t="shared" si="31"/>
        <v>МеноМет</v>
      </c>
      <c r="GV54" s="402"/>
      <c r="GW54" s="948"/>
      <c r="HG54" s="14"/>
      <c r="HH54" s="14"/>
      <c r="HI54" s="14"/>
      <c r="HJ54" s="14"/>
      <c r="HK54" s="14"/>
      <c r="HL54" s="14"/>
      <c r="HM54" s="14"/>
      <c r="HN54" s="14"/>
      <c r="HO54" s="14"/>
      <c r="HP54" s="14"/>
    </row>
    <row r="55" spans="1:224" ht="15" customHeight="1" x14ac:dyDescent="0.3">
      <c r="A55" s="127">
        <f t="shared" si="34"/>
        <v>45</v>
      </c>
      <c r="B55" s="691" t="s">
        <v>31</v>
      </c>
      <c r="C55" s="889">
        <f>1725.24+400+1515.55</f>
        <v>3640.79</v>
      </c>
      <c r="D55" s="514">
        <f>508.45+2974+1091.85</f>
        <v>4574.2999999999993</v>
      </c>
      <c r="E55" s="192">
        <f>1907.15+75+699+403.78</f>
        <v>3084.9300000000003</v>
      </c>
      <c r="F55" s="201">
        <f>596.22+999+1985.56</f>
        <v>3580.7799999999997</v>
      </c>
      <c r="G55" s="92">
        <f t="shared" si="33"/>
        <v>3746.67</v>
      </c>
      <c r="H55" s="93">
        <f>596.22+999</f>
        <v>1595.22</v>
      </c>
      <c r="I55" s="93">
        <f>313.44+1000+1000</f>
        <v>2313.44</v>
      </c>
      <c r="J55" s="112"/>
      <c r="K55" s="319"/>
      <c r="L55" s="319"/>
      <c r="M55" s="319">
        <f>141.12*8</f>
        <v>1128.96</v>
      </c>
      <c r="N55" s="319">
        <v>35.28</v>
      </c>
      <c r="O55" s="319">
        <v>74.188999999999993</v>
      </c>
      <c r="P55" s="319">
        <f>100.8</f>
        <v>100.8</v>
      </c>
      <c r="Q55" s="319">
        <v>60.48</v>
      </c>
      <c r="R55" s="319"/>
      <c r="S55" s="319"/>
      <c r="T55" s="319"/>
      <c r="U55" s="319">
        <f>30.24*1.5</f>
        <v>45.36</v>
      </c>
      <c r="V55" s="319"/>
      <c r="W55" s="319"/>
      <c r="X55" s="319">
        <f>30.24*7</f>
        <v>211.67999999999998</v>
      </c>
      <c r="Y55" s="319">
        <f>5.04*3</f>
        <v>15.120000000000001</v>
      </c>
      <c r="Z55" s="319">
        <f>30.24*2</f>
        <v>60.48</v>
      </c>
      <c r="AA55" s="319"/>
      <c r="AB55" s="319">
        <f>30.24*8</f>
        <v>241.92</v>
      </c>
      <c r="AC55" s="319">
        <f>141.12*6</f>
        <v>846.72</v>
      </c>
      <c r="AD55" s="319">
        <v>4.032</v>
      </c>
      <c r="AE55" s="319">
        <v>30.24</v>
      </c>
      <c r="AF55" s="319">
        <v>5.3760000000000003</v>
      </c>
      <c r="AG55" s="319">
        <v>2.6880000000000002</v>
      </c>
      <c r="AH55" s="319">
        <v>75.599999999999994</v>
      </c>
      <c r="AI55" s="319"/>
      <c r="AJ55" s="319">
        <v>162.28800000000001</v>
      </c>
      <c r="AK55" s="319"/>
      <c r="AL55" s="319"/>
      <c r="AM55" s="319"/>
      <c r="AN55" s="319"/>
      <c r="AO55" s="319"/>
      <c r="AP55" s="319"/>
      <c r="AQ55" s="319"/>
      <c r="AR55" s="319">
        <v>5.3760000000000003</v>
      </c>
      <c r="AS55" s="319">
        <v>8.0640000000000001</v>
      </c>
      <c r="AT55" s="319">
        <v>40.32</v>
      </c>
      <c r="AU55" s="319"/>
      <c r="AV55" s="319"/>
      <c r="AW55" s="319"/>
      <c r="AX55" s="319"/>
      <c r="AY55" s="319">
        <v>0.378</v>
      </c>
      <c r="AZ55" s="319">
        <v>5.8000000000000003E-2</v>
      </c>
      <c r="BA55" s="319">
        <v>0.11899999999999999</v>
      </c>
      <c r="BB55" s="319"/>
      <c r="BC55" s="319"/>
      <c r="BD55" s="319"/>
      <c r="BE55" s="319">
        <v>7.56</v>
      </c>
      <c r="BF55" s="319"/>
      <c r="BG55" s="319">
        <f>1411.2</f>
        <v>1411.2</v>
      </c>
      <c r="BH55" s="319"/>
      <c r="BI55" s="319"/>
      <c r="BJ55" s="158">
        <f t="shared" si="23"/>
        <v>4574.2880000000005</v>
      </c>
      <c r="BK55" s="112"/>
      <c r="BL55" s="319"/>
      <c r="BM55" s="319"/>
      <c r="BN55" s="319"/>
      <c r="BO55" s="319"/>
      <c r="BP55" s="319"/>
      <c r="BQ55" s="319"/>
      <c r="BR55" s="319"/>
      <c r="BS55" s="319">
        <f>30.24*5.4</f>
        <v>163.29599999999999</v>
      </c>
      <c r="BT55" s="319"/>
      <c r="BU55" s="319"/>
      <c r="BV55" s="319"/>
      <c r="BW55" s="319"/>
      <c r="BX55" s="319">
        <f>30.24*2.1</f>
        <v>63.503999999999998</v>
      </c>
      <c r="BY55" s="319">
        <f>30.24*2</f>
        <v>60.48</v>
      </c>
      <c r="BZ55" s="319"/>
      <c r="CA55" s="319">
        <f>30.24*4</f>
        <v>120.96</v>
      </c>
      <c r="CB55" s="319"/>
      <c r="CC55" s="319"/>
      <c r="CD55" s="319">
        <f>30.24*4</f>
        <v>120.96</v>
      </c>
      <c r="CE55" s="319"/>
      <c r="CF55" s="319">
        <f>241.92/8*6</f>
        <v>181.44</v>
      </c>
      <c r="CG55" s="319">
        <v>27.821000000000002</v>
      </c>
      <c r="CH55" s="319">
        <f>100.8*0.6</f>
        <v>60.48</v>
      </c>
      <c r="CI55" s="319">
        <v>60.48</v>
      </c>
      <c r="CJ55" s="319">
        <v>75.599999999999994</v>
      </c>
      <c r="CK55" s="319"/>
      <c r="CL55" s="319"/>
      <c r="CM55" s="319"/>
      <c r="CN55" s="319">
        <v>35.28</v>
      </c>
      <c r="CO55" s="319">
        <f>30.24*2</f>
        <v>60.48</v>
      </c>
      <c r="CP55" s="319"/>
      <c r="CQ55" s="319"/>
      <c r="CR55" s="319"/>
      <c r="CS55" s="177">
        <v>10.08</v>
      </c>
      <c r="CT55" s="271">
        <v>4.5359999999999996</v>
      </c>
      <c r="CU55" s="271">
        <v>141.12</v>
      </c>
      <c r="CV55" s="271">
        <v>1.3460000000000001</v>
      </c>
      <c r="CW55" s="319"/>
      <c r="CX55" s="319">
        <f>1411.2</f>
        <v>1411.2</v>
      </c>
      <c r="CY55" s="319"/>
      <c r="CZ55" s="319"/>
      <c r="DA55" s="319"/>
      <c r="DB55" s="319"/>
      <c r="DC55" s="319"/>
      <c r="DD55" s="319">
        <v>75.599999999999994</v>
      </c>
      <c r="DE55" s="319"/>
      <c r="DF55" s="319"/>
      <c r="DG55" s="319"/>
      <c r="DH55" s="319">
        <f>30.24</f>
        <v>30.24</v>
      </c>
      <c r="DI55" s="319">
        <f>241.92/8</f>
        <v>30.24</v>
      </c>
      <c r="DJ55" s="319"/>
      <c r="DK55" s="319"/>
      <c r="DL55" s="319"/>
      <c r="DM55" s="319"/>
      <c r="DN55" s="319"/>
      <c r="DO55" s="319">
        <f>30.24*4</f>
        <v>120.96</v>
      </c>
      <c r="DP55" s="319">
        <f>241.92/8*7.5</f>
        <v>226.79999999999998</v>
      </c>
      <c r="DQ55" s="319"/>
      <c r="DR55" s="319">
        <v>2.016</v>
      </c>
      <c r="DS55" s="419">
        <f t="shared" ref="DS55" si="35">SUM(BL55:DR55)</f>
        <v>3084.9189999999999</v>
      </c>
      <c r="DT55" s="57"/>
      <c r="DU55" s="319"/>
      <c r="DV55" s="319"/>
      <c r="DW55" s="319"/>
      <c r="DX55" s="319"/>
      <c r="DY55" s="319"/>
      <c r="DZ55" s="319"/>
      <c r="EA55" s="319"/>
      <c r="EB55" s="319">
        <f>141.12*10</f>
        <v>1411.2</v>
      </c>
      <c r="EC55" s="319">
        <v>40.32</v>
      </c>
      <c r="ED55" s="319">
        <v>8.0640000000000001</v>
      </c>
      <c r="EE55" s="319">
        <v>5.242</v>
      </c>
      <c r="EF55" s="319">
        <v>40.32</v>
      </c>
      <c r="EG55" s="319"/>
      <c r="EH55" s="319"/>
      <c r="EI55" s="319"/>
      <c r="EJ55" s="319">
        <f>30.24*1.5</f>
        <v>45.36</v>
      </c>
      <c r="EK55" s="319"/>
      <c r="EL55" s="319"/>
      <c r="EM55" s="319">
        <v>15.12</v>
      </c>
      <c r="EN55" s="319">
        <f>241.92/8*5</f>
        <v>151.19999999999999</v>
      </c>
      <c r="EO55" s="319"/>
      <c r="EP55" s="319">
        <f>30.24*2</f>
        <v>60.48</v>
      </c>
      <c r="EQ55" s="319"/>
      <c r="ER55" s="245">
        <f>5.04*0.3</f>
        <v>1.512</v>
      </c>
      <c r="ES55" s="319">
        <f>30.24*3</f>
        <v>90.72</v>
      </c>
      <c r="ET55" s="319"/>
      <c r="EU55" s="319"/>
      <c r="EV55" s="319"/>
      <c r="EW55" s="319"/>
      <c r="EX55" s="319"/>
      <c r="EY55" s="319"/>
      <c r="EZ55" s="177">
        <v>67.197999999999993</v>
      </c>
      <c r="FA55" s="271"/>
      <c r="FB55" s="319">
        <f>60.48/0.6*1.2</f>
        <v>120.96</v>
      </c>
      <c r="FC55" s="319"/>
      <c r="FD55" s="319">
        <v>75.599999999999994</v>
      </c>
      <c r="FE55" s="319"/>
      <c r="FF55" s="319"/>
      <c r="FG55" s="319"/>
      <c r="FH55" s="319"/>
      <c r="FI55" s="319"/>
      <c r="FJ55" s="319">
        <f>141.12*10</f>
        <v>1411.2</v>
      </c>
      <c r="FK55" s="319"/>
      <c r="FL55" s="319"/>
      <c r="FM55" s="319"/>
      <c r="FN55" s="319"/>
      <c r="FO55" s="319">
        <f>30.24*1.2</f>
        <v>36.287999999999997</v>
      </c>
      <c r="FP55" s="319"/>
      <c r="FQ55" s="319"/>
      <c r="FR55" s="319"/>
      <c r="FS55" s="319"/>
      <c r="FT55" s="319"/>
      <c r="FU55" s="158">
        <f t="shared" si="25"/>
        <v>3580.7840000000001</v>
      </c>
      <c r="FV55" s="113"/>
      <c r="FW55" s="245"/>
      <c r="FX55" s="245"/>
      <c r="FY55" s="245"/>
      <c r="FZ55" s="319"/>
      <c r="GA55" s="319"/>
      <c r="GB55" s="319"/>
      <c r="GC55" s="319"/>
      <c r="GD55" s="319"/>
      <c r="GE55" s="319"/>
      <c r="GF55" s="319"/>
      <c r="GG55" s="319"/>
      <c r="GH55" s="28"/>
      <c r="GI55" s="270"/>
      <c r="GJ55" s="245"/>
      <c r="GK55" s="177"/>
      <c r="GL55" s="271"/>
      <c r="GM55" s="177"/>
      <c r="GN55" s="272"/>
      <c r="GO55" s="435"/>
      <c r="GP55" s="327">
        <f t="shared" si="26"/>
        <v>0</v>
      </c>
      <c r="GQ55" s="454">
        <f t="shared" si="27"/>
        <v>2313.44</v>
      </c>
      <c r="GR55" s="449">
        <f t="shared" si="28"/>
        <v>2313.44</v>
      </c>
      <c r="GS55" s="451">
        <f t="shared" si="29"/>
        <v>3746.67</v>
      </c>
      <c r="GT55" s="239">
        <f t="shared" si="30"/>
        <v>3084.9300000000003</v>
      </c>
      <c r="GU55" s="36" t="str">
        <f t="shared" si="31"/>
        <v>Микосорб</v>
      </c>
      <c r="GV55" s="664"/>
      <c r="HG55" s="14"/>
      <c r="HH55" s="14"/>
      <c r="HI55" s="14"/>
      <c r="HJ55" s="14"/>
      <c r="HK55" s="14"/>
      <c r="HL55" s="14"/>
      <c r="HM55" s="14"/>
    </row>
    <row r="56" spans="1:224" ht="15" customHeight="1" x14ac:dyDescent="0.3">
      <c r="A56" s="127">
        <f t="shared" si="34"/>
        <v>46</v>
      </c>
      <c r="B56" s="699" t="s">
        <v>41</v>
      </c>
      <c r="C56" s="889">
        <f>4190.64+2372.2</f>
        <v>6562.84</v>
      </c>
      <c r="D56" s="514">
        <f>147.8+4812.05</f>
        <v>4959.8500000000004</v>
      </c>
      <c r="E56" s="192">
        <f>186.95+4999+442.82</f>
        <v>5628.7699999999995</v>
      </c>
      <c r="F56" s="201">
        <f>4557.18+1160.89</f>
        <v>5718.0700000000006</v>
      </c>
      <c r="G56" s="92">
        <f t="shared" si="33"/>
        <v>5435.5630000000001</v>
      </c>
      <c r="H56" s="93">
        <v>1557.18</v>
      </c>
      <c r="I56" s="93">
        <v>3838.11</v>
      </c>
      <c r="J56" s="94"/>
      <c r="K56" s="319">
        <f>132.048*3</f>
        <v>396.14400000000001</v>
      </c>
      <c r="L56" s="319">
        <v>393.12</v>
      </c>
      <c r="M56" s="319">
        <f>95.76*8</f>
        <v>766.08</v>
      </c>
      <c r="N56" s="319"/>
      <c r="O56" s="319"/>
      <c r="P56" s="319"/>
      <c r="Q56" s="319">
        <v>33.075000000000003</v>
      </c>
      <c r="R56" s="319"/>
      <c r="S56" s="319"/>
      <c r="T56" s="319"/>
      <c r="U56" s="319">
        <f>24.192*1.5</f>
        <v>36.287999999999997</v>
      </c>
      <c r="V56" s="319"/>
      <c r="W56" s="319">
        <f>132.048*1.5</f>
        <v>198.072</v>
      </c>
      <c r="X56" s="319">
        <f>24.192*7</f>
        <v>169.34399999999999</v>
      </c>
      <c r="Y56" s="319"/>
      <c r="Z56" s="319">
        <f>24.192*2</f>
        <v>48.384</v>
      </c>
      <c r="AA56" s="319"/>
      <c r="AB56" s="319">
        <f>24.192*8</f>
        <v>193.536</v>
      </c>
      <c r="AC56" s="319">
        <f>95.76*6</f>
        <v>574.56000000000006</v>
      </c>
      <c r="AD56" s="319"/>
      <c r="AE56" s="319"/>
      <c r="AF56" s="319"/>
      <c r="AG56" s="319"/>
      <c r="AH56" s="319">
        <v>72.575999999999993</v>
      </c>
      <c r="AI56" s="319">
        <f>131.04*4</f>
        <v>524.16</v>
      </c>
      <c r="AJ56" s="319"/>
      <c r="AK56" s="319"/>
      <c r="AL56" s="319">
        <v>14.515000000000001</v>
      </c>
      <c r="AM56" s="319"/>
      <c r="AN56" s="319"/>
      <c r="AO56" s="319"/>
      <c r="AP56" s="319"/>
      <c r="AQ56" s="319"/>
      <c r="AR56" s="319"/>
      <c r="AS56" s="319"/>
      <c r="AT56" s="319"/>
      <c r="AU56" s="319"/>
      <c r="AV56" s="319"/>
      <c r="AW56" s="319">
        <v>393.12</v>
      </c>
      <c r="AX56" s="319">
        <f>132.048*1.2</f>
        <v>158.45759999999999</v>
      </c>
      <c r="AY56" s="319"/>
      <c r="AZ56" s="319"/>
      <c r="BA56" s="319"/>
      <c r="BB56" s="319">
        <v>24.192</v>
      </c>
      <c r="BC56" s="319">
        <f>6.615</f>
        <v>6.6150000000000002</v>
      </c>
      <c r="BD56" s="319"/>
      <c r="BE56" s="319"/>
      <c r="BF56" s="319"/>
      <c r="BG56" s="319">
        <f>957.6</f>
        <v>957.6</v>
      </c>
      <c r="BH56" s="319"/>
      <c r="BI56" s="319"/>
      <c r="BJ56" s="158">
        <f t="shared" si="23"/>
        <v>4959.8386</v>
      </c>
      <c r="BK56" s="94"/>
      <c r="BL56" s="319"/>
      <c r="BM56" s="319"/>
      <c r="BN56" s="319"/>
      <c r="BO56" s="319">
        <f>131.04*2.4</f>
        <v>314.49599999999998</v>
      </c>
      <c r="BP56" s="319"/>
      <c r="BQ56" s="319">
        <f>132.048*3</f>
        <v>396.14400000000001</v>
      </c>
      <c r="BR56" s="319"/>
      <c r="BS56" s="319">
        <f>24.192*5.4</f>
        <v>130.63680000000002</v>
      </c>
      <c r="BT56" s="319">
        <v>393.12</v>
      </c>
      <c r="BU56" s="319">
        <f>132.048*1.9</f>
        <v>250.8912</v>
      </c>
      <c r="BV56" s="319"/>
      <c r="BW56" s="319"/>
      <c r="BX56" s="319">
        <f>24.192*2.1</f>
        <v>50.803200000000004</v>
      </c>
      <c r="BY56" s="319">
        <f>24.192*2</f>
        <v>48.384</v>
      </c>
      <c r="BZ56" s="319"/>
      <c r="CA56" s="319"/>
      <c r="CB56" s="319">
        <f>132.048*3</f>
        <v>396.14400000000001</v>
      </c>
      <c r="CC56" s="319">
        <f>158.458/1.2*3</f>
        <v>396.14500000000004</v>
      </c>
      <c r="CD56" s="319"/>
      <c r="CE56" s="319"/>
      <c r="CF56" s="319">
        <f>193.536/8*6</f>
        <v>145.15199999999999</v>
      </c>
      <c r="CG56" s="319"/>
      <c r="CH56" s="319"/>
      <c r="CI56" s="319">
        <v>33.075000000000003</v>
      </c>
      <c r="CJ56" s="319"/>
      <c r="CK56" s="319"/>
      <c r="CL56" s="319"/>
      <c r="CM56" s="319">
        <v>14.515000000000001</v>
      </c>
      <c r="CN56" s="319"/>
      <c r="CO56" s="319">
        <f>24.192*2</f>
        <v>48.384</v>
      </c>
      <c r="CP56" s="319"/>
      <c r="CQ56" s="319">
        <v>393.12</v>
      </c>
      <c r="CR56" s="319"/>
      <c r="CS56" s="177"/>
      <c r="CT56" s="271"/>
      <c r="CU56" s="271"/>
      <c r="CV56" s="271"/>
      <c r="CW56" s="319"/>
      <c r="CX56" s="319">
        <f>957.6</f>
        <v>957.6</v>
      </c>
      <c r="CY56" s="319"/>
      <c r="CZ56" s="319"/>
      <c r="DA56" s="319"/>
      <c r="DB56" s="319"/>
      <c r="DC56" s="319">
        <f>524.16/4*4.5</f>
        <v>589.67999999999995</v>
      </c>
      <c r="DD56" s="319">
        <v>72.575999999999993</v>
      </c>
      <c r="DE56" s="319"/>
      <c r="DF56" s="319"/>
      <c r="DG56" s="319"/>
      <c r="DH56" s="319"/>
      <c r="DI56" s="319">
        <f>193.536/8</f>
        <v>24.192</v>
      </c>
      <c r="DJ56" s="319"/>
      <c r="DK56" s="319"/>
      <c r="DL56" s="319">
        <f>132.048*3</f>
        <v>396.14400000000001</v>
      </c>
      <c r="DM56" s="319">
        <f>132.048*3</f>
        <v>396.14400000000001</v>
      </c>
      <c r="DN56" s="319"/>
      <c r="DO56" s="319"/>
      <c r="DP56" s="319">
        <f>193.536/8*7.5</f>
        <v>181.44</v>
      </c>
      <c r="DQ56" s="319"/>
      <c r="DR56" s="319"/>
      <c r="DS56" s="419">
        <f t="shared" ref="DS56:DS70" si="36">SUM(BL56:DR56)</f>
        <v>5628.7861999999996</v>
      </c>
      <c r="DT56" s="57"/>
      <c r="DU56" s="319">
        <v>314.49599999999998</v>
      </c>
      <c r="DV56" s="319">
        <v>198.072</v>
      </c>
      <c r="DW56" s="319"/>
      <c r="DX56" s="319"/>
      <c r="DY56" s="319"/>
      <c r="DZ56" s="319"/>
      <c r="EA56" s="319"/>
      <c r="EB56" s="319">
        <f>95.76*10</f>
        <v>957.6</v>
      </c>
      <c r="EC56" s="319"/>
      <c r="ED56" s="319"/>
      <c r="EE56" s="319"/>
      <c r="EF56" s="319">
        <v>24.192</v>
      </c>
      <c r="EG56" s="319"/>
      <c r="EH56" s="319">
        <v>39.613999999999997</v>
      </c>
      <c r="EI56" s="319"/>
      <c r="EJ56" s="319"/>
      <c r="EK56" s="319"/>
      <c r="EL56" s="319"/>
      <c r="EM56" s="319"/>
      <c r="EN56" s="319">
        <f>193.536/8*5</f>
        <v>120.96000000000001</v>
      </c>
      <c r="EO56" s="319"/>
      <c r="EP56" s="319"/>
      <c r="EQ56" s="319">
        <v>393.12</v>
      </c>
      <c r="ER56" s="245"/>
      <c r="ES56" s="319"/>
      <c r="ET56" s="319">
        <v>14.515000000000001</v>
      </c>
      <c r="EU56" s="319"/>
      <c r="EV56" s="319"/>
      <c r="EW56" s="319"/>
      <c r="EX56" s="319">
        <f>524.16/4*5</f>
        <v>655.19999999999993</v>
      </c>
      <c r="EY56" s="319"/>
      <c r="EZ56" s="177"/>
      <c r="FA56" s="271"/>
      <c r="FB56" s="319"/>
      <c r="FC56" s="319"/>
      <c r="FD56" s="319">
        <v>72.575999999999993</v>
      </c>
      <c r="FE56" s="319"/>
      <c r="FF56" s="319">
        <f>198.072/1.5*1.1</f>
        <v>145.25280000000001</v>
      </c>
      <c r="FG56" s="319">
        <v>528.19200000000001</v>
      </c>
      <c r="FH56" s="319"/>
      <c r="FI56" s="319">
        <f>198.072/1.5*0.6</f>
        <v>79.228799999999993</v>
      </c>
      <c r="FJ56" s="319">
        <f>95.76*10</f>
        <v>957.6</v>
      </c>
      <c r="FK56" s="319">
        <f>396.144</f>
        <v>396.14400000000001</v>
      </c>
      <c r="FL56" s="319"/>
      <c r="FM56" s="319"/>
      <c r="FN56" s="319"/>
      <c r="FO56" s="319">
        <f>24.192*1.2</f>
        <v>29.0304</v>
      </c>
      <c r="FP56" s="319">
        <f>396.144</f>
        <v>396.14400000000001</v>
      </c>
      <c r="FQ56" s="319">
        <f>396.144</f>
        <v>396.14400000000001</v>
      </c>
      <c r="FR56" s="319"/>
      <c r="FS56" s="319"/>
      <c r="FT56" s="319"/>
      <c r="FU56" s="158">
        <f t="shared" si="25"/>
        <v>5718.0810000000001</v>
      </c>
      <c r="FV56" s="95"/>
      <c r="FW56" s="245"/>
      <c r="FX56" s="245"/>
      <c r="FY56" s="245"/>
      <c r="FZ56" s="319"/>
      <c r="GA56" s="319"/>
      <c r="GB56" s="319"/>
      <c r="GC56" s="319"/>
      <c r="GD56" s="319"/>
      <c r="GE56" s="319"/>
      <c r="GF56" s="319"/>
      <c r="GG56" s="319"/>
      <c r="GH56" s="28"/>
      <c r="GI56" s="270"/>
      <c r="GJ56" s="245"/>
      <c r="GK56" s="177"/>
      <c r="GL56" s="271"/>
      <c r="GM56" s="177"/>
      <c r="GN56" s="272"/>
      <c r="GO56" s="435"/>
      <c r="GP56" s="327">
        <f t="shared" si="26"/>
        <v>0</v>
      </c>
      <c r="GQ56" s="445">
        <f t="shared" si="27"/>
        <v>3838.11</v>
      </c>
      <c r="GR56" s="449">
        <f t="shared" si="28"/>
        <v>3838.11</v>
      </c>
      <c r="GS56" s="451">
        <f t="shared" si="29"/>
        <v>5435.5630000000001</v>
      </c>
      <c r="GT56" s="239">
        <f t="shared" si="30"/>
        <v>5628.7699999999995</v>
      </c>
      <c r="GU56" s="36" t="str">
        <f t="shared" si="31"/>
        <v>МЕГАсодиум</v>
      </c>
      <c r="GV56" s="232"/>
    </row>
    <row r="57" spans="1:224" ht="15" customHeight="1" x14ac:dyDescent="0.3">
      <c r="A57" s="127">
        <f t="shared" si="34"/>
        <v>47</v>
      </c>
      <c r="B57" s="904" t="s">
        <v>540</v>
      </c>
      <c r="C57" s="889"/>
      <c r="D57" s="1206">
        <v>0</v>
      </c>
      <c r="E57" s="108">
        <v>0</v>
      </c>
      <c r="F57" s="471">
        <v>15.12</v>
      </c>
      <c r="G57" s="92">
        <f t="shared" si="33"/>
        <v>5.04</v>
      </c>
      <c r="H57" s="93"/>
      <c r="I57" s="93">
        <v>4.88</v>
      </c>
      <c r="J57" s="94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319"/>
      <c r="AD57" s="319"/>
      <c r="AE57" s="319"/>
      <c r="AF57" s="319"/>
      <c r="AG57" s="319"/>
      <c r="AH57" s="319"/>
      <c r="AI57" s="319"/>
      <c r="AJ57" s="319"/>
      <c r="AK57" s="319"/>
      <c r="AL57" s="319"/>
      <c r="AM57" s="319"/>
      <c r="AN57" s="319"/>
      <c r="AO57" s="319"/>
      <c r="AP57" s="319"/>
      <c r="AQ57" s="319"/>
      <c r="AR57" s="319"/>
      <c r="AS57" s="319"/>
      <c r="AT57" s="319"/>
      <c r="AU57" s="319"/>
      <c r="AV57" s="319"/>
      <c r="AW57" s="319"/>
      <c r="AX57" s="319"/>
      <c r="AY57" s="319"/>
      <c r="AZ57" s="319"/>
      <c r="BA57" s="319"/>
      <c r="BB57" s="319"/>
      <c r="BC57" s="319"/>
      <c r="BD57" s="319"/>
      <c r="BE57" s="319"/>
      <c r="BF57" s="319"/>
      <c r="BG57" s="319"/>
      <c r="BH57" s="319"/>
      <c r="BI57" s="319"/>
      <c r="BJ57" s="158">
        <f t="shared" si="23"/>
        <v>0</v>
      </c>
      <c r="BK57" s="94"/>
      <c r="BL57" s="319"/>
      <c r="BM57" s="319"/>
      <c r="BN57" s="319"/>
      <c r="BO57" s="319"/>
      <c r="BP57" s="319"/>
      <c r="BQ57" s="319"/>
      <c r="BR57" s="319"/>
      <c r="BS57" s="319"/>
      <c r="BT57" s="319"/>
      <c r="BU57" s="319"/>
      <c r="BV57" s="319"/>
      <c r="BW57" s="319"/>
      <c r="BX57" s="319"/>
      <c r="BY57" s="319"/>
      <c r="BZ57" s="319"/>
      <c r="CA57" s="319"/>
      <c r="CB57" s="319"/>
      <c r="CC57" s="319"/>
      <c r="CD57" s="319"/>
      <c r="CE57" s="319"/>
      <c r="CF57" s="319"/>
      <c r="CG57" s="319"/>
      <c r="CH57" s="319"/>
      <c r="CI57" s="319"/>
      <c r="CJ57" s="319"/>
      <c r="CK57" s="319"/>
      <c r="CL57" s="319"/>
      <c r="CM57" s="319"/>
      <c r="CN57" s="319"/>
      <c r="CO57" s="319"/>
      <c r="CP57" s="319"/>
      <c r="CQ57" s="319"/>
      <c r="CR57" s="319"/>
      <c r="CS57" s="24"/>
      <c r="CT57" s="33"/>
      <c r="CU57" s="33"/>
      <c r="CV57" s="33"/>
      <c r="CW57" s="319"/>
      <c r="CX57" s="319"/>
      <c r="CY57" s="319"/>
      <c r="CZ57" s="319"/>
      <c r="DA57" s="319"/>
      <c r="DB57" s="319"/>
      <c r="DC57" s="319"/>
      <c r="DD57" s="319"/>
      <c r="DE57" s="319"/>
      <c r="DF57" s="319"/>
      <c r="DG57" s="319"/>
      <c r="DH57" s="319"/>
      <c r="DI57" s="319"/>
      <c r="DJ57" s="319"/>
      <c r="DK57" s="319"/>
      <c r="DL57" s="319"/>
      <c r="DM57" s="319"/>
      <c r="DN57" s="319"/>
      <c r="DO57" s="319"/>
      <c r="DP57" s="319"/>
      <c r="DQ57" s="319"/>
      <c r="DR57" s="319"/>
      <c r="DS57" s="419"/>
      <c r="DT57" s="57"/>
      <c r="DU57" s="319"/>
      <c r="DV57" s="319"/>
      <c r="DW57" s="319"/>
      <c r="DX57" s="319"/>
      <c r="DY57" s="319"/>
      <c r="DZ57" s="319"/>
      <c r="EA57" s="319"/>
      <c r="EB57" s="319"/>
      <c r="EC57" s="319"/>
      <c r="ED57" s="319"/>
      <c r="EE57" s="319"/>
      <c r="EF57" s="319"/>
      <c r="EG57" s="319"/>
      <c r="EH57" s="319"/>
      <c r="EI57" s="319"/>
      <c r="EJ57" s="319"/>
      <c r="EK57" s="319"/>
      <c r="EL57" s="319"/>
      <c r="EM57" s="319">
        <v>15.12</v>
      </c>
      <c r="EN57" s="319"/>
      <c r="EO57" s="319"/>
      <c r="EP57" s="319"/>
      <c r="EQ57" s="319"/>
      <c r="ER57" s="245"/>
      <c r="ES57" s="319"/>
      <c r="ET57" s="319"/>
      <c r="EU57" s="319"/>
      <c r="EV57" s="319"/>
      <c r="EW57" s="319"/>
      <c r="EX57" s="319"/>
      <c r="EY57" s="319"/>
      <c r="EZ57" s="24"/>
      <c r="FA57" s="33"/>
      <c r="FB57" s="319"/>
      <c r="FC57" s="319"/>
      <c r="FD57" s="319"/>
      <c r="FE57" s="319"/>
      <c r="FF57" s="319"/>
      <c r="FG57" s="319"/>
      <c r="FH57" s="319"/>
      <c r="FI57" s="319"/>
      <c r="FJ57" s="319"/>
      <c r="FK57" s="319"/>
      <c r="FL57" s="319"/>
      <c r="FM57" s="319"/>
      <c r="FN57" s="319"/>
      <c r="FO57" s="319"/>
      <c r="FP57" s="319"/>
      <c r="FQ57" s="319"/>
      <c r="FR57" s="319"/>
      <c r="FS57" s="319"/>
      <c r="FT57" s="319"/>
      <c r="FU57" s="158">
        <f t="shared" si="25"/>
        <v>15.12</v>
      </c>
      <c r="FV57" s="95"/>
      <c r="FW57" s="245"/>
      <c r="FX57" s="245"/>
      <c r="FY57" s="245"/>
      <c r="FZ57" s="319"/>
      <c r="GA57" s="319"/>
      <c r="GB57" s="319"/>
      <c r="GC57" s="319"/>
      <c r="GD57" s="319"/>
      <c r="GE57" s="319"/>
      <c r="GF57" s="319"/>
      <c r="GG57" s="319"/>
      <c r="GH57" s="28"/>
      <c r="GI57" s="164"/>
      <c r="GJ57" s="245"/>
      <c r="GK57" s="24"/>
      <c r="GL57" s="33"/>
      <c r="GM57" s="24"/>
      <c r="GN57" s="32"/>
      <c r="GO57" s="472"/>
      <c r="GP57" s="51">
        <f t="shared" si="26"/>
        <v>0</v>
      </c>
      <c r="GQ57" s="557">
        <f t="shared" si="27"/>
        <v>4.88</v>
      </c>
      <c r="GR57" s="449">
        <f t="shared" si="28"/>
        <v>4.88</v>
      </c>
      <c r="GS57" s="451">
        <f t="shared" si="29"/>
        <v>5.04</v>
      </c>
      <c r="GT57" s="239">
        <f t="shared" si="30"/>
        <v>0</v>
      </c>
      <c r="GU57" s="36" t="str">
        <f t="shared" si="31"/>
        <v>Менаро сливки</v>
      </c>
      <c r="GV57" s="664"/>
      <c r="GW57" s="950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</row>
    <row r="58" spans="1:224" ht="15" customHeight="1" x14ac:dyDescent="0.3">
      <c r="A58" s="1022"/>
      <c r="B58" s="1022"/>
      <c r="C58" s="1023"/>
      <c r="D58" s="1024"/>
      <c r="E58" s="1025"/>
      <c r="F58" s="1026"/>
      <c r="G58" s="1027"/>
      <c r="H58" s="1028"/>
      <c r="I58" s="1028"/>
      <c r="J58" s="94"/>
      <c r="K58" s="1029"/>
      <c r="L58" s="1029"/>
      <c r="M58" s="1029"/>
      <c r="N58" s="1029"/>
      <c r="O58" s="1029"/>
      <c r="P58" s="1029"/>
      <c r="Q58" s="1029"/>
      <c r="R58" s="1029"/>
      <c r="S58" s="1029"/>
      <c r="T58" s="1029"/>
      <c r="U58" s="1029"/>
      <c r="V58" s="1029"/>
      <c r="W58" s="1029"/>
      <c r="X58" s="1029"/>
      <c r="Y58" s="1029"/>
      <c r="Z58" s="1029"/>
      <c r="AA58" s="1029"/>
      <c r="AB58" s="1029"/>
      <c r="AC58" s="1029"/>
      <c r="AD58" s="1029"/>
      <c r="AE58" s="1029"/>
      <c r="AF58" s="1029"/>
      <c r="AG58" s="1029"/>
      <c r="AH58" s="1029"/>
      <c r="AI58" s="1029"/>
      <c r="AJ58" s="1029"/>
      <c r="AK58" s="1029"/>
      <c r="AL58" s="1029"/>
      <c r="AM58" s="1029"/>
      <c r="AN58" s="1029"/>
      <c r="AO58" s="1029"/>
      <c r="AP58" s="1029"/>
      <c r="AQ58" s="1029"/>
      <c r="AR58" s="1029"/>
      <c r="AS58" s="1029"/>
      <c r="AT58" s="1029"/>
      <c r="AU58" s="1029"/>
      <c r="AV58" s="1029"/>
      <c r="AW58" s="1029"/>
      <c r="AX58" s="1029"/>
      <c r="AY58" s="1029"/>
      <c r="AZ58" s="1029"/>
      <c r="BA58" s="1029"/>
      <c r="BB58" s="1029"/>
      <c r="BC58" s="1029"/>
      <c r="BD58" s="1029"/>
      <c r="BE58" s="1029"/>
      <c r="BF58" s="1029"/>
      <c r="BG58" s="1029"/>
      <c r="BH58" s="1029"/>
      <c r="BI58" s="1029"/>
      <c r="BJ58" s="1031"/>
      <c r="BK58" s="94"/>
      <c r="BL58" s="1029"/>
      <c r="BM58" s="1029"/>
      <c r="BN58" s="1029"/>
      <c r="BO58" s="1029"/>
      <c r="BP58" s="1029"/>
      <c r="BQ58" s="1029"/>
      <c r="BR58" s="1029"/>
      <c r="BS58" s="1029"/>
      <c r="BT58" s="1029"/>
      <c r="BU58" s="1029"/>
      <c r="BV58" s="1029"/>
      <c r="BW58" s="1029"/>
      <c r="BX58" s="1029"/>
      <c r="BY58" s="1029"/>
      <c r="BZ58" s="1029"/>
      <c r="CA58" s="1029"/>
      <c r="CB58" s="1029"/>
      <c r="CC58" s="1029"/>
      <c r="CD58" s="1029"/>
      <c r="CE58" s="1029"/>
      <c r="CF58" s="1029"/>
      <c r="CG58" s="1029"/>
      <c r="CH58" s="1029"/>
      <c r="CI58" s="1029"/>
      <c r="CJ58" s="1029"/>
      <c r="CK58" s="1029"/>
      <c r="CL58" s="1029"/>
      <c r="CM58" s="1029"/>
      <c r="CN58" s="1029"/>
      <c r="CO58" s="1029"/>
      <c r="CP58" s="1029"/>
      <c r="CQ58" s="1029"/>
      <c r="CR58" s="1029"/>
      <c r="CS58" s="1032"/>
      <c r="CT58" s="1033"/>
      <c r="CU58" s="1033"/>
      <c r="CV58" s="1033"/>
      <c r="CW58" s="1029"/>
      <c r="CX58" s="1029"/>
      <c r="CY58" s="1029"/>
      <c r="CZ58" s="1029"/>
      <c r="DA58" s="1029"/>
      <c r="DB58" s="1029"/>
      <c r="DC58" s="1029"/>
      <c r="DD58" s="1029"/>
      <c r="DE58" s="1029"/>
      <c r="DF58" s="1029"/>
      <c r="DG58" s="1029"/>
      <c r="DH58" s="1029"/>
      <c r="DI58" s="1029"/>
      <c r="DJ58" s="1029"/>
      <c r="DK58" s="1029"/>
      <c r="DL58" s="1029"/>
      <c r="DM58" s="1029"/>
      <c r="DN58" s="1029"/>
      <c r="DO58" s="1029"/>
      <c r="DP58" s="1029"/>
      <c r="DQ58" s="1029"/>
      <c r="DR58" s="1029"/>
      <c r="DS58" s="1050"/>
      <c r="DT58" s="57"/>
      <c r="DU58" s="1029"/>
      <c r="DV58" s="1029"/>
      <c r="DW58" s="1029"/>
      <c r="DX58" s="1029"/>
      <c r="DY58" s="1029"/>
      <c r="DZ58" s="1029"/>
      <c r="EA58" s="1029"/>
      <c r="EB58" s="1029"/>
      <c r="EC58" s="1029"/>
      <c r="ED58" s="1029"/>
      <c r="EE58" s="1029"/>
      <c r="EF58" s="1029"/>
      <c r="EG58" s="1029"/>
      <c r="EH58" s="1029"/>
      <c r="EI58" s="1029"/>
      <c r="EJ58" s="1029"/>
      <c r="EK58" s="1029"/>
      <c r="EL58" s="1029"/>
      <c r="EM58" s="1029"/>
      <c r="EN58" s="1029"/>
      <c r="EO58" s="1029"/>
      <c r="EP58" s="1029"/>
      <c r="EQ58" s="1029"/>
      <c r="ER58" s="1030"/>
      <c r="ES58" s="1029"/>
      <c r="ET58" s="1029"/>
      <c r="EU58" s="1029"/>
      <c r="EV58" s="1029"/>
      <c r="EW58" s="1029"/>
      <c r="EX58" s="1029"/>
      <c r="EY58" s="1029"/>
      <c r="EZ58" s="1032"/>
      <c r="FA58" s="1033"/>
      <c r="FB58" s="1029"/>
      <c r="FC58" s="1029"/>
      <c r="FD58" s="1029"/>
      <c r="FE58" s="1029"/>
      <c r="FF58" s="1029"/>
      <c r="FG58" s="1029"/>
      <c r="FH58" s="1029"/>
      <c r="FI58" s="1029"/>
      <c r="FJ58" s="1029"/>
      <c r="FK58" s="1029"/>
      <c r="FL58" s="1029"/>
      <c r="FM58" s="1029"/>
      <c r="FN58" s="1029"/>
      <c r="FO58" s="1029"/>
      <c r="FP58" s="1029"/>
      <c r="FQ58" s="1029"/>
      <c r="FR58" s="1029"/>
      <c r="FS58" s="1029"/>
      <c r="FT58" s="1029"/>
      <c r="FU58" s="1031"/>
      <c r="FV58" s="113"/>
      <c r="FW58" s="1030"/>
      <c r="FX58" s="1030"/>
      <c r="FY58" s="1030"/>
      <c r="FZ58" s="1029"/>
      <c r="GA58" s="1029"/>
      <c r="GB58" s="1029"/>
      <c r="GC58" s="1029"/>
      <c r="GD58" s="1029"/>
      <c r="GE58" s="1029"/>
      <c r="GF58" s="1029"/>
      <c r="GG58" s="1029"/>
      <c r="GH58" s="1034"/>
      <c r="GI58" s="1035"/>
      <c r="GJ58" s="1030"/>
      <c r="GK58" s="1032"/>
      <c r="GL58" s="1033"/>
      <c r="GM58" s="1032"/>
      <c r="GN58" s="1036"/>
      <c r="GO58" s="1037"/>
      <c r="GP58" s="1038"/>
      <c r="GQ58" s="1038"/>
      <c r="GR58" s="1039"/>
      <c r="GS58" s="1040"/>
      <c r="GT58" s="1040"/>
      <c r="GU58" s="1041"/>
      <c r="GV58" s="1042"/>
      <c r="GW58" s="949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4"/>
      <c r="HM58" s="14"/>
      <c r="HN58" s="14"/>
      <c r="HO58" s="14"/>
    </row>
    <row r="59" spans="1:224" ht="15" customHeight="1" x14ac:dyDescent="0.3">
      <c r="A59" s="127">
        <f>A57+1</f>
        <v>48</v>
      </c>
      <c r="B59" s="766" t="s">
        <v>21</v>
      </c>
      <c r="C59" s="889">
        <v>423.6</v>
      </c>
      <c r="D59" s="514">
        <v>443.76</v>
      </c>
      <c r="E59" s="192">
        <f>408.97+146.24</f>
        <v>555.21</v>
      </c>
      <c r="F59" s="200">
        <v>354.42</v>
      </c>
      <c r="G59" s="92">
        <f>ROUND(AVERAGE(D59:F59),3)</f>
        <v>451.13</v>
      </c>
      <c r="H59" s="93">
        <v>3.76</v>
      </c>
      <c r="I59" s="93">
        <v>149.34</v>
      </c>
      <c r="J59" s="94"/>
      <c r="K59" s="319"/>
      <c r="L59" s="319"/>
      <c r="M59" s="326"/>
      <c r="N59" s="319"/>
      <c r="O59" s="326"/>
      <c r="P59" s="326"/>
      <c r="Q59" s="326"/>
      <c r="R59" s="326"/>
      <c r="S59" s="319"/>
      <c r="T59" s="326"/>
      <c r="U59" s="319"/>
      <c r="V59" s="326"/>
      <c r="W59" s="319"/>
      <c r="X59" s="326"/>
      <c r="Y59" s="319"/>
      <c r="Z59" s="326"/>
      <c r="AA59" s="326"/>
      <c r="AB59" s="326"/>
      <c r="AC59" s="326"/>
      <c r="AD59" s="319"/>
      <c r="AE59" s="319">
        <v>38.707000000000001</v>
      </c>
      <c r="AF59" s="319">
        <v>51.61</v>
      </c>
      <c r="AG59" s="319"/>
      <c r="AH59" s="319"/>
      <c r="AI59" s="319"/>
      <c r="AJ59" s="319"/>
      <c r="AK59" s="319"/>
      <c r="AL59" s="319"/>
      <c r="AM59" s="319"/>
      <c r="AN59" s="319"/>
      <c r="AO59" s="319"/>
      <c r="AP59" s="319"/>
      <c r="AQ59" s="319"/>
      <c r="AR59" s="319">
        <v>25.805</v>
      </c>
      <c r="AS59" s="319">
        <v>41.125999999999998</v>
      </c>
      <c r="AT59" s="319">
        <v>16.128</v>
      </c>
      <c r="AU59" s="319"/>
      <c r="AV59" s="319"/>
      <c r="AW59" s="319"/>
      <c r="AX59" s="319"/>
      <c r="AY59" s="326"/>
      <c r="AZ59" s="319">
        <v>128.07400000000001</v>
      </c>
      <c r="BA59" s="319">
        <v>142.30500000000001</v>
      </c>
      <c r="BB59" s="319"/>
      <c r="BC59" s="319"/>
      <c r="BD59" s="319"/>
      <c r="BE59" s="319"/>
      <c r="BF59" s="319"/>
      <c r="BG59" s="326"/>
      <c r="BH59" s="319"/>
      <c r="BI59" s="319"/>
      <c r="BJ59" s="158">
        <f t="shared" ref="BJ59:BJ79" si="37">SUM(K59:BI59)</f>
        <v>443.75500000000005</v>
      </c>
      <c r="BK59" s="94"/>
      <c r="BL59" s="326"/>
      <c r="BM59" s="319"/>
      <c r="BN59" s="326"/>
      <c r="BO59" s="326"/>
      <c r="BP59" s="326"/>
      <c r="BQ59" s="319"/>
      <c r="BR59" s="319"/>
      <c r="BS59" s="326"/>
      <c r="BT59" s="326"/>
      <c r="BU59" s="326"/>
      <c r="BV59" s="326"/>
      <c r="BW59" s="319"/>
      <c r="BX59" s="326"/>
      <c r="BY59" s="326"/>
      <c r="BZ59" s="326"/>
      <c r="CA59" s="326"/>
      <c r="CB59" s="319"/>
      <c r="CC59" s="326"/>
      <c r="CD59" s="326"/>
      <c r="CE59" s="326"/>
      <c r="CF59" s="326"/>
      <c r="CG59" s="319"/>
      <c r="CH59" s="319"/>
      <c r="CI59" s="319"/>
      <c r="CJ59" s="319"/>
      <c r="CK59" s="326"/>
      <c r="CL59" s="326"/>
      <c r="CM59" s="326"/>
      <c r="CN59" s="319"/>
      <c r="CO59" s="326"/>
      <c r="CP59" s="319"/>
      <c r="CQ59" s="326"/>
      <c r="CR59" s="326"/>
      <c r="CS59" s="177"/>
      <c r="CT59" s="271"/>
      <c r="CU59" s="271">
        <v>141.12</v>
      </c>
      <c r="CV59" s="271">
        <v>403.2</v>
      </c>
      <c r="CW59" s="326"/>
      <c r="CX59" s="326"/>
      <c r="CY59" s="326"/>
      <c r="CZ59" s="319"/>
      <c r="DA59" s="319"/>
      <c r="DB59" s="319"/>
      <c r="DC59" s="319"/>
      <c r="DD59" s="319"/>
      <c r="DE59" s="319"/>
      <c r="DF59" s="326"/>
      <c r="DG59" s="326"/>
      <c r="DH59" s="326"/>
      <c r="DI59" s="326"/>
      <c r="DJ59" s="326"/>
      <c r="DK59" s="326"/>
      <c r="DL59" s="326"/>
      <c r="DM59" s="326"/>
      <c r="DN59" s="326"/>
      <c r="DO59" s="326"/>
      <c r="DP59" s="326"/>
      <c r="DQ59" s="326"/>
      <c r="DR59" s="326">
        <v>10.885999999999999</v>
      </c>
      <c r="DS59" s="419">
        <f t="shared" si="36"/>
        <v>555.2059999999999</v>
      </c>
      <c r="DT59" s="57"/>
      <c r="DU59" s="326"/>
      <c r="DV59" s="326"/>
      <c r="DW59" s="326"/>
      <c r="DX59" s="326"/>
      <c r="DY59" s="326"/>
      <c r="DZ59" s="326"/>
      <c r="EA59" s="326"/>
      <c r="EB59" s="319"/>
      <c r="EC59" s="319">
        <v>16.128</v>
      </c>
      <c r="ED59" s="319">
        <v>38.707000000000001</v>
      </c>
      <c r="EE59" s="319">
        <v>27.417999999999999</v>
      </c>
      <c r="EF59" s="319"/>
      <c r="EG59" s="319"/>
      <c r="EH59" s="319"/>
      <c r="EI59" s="319"/>
      <c r="EJ59" s="319"/>
      <c r="EK59" s="319"/>
      <c r="EL59" s="319"/>
      <c r="EM59" s="319"/>
      <c r="EN59" s="326"/>
      <c r="EO59" s="326"/>
      <c r="EP59" s="326"/>
      <c r="EQ59" s="319"/>
      <c r="ER59" s="245"/>
      <c r="ES59" s="326"/>
      <c r="ET59" s="319"/>
      <c r="EU59" s="319"/>
      <c r="EV59" s="319"/>
      <c r="EW59" s="319"/>
      <c r="EX59" s="319"/>
      <c r="EY59" s="319"/>
      <c r="EZ59" s="177">
        <v>181.44</v>
      </c>
      <c r="FA59" s="271"/>
      <c r="FB59" s="319"/>
      <c r="FC59" s="326">
        <v>90.72</v>
      </c>
      <c r="FD59" s="319"/>
      <c r="FE59" s="326"/>
      <c r="FF59" s="326"/>
      <c r="FG59" s="326"/>
      <c r="FH59" s="319"/>
      <c r="FI59" s="326"/>
      <c r="FJ59" s="319"/>
      <c r="FK59" s="326"/>
      <c r="FL59" s="319"/>
      <c r="FM59" s="319"/>
      <c r="FN59" s="326"/>
      <c r="FO59" s="319"/>
      <c r="FP59" s="319"/>
      <c r="FQ59" s="319"/>
      <c r="FR59" s="319"/>
      <c r="FS59" s="319"/>
      <c r="FT59" s="319"/>
      <c r="FU59" s="158">
        <f t="shared" ref="FU59:FU79" si="38">SUM(DU59:FT59)</f>
        <v>354.41300000000001</v>
      </c>
      <c r="FV59" s="95"/>
      <c r="FW59" s="326"/>
      <c r="FX59" s="245"/>
      <c r="FY59" s="326"/>
      <c r="FZ59" s="319"/>
      <c r="GA59" s="319"/>
      <c r="GB59" s="326"/>
      <c r="GC59" s="326"/>
      <c r="GD59" s="326"/>
      <c r="GE59" s="326"/>
      <c r="GF59" s="319"/>
      <c r="GG59" s="319"/>
      <c r="GH59" s="177"/>
      <c r="GI59" s="270"/>
      <c r="GJ59" s="245"/>
      <c r="GK59" s="177"/>
      <c r="GL59" s="271"/>
      <c r="GM59" s="177"/>
      <c r="GN59" s="272"/>
      <c r="GO59" s="435"/>
      <c r="GP59" s="327">
        <f t="shared" ref="GP59:GP79" si="39">SUM(FW59:GO59)</f>
        <v>0</v>
      </c>
      <c r="GQ59" s="445">
        <f t="shared" ref="GQ59:GQ79" si="40">I59-GP59</f>
        <v>149.34</v>
      </c>
      <c r="GR59" s="449">
        <f t="shared" ref="GR59:GR79" si="41">I59</f>
        <v>149.34</v>
      </c>
      <c r="GS59" s="451">
        <f t="shared" ref="GS59:GS77" si="42">G59</f>
        <v>451.13</v>
      </c>
      <c r="GT59" s="239">
        <f t="shared" ref="GT59:GT79" si="43">E59</f>
        <v>555.21</v>
      </c>
      <c r="GU59" s="36" t="str">
        <f t="shared" ref="GU59:GU79" si="44">B59</f>
        <v>Новихол</v>
      </c>
      <c r="GV59" s="38"/>
    </row>
    <row r="60" spans="1:224" ht="15" customHeight="1" x14ac:dyDescent="0.3">
      <c r="A60" s="127">
        <f>A59+1</f>
        <v>49</v>
      </c>
      <c r="B60" s="938" t="s">
        <v>510</v>
      </c>
      <c r="C60" s="889"/>
      <c r="D60" s="1205">
        <v>0</v>
      </c>
      <c r="E60" s="192">
        <v>41.33</v>
      </c>
      <c r="F60" s="200">
        <v>0</v>
      </c>
      <c r="G60" s="92">
        <f t="shared" ref="G60:G66" si="45">ROUND(AVERAGE(D60:F60),3)</f>
        <v>13.776999999999999</v>
      </c>
      <c r="H60" s="93">
        <v>7.67</v>
      </c>
      <c r="I60" s="93">
        <v>7.67</v>
      </c>
      <c r="J60" s="94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319"/>
      <c r="AD60" s="319"/>
      <c r="AE60" s="319"/>
      <c r="AF60" s="319"/>
      <c r="AG60" s="319"/>
      <c r="AH60" s="319"/>
      <c r="AI60" s="319"/>
      <c r="AJ60" s="319"/>
      <c r="AK60" s="319"/>
      <c r="AL60" s="319"/>
      <c r="AM60" s="319"/>
      <c r="AN60" s="319"/>
      <c r="AO60" s="319"/>
      <c r="AP60" s="319"/>
      <c r="AQ60" s="319"/>
      <c r="AR60" s="319"/>
      <c r="AS60" s="319"/>
      <c r="AT60" s="319"/>
      <c r="AU60" s="319"/>
      <c r="AV60" s="319"/>
      <c r="AW60" s="319"/>
      <c r="AX60" s="319"/>
      <c r="AY60" s="319"/>
      <c r="AZ60" s="319"/>
      <c r="BA60" s="319"/>
      <c r="BB60" s="319"/>
      <c r="BC60" s="319"/>
      <c r="BD60" s="319"/>
      <c r="BE60" s="319"/>
      <c r="BF60" s="319"/>
      <c r="BG60" s="319"/>
      <c r="BH60" s="319"/>
      <c r="BI60" s="319"/>
      <c r="BJ60" s="158">
        <f t="shared" si="37"/>
        <v>0</v>
      </c>
      <c r="BK60" s="94"/>
      <c r="BL60" s="319"/>
      <c r="BM60" s="319"/>
      <c r="BN60" s="319"/>
      <c r="BO60" s="319"/>
      <c r="BP60" s="319"/>
      <c r="BQ60" s="319"/>
      <c r="BR60" s="319"/>
      <c r="BS60" s="319"/>
      <c r="BT60" s="319"/>
      <c r="BU60" s="319"/>
      <c r="BV60" s="319"/>
      <c r="BW60" s="319"/>
      <c r="BX60" s="319"/>
      <c r="BY60" s="319"/>
      <c r="BZ60" s="319"/>
      <c r="CA60" s="319"/>
      <c r="CB60" s="319"/>
      <c r="CC60" s="319"/>
      <c r="CD60" s="319"/>
      <c r="CE60" s="319"/>
      <c r="CF60" s="319"/>
      <c r="CG60" s="319"/>
      <c r="CH60" s="319"/>
      <c r="CI60" s="319"/>
      <c r="CJ60" s="319"/>
      <c r="CK60" s="319"/>
      <c r="CL60" s="319"/>
      <c r="CM60" s="319"/>
      <c r="CN60" s="319"/>
      <c r="CO60" s="319"/>
      <c r="CP60" s="319"/>
      <c r="CQ60" s="319"/>
      <c r="CR60" s="319"/>
      <c r="CS60" s="177">
        <v>41.328000000000003</v>
      </c>
      <c r="CT60" s="271"/>
      <c r="CU60" s="271"/>
      <c r="CV60" s="271"/>
      <c r="CW60" s="319"/>
      <c r="CX60" s="319"/>
      <c r="CY60" s="319"/>
      <c r="CZ60" s="319"/>
      <c r="DA60" s="319"/>
      <c r="DB60" s="319"/>
      <c r="DC60" s="319"/>
      <c r="DD60" s="319"/>
      <c r="DE60" s="319"/>
      <c r="DF60" s="319"/>
      <c r="DG60" s="319"/>
      <c r="DH60" s="319"/>
      <c r="DI60" s="319"/>
      <c r="DJ60" s="319"/>
      <c r="DK60" s="319"/>
      <c r="DL60" s="319"/>
      <c r="DM60" s="319"/>
      <c r="DN60" s="319"/>
      <c r="DO60" s="319"/>
      <c r="DP60" s="319"/>
      <c r="DQ60" s="319"/>
      <c r="DR60" s="319"/>
      <c r="DS60" s="419">
        <f t="shared" si="36"/>
        <v>41.328000000000003</v>
      </c>
      <c r="DT60" s="57"/>
      <c r="DU60" s="319"/>
      <c r="DV60" s="319"/>
      <c r="DW60" s="319"/>
      <c r="DX60" s="319"/>
      <c r="DY60" s="319"/>
      <c r="DZ60" s="319"/>
      <c r="EA60" s="319"/>
      <c r="EB60" s="319"/>
      <c r="EC60" s="319"/>
      <c r="ED60" s="319"/>
      <c r="EE60" s="319"/>
      <c r="EF60" s="319"/>
      <c r="EG60" s="319"/>
      <c r="EH60" s="319"/>
      <c r="EI60" s="319"/>
      <c r="EJ60" s="319"/>
      <c r="EK60" s="319"/>
      <c r="EL60" s="319"/>
      <c r="EM60" s="319"/>
      <c r="EN60" s="319"/>
      <c r="EO60" s="319"/>
      <c r="EP60" s="319"/>
      <c r="EQ60" s="319"/>
      <c r="ER60" s="245"/>
      <c r="ES60" s="319"/>
      <c r="ET60" s="319"/>
      <c r="EU60" s="319"/>
      <c r="EV60" s="319"/>
      <c r="EW60" s="319"/>
      <c r="EX60" s="319"/>
      <c r="EY60" s="319"/>
      <c r="EZ60" s="177"/>
      <c r="FA60" s="271"/>
      <c r="FB60" s="319"/>
      <c r="FC60" s="319"/>
      <c r="FD60" s="319"/>
      <c r="FE60" s="319"/>
      <c r="FF60" s="319"/>
      <c r="FG60" s="319"/>
      <c r="FH60" s="319"/>
      <c r="FI60" s="319"/>
      <c r="FJ60" s="319"/>
      <c r="FK60" s="319"/>
      <c r="FL60" s="319"/>
      <c r="FM60" s="319"/>
      <c r="FN60" s="319"/>
      <c r="FO60" s="319"/>
      <c r="FP60" s="319"/>
      <c r="FQ60" s="319"/>
      <c r="FR60" s="319"/>
      <c r="FS60" s="319"/>
      <c r="FT60" s="319"/>
      <c r="FU60" s="158">
        <f t="shared" si="38"/>
        <v>0</v>
      </c>
      <c r="FV60" s="95"/>
      <c r="FW60" s="245"/>
      <c r="FX60" s="245"/>
      <c r="FY60" s="245"/>
      <c r="FZ60" s="319"/>
      <c r="GA60" s="319"/>
      <c r="GB60" s="319"/>
      <c r="GC60" s="319"/>
      <c r="GD60" s="319"/>
      <c r="GE60" s="319"/>
      <c r="GF60" s="319"/>
      <c r="GG60" s="319"/>
      <c r="GH60" s="32"/>
      <c r="GI60" s="270"/>
      <c r="GJ60" s="245"/>
      <c r="GK60" s="177"/>
      <c r="GL60" s="271"/>
      <c r="GM60" s="177"/>
      <c r="GN60" s="272"/>
      <c r="GO60" s="435"/>
      <c r="GP60" s="327">
        <f t="shared" si="39"/>
        <v>0</v>
      </c>
      <c r="GQ60" s="525">
        <f t="shared" si="40"/>
        <v>7.67</v>
      </c>
      <c r="GR60" s="449">
        <f t="shared" si="41"/>
        <v>7.67</v>
      </c>
      <c r="GS60" s="451">
        <f t="shared" si="42"/>
        <v>13.776999999999999</v>
      </c>
      <c r="GT60" s="239">
        <f t="shared" si="43"/>
        <v>41.33</v>
      </c>
      <c r="GU60" s="36" t="str">
        <f t="shared" si="44"/>
        <v>Нупро</v>
      </c>
      <c r="GV60" s="38"/>
    </row>
    <row r="61" spans="1:224" s="14" customFormat="1" ht="15" customHeight="1" x14ac:dyDescent="0.3">
      <c r="A61" s="127">
        <f t="shared" ref="A61:A64" si="46">A60+1</f>
        <v>50</v>
      </c>
      <c r="B61" s="694" t="s">
        <v>216</v>
      </c>
      <c r="C61" s="889">
        <f>703.06+3464.4</f>
        <v>4167.46</v>
      </c>
      <c r="D61" s="514">
        <v>3691.56</v>
      </c>
      <c r="E61" s="192">
        <f>2844.04+1481.29</f>
        <v>4325.33</v>
      </c>
      <c r="F61" s="201">
        <v>1632.5</v>
      </c>
      <c r="G61" s="92">
        <f t="shared" si="45"/>
        <v>3216.4630000000002</v>
      </c>
      <c r="H61" s="93">
        <f>2518.71+4000</f>
        <v>6518.71</v>
      </c>
      <c r="I61" s="93">
        <f>886.21+4000+3000</f>
        <v>7886.21</v>
      </c>
      <c r="J61" s="94"/>
      <c r="K61" s="319"/>
      <c r="L61" s="319"/>
      <c r="M61" s="319"/>
      <c r="N61" s="319"/>
      <c r="O61" s="319"/>
      <c r="P61" s="319"/>
      <c r="Q61" s="319">
        <v>75.599999999999994</v>
      </c>
      <c r="R61" s="319"/>
      <c r="S61" s="319"/>
      <c r="T61" s="319"/>
      <c r="U61" s="319">
        <f>141.12*1.5</f>
        <v>211.68</v>
      </c>
      <c r="V61" s="319"/>
      <c r="W61" s="319"/>
      <c r="X61" s="319">
        <f>141.12*7</f>
        <v>987.84</v>
      </c>
      <c r="Y61" s="319"/>
      <c r="Z61" s="319">
        <f>141.12*2</f>
        <v>282.24</v>
      </c>
      <c r="AA61" s="319"/>
      <c r="AB61" s="319">
        <f>141.12*8</f>
        <v>1128.96</v>
      </c>
      <c r="AC61" s="319"/>
      <c r="AD61" s="319"/>
      <c r="AE61" s="319"/>
      <c r="AF61" s="319"/>
      <c r="AG61" s="319">
        <v>71.667000000000002</v>
      </c>
      <c r="AH61" s="319">
        <v>483.84</v>
      </c>
      <c r="AI61" s="319"/>
      <c r="AJ61" s="319"/>
      <c r="AK61" s="319"/>
      <c r="AL61" s="319">
        <v>96.768000000000001</v>
      </c>
      <c r="AM61" s="319"/>
      <c r="AN61" s="319"/>
      <c r="AO61" s="319"/>
      <c r="AP61" s="319"/>
      <c r="AQ61" s="319"/>
      <c r="AR61" s="319"/>
      <c r="AS61" s="319">
        <v>53.75</v>
      </c>
      <c r="AT61" s="319"/>
      <c r="AU61" s="319"/>
      <c r="AV61" s="319"/>
      <c r="AW61" s="319"/>
      <c r="AX61" s="319"/>
      <c r="AY61" s="319"/>
      <c r="AZ61" s="319"/>
      <c r="BA61" s="319">
        <v>158.089</v>
      </c>
      <c r="BB61" s="319">
        <v>141.12</v>
      </c>
      <c r="BC61" s="319"/>
      <c r="BD61" s="319"/>
      <c r="BE61" s="319"/>
      <c r="BF61" s="319"/>
      <c r="BG61" s="319"/>
      <c r="BH61" s="319"/>
      <c r="BI61" s="319"/>
      <c r="BJ61" s="158">
        <f t="shared" si="37"/>
        <v>3691.5539999999996</v>
      </c>
      <c r="BK61" s="94"/>
      <c r="BL61" s="319"/>
      <c r="BM61" s="319"/>
      <c r="BN61" s="319"/>
      <c r="BO61" s="319"/>
      <c r="BP61" s="319"/>
      <c r="BQ61" s="319"/>
      <c r="BR61" s="319"/>
      <c r="BS61" s="319">
        <f>141.12*5.4</f>
        <v>762.04800000000012</v>
      </c>
      <c r="BT61" s="319"/>
      <c r="BU61" s="319"/>
      <c r="BV61" s="319"/>
      <c r="BW61" s="319"/>
      <c r="BX61" s="319">
        <f>141.12*2.1</f>
        <v>296.35200000000003</v>
      </c>
      <c r="BY61" s="319">
        <f>141.12*2</f>
        <v>282.24</v>
      </c>
      <c r="BZ61" s="319"/>
      <c r="CA61" s="319"/>
      <c r="CB61" s="319"/>
      <c r="CC61" s="319"/>
      <c r="CD61" s="319"/>
      <c r="CE61" s="319"/>
      <c r="CF61" s="319">
        <f>1128.96/8*6</f>
        <v>846.72</v>
      </c>
      <c r="CG61" s="319"/>
      <c r="CH61" s="319"/>
      <c r="CI61" s="319">
        <f>75.6</f>
        <v>75.599999999999994</v>
      </c>
      <c r="CJ61" s="319"/>
      <c r="CK61" s="319"/>
      <c r="CL61" s="319"/>
      <c r="CM61" s="319">
        <v>96.768000000000001</v>
      </c>
      <c r="CN61" s="319"/>
      <c r="CO61" s="319">
        <f>141.12*2</f>
        <v>282.24</v>
      </c>
      <c r="CP61" s="319"/>
      <c r="CQ61" s="319"/>
      <c r="CR61" s="319"/>
      <c r="CS61" s="177"/>
      <c r="CT61" s="271"/>
      <c r="CU61" s="271"/>
      <c r="CV61" s="271"/>
      <c r="CW61" s="319"/>
      <c r="CX61" s="319"/>
      <c r="CY61" s="319"/>
      <c r="CZ61" s="319"/>
      <c r="DA61" s="319"/>
      <c r="DB61" s="319"/>
      <c r="DC61" s="319"/>
      <c r="DD61" s="319">
        <v>483.84</v>
      </c>
      <c r="DE61" s="319"/>
      <c r="DF61" s="319"/>
      <c r="DG61" s="319"/>
      <c r="DH61" s="319"/>
      <c r="DI61" s="319">
        <f>1128.96/8</f>
        <v>141.12</v>
      </c>
      <c r="DJ61" s="319"/>
      <c r="DK61" s="319"/>
      <c r="DL61" s="319"/>
      <c r="DM61" s="319"/>
      <c r="DN61" s="319"/>
      <c r="DO61" s="319"/>
      <c r="DP61" s="319">
        <f>1128.96/8*7.5</f>
        <v>1058.4000000000001</v>
      </c>
      <c r="DQ61" s="319"/>
      <c r="DR61" s="319"/>
      <c r="DS61" s="419">
        <f t="shared" si="36"/>
        <v>4325.3279999999995</v>
      </c>
      <c r="DT61" s="57"/>
      <c r="DU61" s="319"/>
      <c r="DV61" s="319"/>
      <c r="DW61" s="319"/>
      <c r="DX61" s="319"/>
      <c r="DY61" s="319"/>
      <c r="DZ61" s="319"/>
      <c r="EA61" s="319"/>
      <c r="EB61" s="319"/>
      <c r="EC61" s="319"/>
      <c r="ED61" s="319"/>
      <c r="EE61" s="319">
        <v>35.834000000000003</v>
      </c>
      <c r="EF61" s="319">
        <v>141.12</v>
      </c>
      <c r="EG61" s="319"/>
      <c r="EH61" s="319"/>
      <c r="EI61" s="319"/>
      <c r="EJ61" s="319"/>
      <c r="EK61" s="319"/>
      <c r="EL61" s="319"/>
      <c r="EM61" s="319"/>
      <c r="EN61" s="319">
        <f>1128.96/8*5</f>
        <v>705.6</v>
      </c>
      <c r="EO61" s="319"/>
      <c r="EP61" s="319"/>
      <c r="EQ61" s="319"/>
      <c r="ER61" s="245"/>
      <c r="ES61" s="319"/>
      <c r="ET61" s="319">
        <v>96.768000000000001</v>
      </c>
      <c r="EU61" s="319"/>
      <c r="EV61" s="319"/>
      <c r="EW61" s="319"/>
      <c r="EX61" s="319"/>
      <c r="EY61" s="319"/>
      <c r="EZ61" s="177"/>
      <c r="FA61" s="271"/>
      <c r="FB61" s="319"/>
      <c r="FC61" s="319"/>
      <c r="FD61" s="319">
        <v>483.84</v>
      </c>
      <c r="FE61" s="319"/>
      <c r="FF61" s="319"/>
      <c r="FG61" s="319"/>
      <c r="FH61" s="319"/>
      <c r="FI61" s="319"/>
      <c r="FJ61" s="319"/>
      <c r="FK61" s="319"/>
      <c r="FL61" s="319"/>
      <c r="FM61" s="319"/>
      <c r="FN61" s="319"/>
      <c r="FO61" s="319">
        <f>141.12*1.2</f>
        <v>169.34399999999999</v>
      </c>
      <c r="FP61" s="319"/>
      <c r="FQ61" s="319"/>
      <c r="FR61" s="319"/>
      <c r="FS61" s="319"/>
      <c r="FT61" s="319"/>
      <c r="FU61" s="158">
        <f t="shared" si="38"/>
        <v>1632.5060000000001</v>
      </c>
      <c r="FV61" s="95"/>
      <c r="FW61" s="245"/>
      <c r="FX61" s="245"/>
      <c r="FY61" s="245"/>
      <c r="FZ61" s="319"/>
      <c r="GA61" s="319"/>
      <c r="GB61" s="319"/>
      <c r="GC61" s="319"/>
      <c r="GD61" s="319"/>
      <c r="GE61" s="319"/>
      <c r="GF61" s="319"/>
      <c r="GG61" s="319"/>
      <c r="GH61" s="28"/>
      <c r="GI61" s="270"/>
      <c r="GJ61" s="245"/>
      <c r="GK61" s="177"/>
      <c r="GL61" s="271"/>
      <c r="GM61" s="177"/>
      <c r="GN61" s="272"/>
      <c r="GO61" s="435"/>
      <c r="GP61" s="327">
        <f t="shared" si="39"/>
        <v>0</v>
      </c>
      <c r="GQ61" s="445">
        <f t="shared" si="40"/>
        <v>7886.21</v>
      </c>
      <c r="GR61" s="449">
        <f t="shared" si="41"/>
        <v>7886.21</v>
      </c>
      <c r="GS61" s="451">
        <f t="shared" si="42"/>
        <v>3216.4630000000002</v>
      </c>
      <c r="GT61" s="239">
        <f t="shared" si="43"/>
        <v>4325.33</v>
      </c>
      <c r="GU61" s="36" t="str">
        <f t="shared" si="44"/>
        <v>Карбонат калия  гранул</v>
      </c>
      <c r="GV61" s="402"/>
      <c r="GW61" s="948"/>
    </row>
    <row r="62" spans="1:224" ht="15" customHeight="1" x14ac:dyDescent="0.3">
      <c r="A62" s="127">
        <f t="shared" si="46"/>
        <v>51</v>
      </c>
      <c r="B62" s="694" t="s">
        <v>217</v>
      </c>
      <c r="C62" s="889">
        <v>0</v>
      </c>
      <c r="D62" s="1205">
        <v>0</v>
      </c>
      <c r="E62" s="192">
        <v>0</v>
      </c>
      <c r="F62" s="162">
        <v>0</v>
      </c>
      <c r="G62" s="92">
        <f t="shared" si="45"/>
        <v>0</v>
      </c>
      <c r="H62" s="93">
        <v>0</v>
      </c>
      <c r="I62" s="93">
        <v>0</v>
      </c>
      <c r="J62" s="146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319"/>
      <c r="AY62" s="319"/>
      <c r="AZ62" s="319"/>
      <c r="BA62" s="319"/>
      <c r="BB62" s="319"/>
      <c r="BC62" s="319"/>
      <c r="BD62" s="319"/>
      <c r="BE62" s="319"/>
      <c r="BF62" s="319"/>
      <c r="BG62" s="319"/>
      <c r="BH62" s="319"/>
      <c r="BI62" s="319"/>
      <c r="BJ62" s="158">
        <f t="shared" si="37"/>
        <v>0</v>
      </c>
      <c r="BK62" s="146"/>
      <c r="BL62" s="319"/>
      <c r="BM62" s="319"/>
      <c r="BN62" s="319"/>
      <c r="BO62" s="319"/>
      <c r="BP62" s="319"/>
      <c r="BQ62" s="319"/>
      <c r="BR62" s="319"/>
      <c r="BS62" s="319"/>
      <c r="BT62" s="319"/>
      <c r="BU62" s="319"/>
      <c r="BV62" s="319"/>
      <c r="BW62" s="319"/>
      <c r="BX62" s="319"/>
      <c r="BY62" s="319"/>
      <c r="BZ62" s="319"/>
      <c r="CA62" s="319"/>
      <c r="CB62" s="319"/>
      <c r="CC62" s="319"/>
      <c r="CD62" s="319"/>
      <c r="CE62" s="319"/>
      <c r="CF62" s="319"/>
      <c r="CG62" s="319"/>
      <c r="CH62" s="319"/>
      <c r="CI62" s="319"/>
      <c r="CJ62" s="319"/>
      <c r="CK62" s="319"/>
      <c r="CL62" s="319"/>
      <c r="CM62" s="319"/>
      <c r="CN62" s="319"/>
      <c r="CO62" s="319"/>
      <c r="CP62" s="319"/>
      <c r="CQ62" s="319"/>
      <c r="CR62" s="319"/>
      <c r="CS62" s="177"/>
      <c r="CT62" s="271"/>
      <c r="CU62" s="271"/>
      <c r="CV62" s="271"/>
      <c r="CW62" s="319"/>
      <c r="CX62" s="319"/>
      <c r="CY62" s="319"/>
      <c r="CZ62" s="319"/>
      <c r="DA62" s="319"/>
      <c r="DB62" s="319"/>
      <c r="DC62" s="319"/>
      <c r="DD62" s="319"/>
      <c r="DE62" s="319"/>
      <c r="DF62" s="319"/>
      <c r="DG62" s="319"/>
      <c r="DH62" s="319"/>
      <c r="DI62" s="319"/>
      <c r="DJ62" s="319"/>
      <c r="DK62" s="319"/>
      <c r="DL62" s="319"/>
      <c r="DM62" s="319"/>
      <c r="DN62" s="319"/>
      <c r="DO62" s="319"/>
      <c r="DP62" s="319"/>
      <c r="DQ62" s="319"/>
      <c r="DR62" s="319"/>
      <c r="DS62" s="419">
        <f t="shared" si="36"/>
        <v>0</v>
      </c>
      <c r="DT62" s="147"/>
      <c r="DU62" s="319"/>
      <c r="DV62" s="319"/>
      <c r="DW62" s="319"/>
      <c r="DX62" s="319"/>
      <c r="DY62" s="319"/>
      <c r="DZ62" s="319"/>
      <c r="EA62" s="319"/>
      <c r="EB62" s="319"/>
      <c r="EC62" s="319"/>
      <c r="ED62" s="319"/>
      <c r="EE62" s="319"/>
      <c r="EF62" s="319"/>
      <c r="EG62" s="319"/>
      <c r="EH62" s="319"/>
      <c r="EI62" s="319"/>
      <c r="EJ62" s="319"/>
      <c r="EK62" s="319"/>
      <c r="EL62" s="319"/>
      <c r="EM62" s="319"/>
      <c r="EN62" s="319"/>
      <c r="EO62" s="319"/>
      <c r="EP62" s="319"/>
      <c r="EQ62" s="319"/>
      <c r="ER62" s="245"/>
      <c r="ES62" s="319"/>
      <c r="ET62" s="319"/>
      <c r="EU62" s="319"/>
      <c r="EV62" s="319"/>
      <c r="EW62" s="319"/>
      <c r="EX62" s="319"/>
      <c r="EY62" s="319"/>
      <c r="EZ62" s="177"/>
      <c r="FA62" s="271"/>
      <c r="FB62" s="319"/>
      <c r="FC62" s="319"/>
      <c r="FD62" s="319"/>
      <c r="FE62" s="319"/>
      <c r="FF62" s="319"/>
      <c r="FG62" s="319"/>
      <c r="FH62" s="319"/>
      <c r="FI62" s="319"/>
      <c r="FJ62" s="319"/>
      <c r="FK62" s="319"/>
      <c r="FL62" s="319"/>
      <c r="FM62" s="319"/>
      <c r="FN62" s="319"/>
      <c r="FO62" s="319"/>
      <c r="FP62" s="319"/>
      <c r="FQ62" s="319"/>
      <c r="FR62" s="319"/>
      <c r="FS62" s="319"/>
      <c r="FT62" s="319"/>
      <c r="FU62" s="158">
        <f t="shared" si="38"/>
        <v>0</v>
      </c>
      <c r="FV62" s="148"/>
      <c r="FW62" s="245"/>
      <c r="FX62" s="245"/>
      <c r="FY62" s="245"/>
      <c r="FZ62" s="319"/>
      <c r="GA62" s="319"/>
      <c r="GB62" s="319"/>
      <c r="GC62" s="319"/>
      <c r="GD62" s="319"/>
      <c r="GE62" s="319"/>
      <c r="GF62" s="319"/>
      <c r="GG62" s="319"/>
      <c r="GH62" s="28"/>
      <c r="GI62" s="270"/>
      <c r="GJ62" s="245"/>
      <c r="GK62" s="177"/>
      <c r="GL62" s="271"/>
      <c r="GM62" s="177"/>
      <c r="GN62" s="272"/>
      <c r="GO62" s="435"/>
      <c r="GP62" s="327">
        <f t="shared" si="39"/>
        <v>0</v>
      </c>
      <c r="GQ62" s="445">
        <f t="shared" si="40"/>
        <v>0</v>
      </c>
      <c r="GR62" s="449">
        <f t="shared" si="41"/>
        <v>0</v>
      </c>
      <c r="GS62" s="451">
        <f t="shared" si="42"/>
        <v>0</v>
      </c>
      <c r="GT62" s="239">
        <f t="shared" si="43"/>
        <v>0</v>
      </c>
      <c r="GU62" s="36" t="str">
        <f t="shared" si="44"/>
        <v>Карбонат калия (поташ)</v>
      </c>
      <c r="GV62" s="38"/>
      <c r="GW62" s="950"/>
      <c r="GX62" s="26"/>
      <c r="GY62" s="26"/>
      <c r="GZ62" s="26"/>
      <c r="HA62" s="26"/>
      <c r="HB62" s="26"/>
      <c r="HC62" s="26"/>
      <c r="HD62" s="26"/>
      <c r="HE62" s="26"/>
      <c r="HF62" s="26"/>
    </row>
    <row r="63" spans="1:224" ht="15" customHeight="1" x14ac:dyDescent="0.3">
      <c r="A63" s="127">
        <f t="shared" si="46"/>
        <v>52</v>
      </c>
      <c r="B63" s="688" t="s">
        <v>46</v>
      </c>
      <c r="C63" s="889">
        <f>2753.23+8669.06</f>
        <v>11422.289999999999</v>
      </c>
      <c r="D63" s="262">
        <v>7241.79</v>
      </c>
      <c r="E63" s="192">
        <f>4089.15+7008.93</f>
        <v>11098.08</v>
      </c>
      <c r="F63" s="162">
        <f>2991.07+1454.21</f>
        <v>4445.2800000000007</v>
      </c>
      <c r="G63" s="92">
        <f t="shared" si="45"/>
        <v>7595.05</v>
      </c>
      <c r="H63" s="93">
        <v>2991.07</v>
      </c>
      <c r="I63" s="93">
        <f>3545.79+5000</f>
        <v>8545.7900000000009</v>
      </c>
      <c r="J63" s="146"/>
      <c r="K63" s="319"/>
      <c r="L63" s="319"/>
      <c r="M63" s="319"/>
      <c r="N63" s="319"/>
      <c r="O63" s="319"/>
      <c r="P63" s="319">
        <f>403.2</f>
        <v>403.2</v>
      </c>
      <c r="Q63" s="319"/>
      <c r="R63" s="319">
        <f>302.4*3</f>
        <v>907.19999999999993</v>
      </c>
      <c r="S63" s="319"/>
      <c r="T63" s="319"/>
      <c r="U63" s="319">
        <f>40.32*1.5</f>
        <v>60.480000000000004</v>
      </c>
      <c r="V63" s="319">
        <f>302.4*4</f>
        <v>1209.5999999999999</v>
      </c>
      <c r="W63" s="319"/>
      <c r="X63" s="319">
        <f>40.32*7</f>
        <v>282.24</v>
      </c>
      <c r="Y63" s="319"/>
      <c r="Z63" s="319">
        <f>40.32*2</f>
        <v>80.64</v>
      </c>
      <c r="AA63" s="319">
        <f>302.4*4</f>
        <v>1209.5999999999999</v>
      </c>
      <c r="AB63" s="319">
        <f>40.32*8</f>
        <v>322.56</v>
      </c>
      <c r="AC63" s="319"/>
      <c r="AD63" s="319"/>
      <c r="AE63" s="319"/>
      <c r="AF63" s="319">
        <v>510.72</v>
      </c>
      <c r="AG63" s="319"/>
      <c r="AH63" s="319">
        <v>90.72</v>
      </c>
      <c r="AI63" s="319"/>
      <c r="AJ63" s="319"/>
      <c r="AK63" s="319"/>
      <c r="AL63" s="319">
        <v>18.143999999999998</v>
      </c>
      <c r="AM63" s="319"/>
      <c r="AN63" s="319"/>
      <c r="AO63" s="319"/>
      <c r="AP63" s="319"/>
      <c r="AQ63" s="319">
        <v>344.73599999999999</v>
      </c>
      <c r="AR63" s="319"/>
      <c r="AS63" s="319"/>
      <c r="AT63" s="319"/>
      <c r="AU63" s="319">
        <v>302.39999999999998</v>
      </c>
      <c r="AV63" s="319"/>
      <c r="AW63" s="319"/>
      <c r="AX63" s="319"/>
      <c r="AY63" s="319"/>
      <c r="AZ63" s="319">
        <v>1126.587</v>
      </c>
      <c r="BA63" s="319"/>
      <c r="BB63" s="319">
        <v>40.32</v>
      </c>
      <c r="BC63" s="319"/>
      <c r="BD63" s="319"/>
      <c r="BE63" s="319"/>
      <c r="BF63" s="319"/>
      <c r="BG63" s="319"/>
      <c r="BH63" s="319"/>
      <c r="BI63" s="319">
        <f>302.4*1.1</f>
        <v>332.64</v>
      </c>
      <c r="BJ63" s="158">
        <f t="shared" si="37"/>
        <v>7241.7869999999994</v>
      </c>
      <c r="BK63" s="146"/>
      <c r="BL63" s="319"/>
      <c r="BM63" s="319"/>
      <c r="BN63" s="319"/>
      <c r="BO63" s="319"/>
      <c r="BP63" s="319"/>
      <c r="BQ63" s="319"/>
      <c r="BR63" s="319">
        <v>2721.6</v>
      </c>
      <c r="BS63" s="319">
        <f>40.32*5.4</f>
        <v>217.72800000000001</v>
      </c>
      <c r="BT63" s="319"/>
      <c r="BU63" s="319"/>
      <c r="BV63" s="319"/>
      <c r="BW63" s="319"/>
      <c r="BX63" s="319">
        <f>40.32*2.1</f>
        <v>84.672000000000011</v>
      </c>
      <c r="BY63" s="319">
        <f>40.32*2</f>
        <v>80.64</v>
      </c>
      <c r="BZ63" s="319"/>
      <c r="CA63" s="319">
        <f>302.4*4</f>
        <v>1209.5999999999999</v>
      </c>
      <c r="CB63" s="319"/>
      <c r="CC63" s="319"/>
      <c r="CD63" s="319">
        <f>302.4*4</f>
        <v>1209.5999999999999</v>
      </c>
      <c r="CE63" s="319"/>
      <c r="CF63" s="319">
        <f>322.56/8*6</f>
        <v>241.92000000000002</v>
      </c>
      <c r="CG63" s="319"/>
      <c r="CH63" s="319">
        <f>403.2*0.6</f>
        <v>241.92</v>
      </c>
      <c r="CI63" s="319"/>
      <c r="CJ63" s="319"/>
      <c r="CK63" s="319"/>
      <c r="CL63" s="319">
        <f>229.824/0.6*0.9</f>
        <v>344.73600000000005</v>
      </c>
      <c r="CM63" s="319">
        <v>18.143999999999998</v>
      </c>
      <c r="CN63" s="319"/>
      <c r="CO63" s="319">
        <f>40.32*2</f>
        <v>80.64</v>
      </c>
      <c r="CP63" s="319"/>
      <c r="CQ63" s="319"/>
      <c r="CR63" s="319"/>
      <c r="CS63" s="177"/>
      <c r="CT63" s="271"/>
      <c r="CU63" s="271"/>
      <c r="CV63" s="271">
        <v>2520</v>
      </c>
      <c r="CW63" s="319"/>
      <c r="CX63" s="319"/>
      <c r="CY63" s="319"/>
      <c r="CZ63" s="319"/>
      <c r="DA63" s="319"/>
      <c r="DB63" s="319"/>
      <c r="DC63" s="319"/>
      <c r="DD63" s="319">
        <v>90.72</v>
      </c>
      <c r="DE63" s="319"/>
      <c r="DF63" s="319">
        <f>302.4*0.6</f>
        <v>181.43999999999997</v>
      </c>
      <c r="DG63" s="319"/>
      <c r="DH63" s="319">
        <f>302.4</f>
        <v>302.39999999999998</v>
      </c>
      <c r="DI63" s="319">
        <f>322.56/8</f>
        <v>40.32</v>
      </c>
      <c r="DJ63" s="319"/>
      <c r="DK63" s="319"/>
      <c r="DL63" s="319"/>
      <c r="DM63" s="319"/>
      <c r="DN63" s="319"/>
      <c r="DO63" s="319">
        <f>302.4*4</f>
        <v>1209.5999999999999</v>
      </c>
      <c r="DP63" s="319">
        <f>322.56/8*7.5</f>
        <v>302.39999999999998</v>
      </c>
      <c r="DQ63" s="319"/>
      <c r="DR63" s="319"/>
      <c r="DS63" s="419">
        <f t="shared" si="36"/>
        <v>11098.08</v>
      </c>
      <c r="DT63" s="147"/>
      <c r="DU63" s="319"/>
      <c r="DV63" s="319"/>
      <c r="DW63" s="319"/>
      <c r="DX63" s="319"/>
      <c r="DY63" s="319"/>
      <c r="DZ63" s="319">
        <v>163.29599999999999</v>
      </c>
      <c r="EA63" s="319"/>
      <c r="EB63" s="319"/>
      <c r="EC63" s="319"/>
      <c r="ED63" s="319"/>
      <c r="EE63" s="319"/>
      <c r="EF63" s="319">
        <v>40.32</v>
      </c>
      <c r="EG63" s="319"/>
      <c r="EH63" s="319"/>
      <c r="EI63" s="319"/>
      <c r="EJ63" s="319">
        <f>302.4*1.5</f>
        <v>453.59999999999997</v>
      </c>
      <c r="EK63" s="319">
        <v>302.39999999999998</v>
      </c>
      <c r="EL63" s="319">
        <v>302.39999999999998</v>
      </c>
      <c r="EM63" s="319"/>
      <c r="EN63" s="319">
        <f>322.56/8*5</f>
        <v>201.6</v>
      </c>
      <c r="EO63" s="319"/>
      <c r="EP63" s="319">
        <f>302.4*2</f>
        <v>604.79999999999995</v>
      </c>
      <c r="EQ63" s="319"/>
      <c r="ER63" s="245"/>
      <c r="ES63" s="319">
        <f>302.4*3</f>
        <v>907.19999999999993</v>
      </c>
      <c r="ET63" s="319">
        <v>18.143999999999998</v>
      </c>
      <c r="EU63" s="319">
        <v>344.73599999999999</v>
      </c>
      <c r="EV63" s="319"/>
      <c r="EW63" s="319"/>
      <c r="EX63" s="319"/>
      <c r="EY63" s="319"/>
      <c r="EZ63" s="177"/>
      <c r="FA63" s="271"/>
      <c r="FB63" s="319">
        <f>241.92/0.6*1.2</f>
        <v>483.84</v>
      </c>
      <c r="FC63" s="319"/>
      <c r="FD63" s="319">
        <v>90.72</v>
      </c>
      <c r="FE63" s="319"/>
      <c r="FF63" s="319"/>
      <c r="FG63" s="319"/>
      <c r="FH63" s="319"/>
      <c r="FI63" s="319"/>
      <c r="FJ63" s="319"/>
      <c r="FK63" s="319"/>
      <c r="FL63" s="319"/>
      <c r="FM63" s="319"/>
      <c r="FN63" s="319">
        <f>151.2/0.5*0.6</f>
        <v>181.43999999999997</v>
      </c>
      <c r="FO63" s="319">
        <f>40.32*1.2</f>
        <v>48.384</v>
      </c>
      <c r="FP63" s="319"/>
      <c r="FQ63" s="319"/>
      <c r="FR63" s="319"/>
      <c r="FS63" s="319">
        <f>302.4</f>
        <v>302.39999999999998</v>
      </c>
      <c r="FT63" s="319"/>
      <c r="FU63" s="158">
        <f t="shared" si="38"/>
        <v>4445.2799999999988</v>
      </c>
      <c r="FV63" s="148"/>
      <c r="FW63" s="245"/>
      <c r="FX63" s="245"/>
      <c r="FY63" s="245"/>
      <c r="FZ63" s="319"/>
      <c r="GA63" s="319"/>
      <c r="GB63" s="319"/>
      <c r="GC63" s="319"/>
      <c r="GD63" s="319"/>
      <c r="GE63" s="319"/>
      <c r="GF63" s="319"/>
      <c r="GG63" s="319"/>
      <c r="GH63" s="28"/>
      <c r="GI63" s="270"/>
      <c r="GJ63" s="245"/>
      <c r="GK63" s="177"/>
      <c r="GL63" s="271"/>
      <c r="GM63" s="177"/>
      <c r="GN63" s="272"/>
      <c r="GO63" s="435"/>
      <c r="GP63" s="327">
        <f t="shared" si="39"/>
        <v>0</v>
      </c>
      <c r="GQ63" s="445">
        <f t="shared" si="40"/>
        <v>8545.7900000000009</v>
      </c>
      <c r="GR63" s="449">
        <f t="shared" si="41"/>
        <v>8545.7900000000009</v>
      </c>
      <c r="GS63" s="451">
        <f t="shared" si="42"/>
        <v>7595.05</v>
      </c>
      <c r="GT63" s="239">
        <f t="shared" si="43"/>
        <v>11098.08</v>
      </c>
      <c r="GU63" s="36" t="str">
        <f t="shared" si="44"/>
        <v>кальций хлористый пищ Фудикс</v>
      </c>
      <c r="GV63" s="38"/>
      <c r="GW63" s="950"/>
      <c r="GX63" s="26"/>
      <c r="GY63" s="26"/>
      <c r="GZ63" s="26"/>
      <c r="HA63" s="26"/>
      <c r="HB63" s="26"/>
      <c r="HC63" s="26"/>
      <c r="HD63" s="26"/>
      <c r="HE63" s="26"/>
      <c r="HF63" s="26"/>
    </row>
    <row r="64" spans="1:224" s="26" customFormat="1" ht="15" customHeight="1" x14ac:dyDescent="0.3">
      <c r="A64" s="127">
        <f t="shared" si="46"/>
        <v>53</v>
      </c>
      <c r="B64" s="688" t="s">
        <v>47</v>
      </c>
      <c r="C64" s="889">
        <f>968.89+2357.72</f>
        <v>3326.6099999999997</v>
      </c>
      <c r="D64" s="516">
        <v>2923.56</v>
      </c>
      <c r="E64" s="192">
        <f>2718.72+829.65</f>
        <v>3548.37</v>
      </c>
      <c r="F64" s="311">
        <f>1170.35+342.08</f>
        <v>1512.4299999999998</v>
      </c>
      <c r="G64" s="92">
        <f t="shared" si="45"/>
        <v>2661.453</v>
      </c>
      <c r="H64" s="93">
        <v>1170.3499999999999</v>
      </c>
      <c r="I64" s="93">
        <v>9657.92</v>
      </c>
      <c r="J64" s="94"/>
      <c r="K64" s="319"/>
      <c r="L64" s="319"/>
      <c r="M64" s="319"/>
      <c r="N64" s="319"/>
      <c r="O64" s="319"/>
      <c r="P64" s="319">
        <f>50.757</f>
        <v>50.756999999999998</v>
      </c>
      <c r="Q64" s="319">
        <v>151.19999999999999</v>
      </c>
      <c r="R64" s="319"/>
      <c r="S64" s="319"/>
      <c r="T64" s="319"/>
      <c r="U64" s="319">
        <f>100.8*1.5</f>
        <v>151.19999999999999</v>
      </c>
      <c r="V64" s="319"/>
      <c r="W64" s="319"/>
      <c r="X64" s="319">
        <f>100.8*7</f>
        <v>705.6</v>
      </c>
      <c r="Y64" s="319"/>
      <c r="Z64" s="319">
        <f>100.8*2</f>
        <v>201.6</v>
      </c>
      <c r="AA64" s="319"/>
      <c r="AB64" s="319">
        <f>100.8*8</f>
        <v>806.4</v>
      </c>
      <c r="AC64" s="319"/>
      <c r="AD64" s="319"/>
      <c r="AE64" s="319"/>
      <c r="AF64" s="319"/>
      <c r="AG64" s="319"/>
      <c r="AH64" s="319">
        <v>604.79999999999995</v>
      </c>
      <c r="AI64" s="319"/>
      <c r="AJ64" s="319"/>
      <c r="AK64" s="319"/>
      <c r="AL64" s="319">
        <v>120.96</v>
      </c>
      <c r="AM64" s="319"/>
      <c r="AN64" s="319"/>
      <c r="AO64" s="319"/>
      <c r="AP64" s="319"/>
      <c r="AQ64" s="319"/>
      <c r="AR64" s="319"/>
      <c r="AS64" s="319"/>
      <c r="AT64" s="319"/>
      <c r="AU64" s="319"/>
      <c r="AV64" s="319"/>
      <c r="AW64" s="319"/>
      <c r="AX64" s="319"/>
      <c r="AY64" s="319"/>
      <c r="AZ64" s="319"/>
      <c r="BA64" s="319"/>
      <c r="BB64" s="319">
        <v>100.8</v>
      </c>
      <c r="BC64" s="319">
        <f>30.24</f>
        <v>30.24</v>
      </c>
      <c r="BD64" s="319"/>
      <c r="BE64" s="319"/>
      <c r="BF64" s="319"/>
      <c r="BG64" s="319"/>
      <c r="BH64" s="319"/>
      <c r="BI64" s="319"/>
      <c r="BJ64" s="158">
        <f t="shared" si="37"/>
        <v>2923.5569999999998</v>
      </c>
      <c r="BK64" s="94"/>
      <c r="BL64" s="319"/>
      <c r="BM64" s="319"/>
      <c r="BN64" s="319"/>
      <c r="BO64" s="319"/>
      <c r="BP64" s="319"/>
      <c r="BQ64" s="319"/>
      <c r="BR64" s="319"/>
      <c r="BS64" s="319">
        <f>100.8*5.4</f>
        <v>544.32000000000005</v>
      </c>
      <c r="BT64" s="319"/>
      <c r="BU64" s="319"/>
      <c r="BV64" s="319"/>
      <c r="BW64" s="319"/>
      <c r="BX64" s="319">
        <f>100.8*2.1</f>
        <v>211.68</v>
      </c>
      <c r="BY64" s="319">
        <f>100.8*2</f>
        <v>201.6</v>
      </c>
      <c r="BZ64" s="319"/>
      <c r="CA64" s="319"/>
      <c r="CB64" s="319"/>
      <c r="CC64" s="319"/>
      <c r="CD64" s="319"/>
      <c r="CE64" s="319"/>
      <c r="CF64" s="319">
        <f>806.4/8*6</f>
        <v>604.79999999999995</v>
      </c>
      <c r="CG64" s="319"/>
      <c r="CH64" s="319">
        <f>50.757*0.6</f>
        <v>30.454199999999997</v>
      </c>
      <c r="CI64" s="319">
        <v>151.19999999999999</v>
      </c>
      <c r="CJ64" s="319"/>
      <c r="CK64" s="319"/>
      <c r="CL64" s="319"/>
      <c r="CM64" s="319">
        <v>120.96</v>
      </c>
      <c r="CN64" s="319"/>
      <c r="CO64" s="319">
        <f>100.8*2</f>
        <v>201.6</v>
      </c>
      <c r="CP64" s="319"/>
      <c r="CQ64" s="319"/>
      <c r="CR64" s="319"/>
      <c r="CS64" s="326"/>
      <c r="CT64" s="355"/>
      <c r="CU64" s="355"/>
      <c r="CV64" s="355"/>
      <c r="CW64" s="319"/>
      <c r="CX64" s="319"/>
      <c r="CY64" s="319">
        <v>20.16</v>
      </c>
      <c r="CZ64" s="319"/>
      <c r="DA64" s="319"/>
      <c r="DB64" s="319"/>
      <c r="DC64" s="319"/>
      <c r="DD64" s="319">
        <v>604.79999999999995</v>
      </c>
      <c r="DE64" s="319"/>
      <c r="DF64" s="319"/>
      <c r="DG64" s="319"/>
      <c r="DH64" s="319"/>
      <c r="DI64" s="319">
        <f>806.4/8</f>
        <v>100.8</v>
      </c>
      <c r="DJ64" s="319"/>
      <c r="DK64" s="319"/>
      <c r="DL64" s="319"/>
      <c r="DM64" s="319"/>
      <c r="DN64" s="319"/>
      <c r="DO64" s="319"/>
      <c r="DP64" s="319">
        <f>806.4/8*7.5</f>
        <v>756</v>
      </c>
      <c r="DQ64" s="319"/>
      <c r="DR64" s="319"/>
      <c r="DS64" s="419">
        <f t="shared" si="36"/>
        <v>3548.3742000000002</v>
      </c>
      <c r="DT64" s="57"/>
      <c r="DU64" s="319"/>
      <c r="DV64" s="319"/>
      <c r="DW64" s="319"/>
      <c r="DX64" s="319"/>
      <c r="DY64" s="319"/>
      <c r="DZ64" s="319"/>
      <c r="EA64" s="319"/>
      <c r="EB64" s="319"/>
      <c r="EC64" s="319"/>
      <c r="ED64" s="319"/>
      <c r="EE64" s="319"/>
      <c r="EF64" s="319">
        <v>100.8</v>
      </c>
      <c r="EG64" s="319"/>
      <c r="EH64" s="319"/>
      <c r="EI64" s="319"/>
      <c r="EJ64" s="319"/>
      <c r="EK64" s="319"/>
      <c r="EL64" s="319"/>
      <c r="EM64" s="319"/>
      <c r="EN64" s="319">
        <f>806.4/8*5</f>
        <v>504</v>
      </c>
      <c r="EO64" s="319"/>
      <c r="EP64" s="319"/>
      <c r="EQ64" s="319"/>
      <c r="ER64" s="245"/>
      <c r="ES64" s="319"/>
      <c r="ET64" s="319">
        <v>120.96</v>
      </c>
      <c r="EU64" s="319"/>
      <c r="EV64" s="319"/>
      <c r="EW64" s="319"/>
      <c r="EX64" s="319"/>
      <c r="EY64" s="319"/>
      <c r="EZ64" s="326"/>
      <c r="FA64" s="355"/>
      <c r="FB64" s="319">
        <f>30.454/0.6*1.2</f>
        <v>60.908000000000001</v>
      </c>
      <c r="FC64" s="319"/>
      <c r="FD64" s="319">
        <v>604.79999999999995</v>
      </c>
      <c r="FE64" s="319"/>
      <c r="FF64" s="319"/>
      <c r="FG64" s="319"/>
      <c r="FH64" s="319"/>
      <c r="FI64" s="319"/>
      <c r="FJ64" s="319"/>
      <c r="FK64" s="319"/>
      <c r="FL64" s="319"/>
      <c r="FM64" s="319"/>
      <c r="FN64" s="319"/>
      <c r="FO64" s="319">
        <f>100.8*1.2</f>
        <v>120.96</v>
      </c>
      <c r="FP64" s="319"/>
      <c r="FQ64" s="319"/>
      <c r="FR64" s="319"/>
      <c r="FS64" s="319"/>
      <c r="FT64" s="319"/>
      <c r="FU64" s="158">
        <f t="shared" si="38"/>
        <v>1512.4279999999999</v>
      </c>
      <c r="FV64" s="95"/>
      <c r="FW64" s="245"/>
      <c r="FX64" s="245"/>
      <c r="FY64" s="245"/>
      <c r="FZ64" s="319"/>
      <c r="GA64" s="319"/>
      <c r="GB64" s="319"/>
      <c r="GC64" s="319"/>
      <c r="GD64" s="319"/>
      <c r="GE64" s="319"/>
      <c r="GF64" s="319"/>
      <c r="GG64" s="319"/>
      <c r="GH64" s="365"/>
      <c r="GI64" s="375"/>
      <c r="GJ64" s="245"/>
      <c r="GK64" s="326"/>
      <c r="GL64" s="355"/>
      <c r="GM64" s="326"/>
      <c r="GN64" s="325"/>
      <c r="GO64" s="435"/>
      <c r="GP64" s="376">
        <f t="shared" si="39"/>
        <v>0</v>
      </c>
      <c r="GQ64" s="445">
        <f t="shared" si="40"/>
        <v>9657.92</v>
      </c>
      <c r="GR64" s="449">
        <f t="shared" si="41"/>
        <v>9657.92</v>
      </c>
      <c r="GS64" s="451">
        <f t="shared" si="42"/>
        <v>2661.453</v>
      </c>
      <c r="GT64" s="239">
        <f t="shared" si="43"/>
        <v>3548.37</v>
      </c>
      <c r="GU64" s="36" t="str">
        <f t="shared" si="44"/>
        <v>кальция пропионат</v>
      </c>
      <c r="GV64" s="378"/>
      <c r="GW64" s="945"/>
      <c r="GX64" s="22"/>
      <c r="GY64" s="22"/>
      <c r="GZ64" s="22"/>
      <c r="HA64" s="22"/>
      <c r="HB64" s="22"/>
      <c r="HC64" s="22"/>
      <c r="HD64" s="22"/>
      <c r="HE64" s="22"/>
      <c r="HF64" s="22"/>
    </row>
    <row r="65" spans="1:214" s="26" customFormat="1" ht="15" customHeight="1" x14ac:dyDescent="0.3">
      <c r="A65" s="127">
        <f t="shared" ref="A65:A66" si="47">A64+1</f>
        <v>54</v>
      </c>
      <c r="B65" s="688" t="s">
        <v>505</v>
      </c>
      <c r="C65" s="889"/>
      <c r="D65" s="1207">
        <v>0</v>
      </c>
      <c r="E65" s="192">
        <v>23.27</v>
      </c>
      <c r="F65" s="935">
        <v>0</v>
      </c>
      <c r="G65" s="92">
        <f t="shared" si="45"/>
        <v>7.7569999999999997</v>
      </c>
      <c r="H65" s="93">
        <v>1.73</v>
      </c>
      <c r="I65" s="93">
        <v>1.73</v>
      </c>
      <c r="J65" s="94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319"/>
      <c r="AQ65" s="319"/>
      <c r="AR65" s="319"/>
      <c r="AS65" s="319"/>
      <c r="AT65" s="319"/>
      <c r="AU65" s="319"/>
      <c r="AV65" s="319"/>
      <c r="AW65" s="319"/>
      <c r="AX65" s="319"/>
      <c r="AY65" s="319"/>
      <c r="AZ65" s="319"/>
      <c r="BA65" s="319"/>
      <c r="BB65" s="319"/>
      <c r="BC65" s="319"/>
      <c r="BD65" s="319"/>
      <c r="BE65" s="319"/>
      <c r="BF65" s="319"/>
      <c r="BG65" s="319"/>
      <c r="BH65" s="319"/>
      <c r="BI65" s="319"/>
      <c r="BJ65" s="158">
        <f t="shared" si="37"/>
        <v>0</v>
      </c>
      <c r="BK65" s="94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19"/>
      <c r="BY65" s="319"/>
      <c r="BZ65" s="319"/>
      <c r="CA65" s="319"/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245"/>
      <c r="CT65" s="936"/>
      <c r="CU65" s="936"/>
      <c r="CV65" s="936"/>
      <c r="CW65" s="319"/>
      <c r="CX65" s="319"/>
      <c r="CY65" s="319">
        <v>23.271999999999998</v>
      </c>
      <c r="CZ65" s="319"/>
      <c r="DA65" s="319"/>
      <c r="DB65" s="319"/>
      <c r="DC65" s="319"/>
      <c r="DD65" s="319"/>
      <c r="DE65" s="319"/>
      <c r="DF65" s="319"/>
      <c r="DG65" s="319"/>
      <c r="DH65" s="319"/>
      <c r="DI65" s="319"/>
      <c r="DJ65" s="319"/>
      <c r="DK65" s="319"/>
      <c r="DL65" s="319"/>
      <c r="DM65" s="319"/>
      <c r="DN65" s="319"/>
      <c r="DO65" s="319"/>
      <c r="DP65" s="319"/>
      <c r="DQ65" s="319"/>
      <c r="DR65" s="319"/>
      <c r="DS65" s="419">
        <f t="shared" si="36"/>
        <v>23.271999999999998</v>
      </c>
      <c r="DT65" s="57"/>
      <c r="DU65" s="319"/>
      <c r="DV65" s="319"/>
      <c r="DW65" s="319"/>
      <c r="DX65" s="319"/>
      <c r="DY65" s="319"/>
      <c r="DZ65" s="319"/>
      <c r="EA65" s="319"/>
      <c r="EB65" s="319"/>
      <c r="EC65" s="319"/>
      <c r="ED65" s="319"/>
      <c r="EE65" s="319"/>
      <c r="EF65" s="319"/>
      <c r="EG65" s="319"/>
      <c r="EH65" s="319"/>
      <c r="EI65" s="319"/>
      <c r="EJ65" s="319"/>
      <c r="EK65" s="319"/>
      <c r="EL65" s="319"/>
      <c r="EM65" s="319"/>
      <c r="EN65" s="319"/>
      <c r="EO65" s="319"/>
      <c r="EP65" s="319"/>
      <c r="EQ65" s="319"/>
      <c r="ER65" s="245"/>
      <c r="ES65" s="319"/>
      <c r="ET65" s="319"/>
      <c r="EU65" s="319"/>
      <c r="EV65" s="319"/>
      <c r="EW65" s="319"/>
      <c r="EX65" s="319"/>
      <c r="EY65" s="319"/>
      <c r="EZ65" s="245"/>
      <c r="FA65" s="936"/>
      <c r="FB65" s="319"/>
      <c r="FC65" s="319"/>
      <c r="FD65" s="319"/>
      <c r="FE65" s="319"/>
      <c r="FF65" s="319"/>
      <c r="FG65" s="319"/>
      <c r="FH65" s="319"/>
      <c r="FI65" s="319"/>
      <c r="FJ65" s="319"/>
      <c r="FK65" s="319"/>
      <c r="FL65" s="319"/>
      <c r="FM65" s="319"/>
      <c r="FN65" s="319"/>
      <c r="FO65" s="319"/>
      <c r="FP65" s="319"/>
      <c r="FQ65" s="319"/>
      <c r="FR65" s="319"/>
      <c r="FS65" s="319"/>
      <c r="FT65" s="319"/>
      <c r="FU65" s="158">
        <f t="shared" si="38"/>
        <v>0</v>
      </c>
      <c r="FV65" s="95"/>
      <c r="FW65" s="245"/>
      <c r="FX65" s="245"/>
      <c r="FY65" s="245"/>
      <c r="FZ65" s="319"/>
      <c r="GA65" s="319"/>
      <c r="GB65" s="319"/>
      <c r="GC65" s="319"/>
      <c r="GD65" s="319"/>
      <c r="GE65" s="319"/>
      <c r="GF65" s="319"/>
      <c r="GG65" s="319"/>
      <c r="GH65" s="365"/>
      <c r="GI65" s="374"/>
      <c r="GJ65" s="245"/>
      <c r="GK65" s="245"/>
      <c r="GL65" s="936"/>
      <c r="GM65" s="245"/>
      <c r="GN65" s="319"/>
      <c r="GO65" s="472"/>
      <c r="GP65" s="376">
        <f t="shared" si="39"/>
        <v>0</v>
      </c>
      <c r="GQ65" s="525">
        <f t="shared" si="40"/>
        <v>1.73</v>
      </c>
      <c r="GR65" s="449">
        <f t="shared" si="41"/>
        <v>1.73</v>
      </c>
      <c r="GS65" s="451">
        <f t="shared" si="42"/>
        <v>7.7569999999999997</v>
      </c>
      <c r="GT65" s="239">
        <f t="shared" si="43"/>
        <v>23.27</v>
      </c>
      <c r="GU65" s="36" t="str">
        <f t="shared" si="44"/>
        <v>Концентрат СЖК</v>
      </c>
      <c r="GV65" s="378"/>
      <c r="GW65" s="945"/>
      <c r="GX65" s="22"/>
      <c r="GY65" s="22"/>
      <c r="GZ65" s="22"/>
      <c r="HA65" s="22"/>
      <c r="HB65" s="22"/>
      <c r="HC65" s="22"/>
      <c r="HD65" s="22"/>
      <c r="HE65" s="22"/>
      <c r="HF65" s="22"/>
    </row>
    <row r="66" spans="1:214" ht="15" customHeight="1" x14ac:dyDescent="0.3">
      <c r="A66" s="127">
        <f t="shared" si="47"/>
        <v>55</v>
      </c>
      <c r="B66" s="691" t="s">
        <v>32</v>
      </c>
      <c r="C66" s="889">
        <f>30.78+299+282.16</f>
        <v>611.94000000000005</v>
      </c>
      <c r="D66" s="517">
        <f>166.84+250+331.33</f>
        <v>748.17000000000007</v>
      </c>
      <c r="E66" s="192">
        <f>377.21</f>
        <v>377.21</v>
      </c>
      <c r="F66" s="471">
        <f>90.46+75+199+104.81</f>
        <v>469.27</v>
      </c>
      <c r="G66" s="92">
        <f t="shared" si="45"/>
        <v>531.54999999999995</v>
      </c>
      <c r="H66" s="93">
        <f>90.46+75+199</f>
        <v>364.46</v>
      </c>
      <c r="I66" s="93">
        <f>194.19+125</f>
        <v>319.19</v>
      </c>
      <c r="J66" s="94"/>
      <c r="K66" s="319"/>
      <c r="L66" s="319"/>
      <c r="M66" s="319"/>
      <c r="N66" s="319">
        <v>42.335999999999999</v>
      </c>
      <c r="O66" s="319">
        <v>7.258</v>
      </c>
      <c r="P66" s="319">
        <f>23.184</f>
        <v>23.184000000000001</v>
      </c>
      <c r="Q66" s="319">
        <v>30.24</v>
      </c>
      <c r="R66" s="319"/>
      <c r="S66" s="319"/>
      <c r="T66" s="319"/>
      <c r="U66" s="319"/>
      <c r="V66" s="319"/>
      <c r="W66" s="319"/>
      <c r="X66" s="319"/>
      <c r="Y66" s="319">
        <f>100.8*3</f>
        <v>302.39999999999998</v>
      </c>
      <c r="Z66" s="319"/>
      <c r="AA66" s="319"/>
      <c r="AB66" s="319"/>
      <c r="AC66" s="319"/>
      <c r="AD66" s="319">
        <v>4.032</v>
      </c>
      <c r="AE66" s="319">
        <v>24.797000000000001</v>
      </c>
      <c r="AF66" s="319">
        <v>18.815999999999999</v>
      </c>
      <c r="AG66" s="319">
        <v>9.4079999999999995</v>
      </c>
      <c r="AH66" s="319"/>
      <c r="AI66" s="319"/>
      <c r="AJ66" s="319">
        <v>177.821</v>
      </c>
      <c r="AK66" s="319"/>
      <c r="AL66" s="319"/>
      <c r="AM66" s="319"/>
      <c r="AN66" s="319"/>
      <c r="AO66" s="319"/>
      <c r="AP66" s="319"/>
      <c r="AQ66" s="319">
        <v>18.143999999999998</v>
      </c>
      <c r="AR66" s="319">
        <v>5.3760000000000003</v>
      </c>
      <c r="AS66" s="319">
        <v>8.0640000000000001</v>
      </c>
      <c r="AT66" s="319">
        <v>24.797000000000001</v>
      </c>
      <c r="AU66" s="319">
        <v>20.16</v>
      </c>
      <c r="AV66" s="319"/>
      <c r="AW66" s="319"/>
      <c r="AX66" s="319"/>
      <c r="AY66" s="319">
        <v>0.378</v>
      </c>
      <c r="AZ66" s="319">
        <v>0.59299999999999997</v>
      </c>
      <c r="BA66" s="319">
        <v>0.11899999999999999</v>
      </c>
      <c r="BB66" s="319"/>
      <c r="BC66" s="319"/>
      <c r="BD66" s="319"/>
      <c r="BE66" s="319">
        <v>30.24</v>
      </c>
      <c r="BF66" s="319"/>
      <c r="BG66" s="319"/>
      <c r="BH66" s="319"/>
      <c r="BI66" s="319"/>
      <c r="BJ66" s="158">
        <f t="shared" si="37"/>
        <v>748.16300000000001</v>
      </c>
      <c r="BK66" s="94"/>
      <c r="BL66" s="319"/>
      <c r="BM66" s="319"/>
      <c r="BN66" s="319"/>
      <c r="BO66" s="319"/>
      <c r="BP66" s="319"/>
      <c r="BQ66" s="319"/>
      <c r="BR66" s="319"/>
      <c r="BS66" s="319"/>
      <c r="BT66" s="319"/>
      <c r="BU66" s="319"/>
      <c r="BV66" s="319"/>
      <c r="BW66" s="319"/>
      <c r="BX66" s="319"/>
      <c r="BY66" s="319"/>
      <c r="BZ66" s="319"/>
      <c r="CA66" s="319"/>
      <c r="CB66" s="319"/>
      <c r="CC66" s="319"/>
      <c r="CD66" s="319"/>
      <c r="CE66" s="319"/>
      <c r="CF66" s="319"/>
      <c r="CG66" s="319">
        <v>2.722</v>
      </c>
      <c r="CH66" s="319">
        <f>23.184*0.6</f>
        <v>13.910400000000001</v>
      </c>
      <c r="CI66" s="319">
        <v>30.24</v>
      </c>
      <c r="CJ66" s="319"/>
      <c r="CK66" s="319"/>
      <c r="CL66" s="319">
        <f>12.096/0.6*0.9</f>
        <v>18.144000000000002</v>
      </c>
      <c r="CM66" s="319"/>
      <c r="CN66" s="319">
        <v>29.282</v>
      </c>
      <c r="CO66" s="319"/>
      <c r="CP66" s="319"/>
      <c r="CQ66" s="319"/>
      <c r="CR66" s="319"/>
      <c r="CS66" s="24"/>
      <c r="CT66" s="33"/>
      <c r="CU66" s="33">
        <v>143.136</v>
      </c>
      <c r="CV66" s="33">
        <v>87.358000000000004</v>
      </c>
      <c r="CW66" s="319">
        <v>36.287999999999997</v>
      </c>
      <c r="CX66" s="319"/>
      <c r="CY66" s="319">
        <v>1.008</v>
      </c>
      <c r="CZ66" s="319"/>
      <c r="DA66" s="319"/>
      <c r="DB66" s="319"/>
      <c r="DC66" s="319"/>
      <c r="DD66" s="319"/>
      <c r="DE66" s="319"/>
      <c r="DF66" s="319">
        <f>20.16*0.6</f>
        <v>12.096</v>
      </c>
      <c r="DG66" s="319"/>
      <c r="DH66" s="319"/>
      <c r="DI66" s="319"/>
      <c r="DJ66" s="319"/>
      <c r="DK66" s="319"/>
      <c r="DL66" s="319"/>
      <c r="DM66" s="319"/>
      <c r="DN66" s="319"/>
      <c r="DO66" s="319"/>
      <c r="DP66" s="319"/>
      <c r="DQ66" s="319"/>
      <c r="DR66" s="319">
        <v>3.024</v>
      </c>
      <c r="DS66" s="275">
        <f t="shared" si="36"/>
        <v>377.20839999999998</v>
      </c>
      <c r="DT66" s="57"/>
      <c r="DU66" s="319"/>
      <c r="DV66" s="319"/>
      <c r="DW66" s="319"/>
      <c r="DX66" s="319"/>
      <c r="DY66" s="319"/>
      <c r="DZ66" s="319"/>
      <c r="EA66" s="319"/>
      <c r="EB66" s="319"/>
      <c r="EC66" s="319">
        <v>22.478000000000002</v>
      </c>
      <c r="ED66" s="319">
        <v>8.0640000000000001</v>
      </c>
      <c r="EE66" s="319">
        <v>5.242</v>
      </c>
      <c r="EF66" s="319"/>
      <c r="EG66" s="319"/>
      <c r="EH66" s="319"/>
      <c r="EI66" s="319"/>
      <c r="EJ66" s="319"/>
      <c r="EK66" s="319">
        <v>20.16</v>
      </c>
      <c r="EL66" s="319">
        <v>20.16</v>
      </c>
      <c r="EM66" s="319">
        <v>60.48</v>
      </c>
      <c r="EN66" s="319"/>
      <c r="EO66" s="319"/>
      <c r="EP66" s="319"/>
      <c r="EQ66" s="319"/>
      <c r="ER66" s="245">
        <f>20.16*0.3</f>
        <v>6.048</v>
      </c>
      <c r="ES66" s="319"/>
      <c r="ET66" s="319"/>
      <c r="EU66" s="319">
        <v>18.143999999999998</v>
      </c>
      <c r="EV66" s="319"/>
      <c r="EW66" s="319"/>
      <c r="EX66" s="319"/>
      <c r="EY66" s="319"/>
      <c r="EZ66" s="24">
        <v>119.952</v>
      </c>
      <c r="FA66" s="33">
        <v>104.026</v>
      </c>
      <c r="FB66" s="319">
        <f>13.91/0.6*1.2</f>
        <v>27.82</v>
      </c>
      <c r="FC66" s="319">
        <v>56.7</v>
      </c>
      <c r="FD66" s="319"/>
      <c r="FE66" s="319"/>
      <c r="FF66" s="319"/>
      <c r="FG66" s="319"/>
      <c r="FH66" s="319"/>
      <c r="FI66" s="319"/>
      <c r="FJ66" s="319"/>
      <c r="FK66" s="319"/>
      <c r="FL66" s="319"/>
      <c r="FM66" s="319"/>
      <c r="FN66" s="319"/>
      <c r="FO66" s="319"/>
      <c r="FP66" s="319"/>
      <c r="FQ66" s="319"/>
      <c r="FR66" s="319"/>
      <c r="FS66" s="319"/>
      <c r="FT66" s="319"/>
      <c r="FU66" s="158">
        <f t="shared" si="38"/>
        <v>469.274</v>
      </c>
      <c r="FV66" s="95"/>
      <c r="FW66" s="245"/>
      <c r="FX66" s="245"/>
      <c r="FY66" s="245"/>
      <c r="FZ66" s="319"/>
      <c r="GA66" s="319"/>
      <c r="GB66" s="319"/>
      <c r="GC66" s="319"/>
      <c r="GD66" s="319"/>
      <c r="GE66" s="319"/>
      <c r="GF66" s="319"/>
      <c r="GG66" s="319"/>
      <c r="GH66" s="28"/>
      <c r="GI66" s="164"/>
      <c r="GJ66" s="245"/>
      <c r="GK66" s="24"/>
      <c r="GL66" s="33"/>
      <c r="GM66" s="24"/>
      <c r="GN66" s="32"/>
      <c r="GO66" s="472"/>
      <c r="GP66" s="51">
        <f t="shared" si="39"/>
        <v>0</v>
      </c>
      <c r="GQ66" s="625">
        <f t="shared" si="40"/>
        <v>319.19</v>
      </c>
      <c r="GR66" s="449">
        <f t="shared" si="41"/>
        <v>319.19</v>
      </c>
      <c r="GS66" s="451">
        <f t="shared" si="42"/>
        <v>531.54999999999995</v>
      </c>
      <c r="GT66" s="239">
        <f t="shared" si="43"/>
        <v>377.21</v>
      </c>
      <c r="GU66" s="36" t="str">
        <f t="shared" si="44"/>
        <v>и-сак</v>
      </c>
      <c r="GV66" s="402"/>
    </row>
    <row r="67" spans="1:214" ht="15" customHeight="1" x14ac:dyDescent="0.3">
      <c r="A67" s="127">
        <f>A66+1</f>
        <v>56</v>
      </c>
      <c r="B67" s="691" t="s">
        <v>159</v>
      </c>
      <c r="C67" s="889">
        <v>27.67</v>
      </c>
      <c r="D67" s="518">
        <v>7.37</v>
      </c>
      <c r="E67" s="192">
        <v>34.28</v>
      </c>
      <c r="F67" s="204">
        <f>12.78+37.08</f>
        <v>49.86</v>
      </c>
      <c r="G67" s="92">
        <f t="shared" ref="G67" si="48">ROUND(AVERAGE(D67:F67),3)</f>
        <v>30.503</v>
      </c>
      <c r="H67" s="93">
        <v>12.78</v>
      </c>
      <c r="I67" s="93">
        <v>12.92</v>
      </c>
      <c r="J67" s="94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>
        <f>0.336*3</f>
        <v>1.008</v>
      </c>
      <c r="Z67" s="319"/>
      <c r="AA67" s="319"/>
      <c r="AB67" s="319"/>
      <c r="AC67" s="319"/>
      <c r="AD67" s="319"/>
      <c r="AE67" s="319">
        <v>2.016</v>
      </c>
      <c r="AF67" s="319"/>
      <c r="AG67" s="319"/>
      <c r="AH67" s="319"/>
      <c r="AI67" s="319"/>
      <c r="AJ67" s="319">
        <v>2.3180000000000001</v>
      </c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>
        <v>2.016</v>
      </c>
      <c r="AZ67" s="319"/>
      <c r="BA67" s="319"/>
      <c r="BB67" s="319"/>
      <c r="BC67" s="319"/>
      <c r="BD67" s="319"/>
      <c r="BE67" s="319"/>
      <c r="BF67" s="319"/>
      <c r="BG67" s="319"/>
      <c r="BH67" s="319"/>
      <c r="BI67" s="319"/>
      <c r="BJ67" s="158">
        <f t="shared" si="37"/>
        <v>7.3580000000000005</v>
      </c>
      <c r="BK67" s="94"/>
      <c r="BL67" s="319"/>
      <c r="BM67" s="319"/>
      <c r="BN67" s="319"/>
      <c r="BO67" s="319"/>
      <c r="BP67" s="319"/>
      <c r="BQ67" s="319"/>
      <c r="BR67" s="319"/>
      <c r="BS67" s="319"/>
      <c r="BT67" s="319"/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19"/>
      <c r="CF67" s="319"/>
      <c r="CG67" s="319"/>
      <c r="CH67" s="319"/>
      <c r="CI67" s="319"/>
      <c r="CJ67" s="319">
        <v>1.008</v>
      </c>
      <c r="CK67" s="319"/>
      <c r="CL67" s="319"/>
      <c r="CM67" s="319"/>
      <c r="CN67" s="319"/>
      <c r="CO67" s="319"/>
      <c r="CP67" s="319"/>
      <c r="CQ67" s="319"/>
      <c r="CR67" s="319"/>
      <c r="CS67" s="177"/>
      <c r="CT67" s="271">
        <v>18.143999999999998</v>
      </c>
      <c r="CU67" s="271">
        <v>6.7329999999999997</v>
      </c>
      <c r="CV67" s="271">
        <v>8.4</v>
      </c>
      <c r="CW67" s="319"/>
      <c r="CX67" s="319"/>
      <c r="CY67" s="319"/>
      <c r="CZ67" s="319"/>
      <c r="DA67" s="319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419">
        <f t="shared" si="36"/>
        <v>34.284999999999997</v>
      </c>
      <c r="DT67" s="57"/>
      <c r="DU67" s="319"/>
      <c r="DV67" s="319"/>
      <c r="DW67" s="319"/>
      <c r="DX67" s="319"/>
      <c r="DY67" s="319"/>
      <c r="DZ67" s="319"/>
      <c r="EA67" s="319">
        <f>1.693</f>
        <v>1.6930000000000001</v>
      </c>
      <c r="EB67" s="319"/>
      <c r="EC67" s="319"/>
      <c r="ED67" s="319"/>
      <c r="EE67" s="319"/>
      <c r="EF67" s="319"/>
      <c r="EG67" s="319"/>
      <c r="EH67" s="319"/>
      <c r="EI67" s="319"/>
      <c r="EJ67" s="319"/>
      <c r="EK67" s="319"/>
      <c r="EL67" s="319"/>
      <c r="EM67" s="319"/>
      <c r="EN67" s="319"/>
      <c r="EO67" s="319"/>
      <c r="EP67" s="319"/>
      <c r="EQ67" s="319"/>
      <c r="ER67" s="245"/>
      <c r="ES67" s="319"/>
      <c r="ET67" s="319"/>
      <c r="EU67" s="319"/>
      <c r="EV67" s="319"/>
      <c r="EW67" s="319"/>
      <c r="EX67" s="319"/>
      <c r="EY67" s="319"/>
      <c r="EZ67" s="177">
        <v>6.72</v>
      </c>
      <c r="FA67" s="271"/>
      <c r="FB67" s="319"/>
      <c r="FC67" s="319">
        <f>5.785+4.37</f>
        <v>10.155000000000001</v>
      </c>
      <c r="FD67" s="319"/>
      <c r="FE67" s="319"/>
      <c r="FF67" s="319"/>
      <c r="FG67" s="319">
        <v>31.303999999999998</v>
      </c>
      <c r="FH67" s="319"/>
      <c r="FI67" s="319"/>
      <c r="FJ67" s="319"/>
      <c r="FK67" s="319"/>
      <c r="FL67" s="319"/>
      <c r="FM67" s="319"/>
      <c r="FN67" s="319"/>
      <c r="FO67" s="319"/>
      <c r="FP67" s="319"/>
      <c r="FQ67" s="319"/>
      <c r="FR67" s="319"/>
      <c r="FS67" s="319"/>
      <c r="FT67" s="319"/>
      <c r="FU67" s="158">
        <f t="shared" si="38"/>
        <v>49.872</v>
      </c>
      <c r="FV67" s="95"/>
      <c r="FW67" s="245"/>
      <c r="FX67" s="245"/>
      <c r="FY67" s="245"/>
      <c r="FZ67" s="319"/>
      <c r="GA67" s="319"/>
      <c r="GB67" s="319"/>
      <c r="GC67" s="319"/>
      <c r="GD67" s="319"/>
      <c r="GE67" s="319"/>
      <c r="GF67" s="319"/>
      <c r="GG67" s="319"/>
      <c r="GH67" s="28"/>
      <c r="GI67" s="270"/>
      <c r="GJ67" s="245"/>
      <c r="GK67" s="177"/>
      <c r="GL67" s="271"/>
      <c r="GM67" s="177"/>
      <c r="GN67" s="272"/>
      <c r="GO67" s="435"/>
      <c r="GP67" s="51">
        <f t="shared" si="39"/>
        <v>0</v>
      </c>
      <c r="GQ67" s="663">
        <f t="shared" si="40"/>
        <v>12.92</v>
      </c>
      <c r="GR67" s="449">
        <f t="shared" si="41"/>
        <v>12.92</v>
      </c>
      <c r="GS67" s="451">
        <f t="shared" si="42"/>
        <v>30.503</v>
      </c>
      <c r="GT67" s="239">
        <f t="shared" si="43"/>
        <v>34.28</v>
      </c>
      <c r="GU67" s="36" t="str">
        <f t="shared" si="44"/>
        <v>Селениум Ист 3000</v>
      </c>
      <c r="GV67" s="402"/>
    </row>
    <row r="68" spans="1:214" ht="15" customHeight="1" x14ac:dyDescent="0.3">
      <c r="A68" s="127">
        <f t="shared" ref="A68:A70" si="49">A67+1</f>
        <v>57</v>
      </c>
      <c r="B68" s="691" t="s">
        <v>113</v>
      </c>
      <c r="C68" s="889">
        <f>806.79+99+25.87</f>
        <v>931.66</v>
      </c>
      <c r="D68" s="514">
        <f>473.13+313.27</f>
        <v>786.4</v>
      </c>
      <c r="E68" s="505">
        <v>1095.73</v>
      </c>
      <c r="F68" s="201">
        <v>739.53</v>
      </c>
      <c r="G68" s="92">
        <f>ROUND(AVERAGE(D68:F68),3)</f>
        <v>873.88699999999994</v>
      </c>
      <c r="H68" s="93">
        <f>90+1000</f>
        <v>1090</v>
      </c>
      <c r="I68" s="93">
        <f>350.47+999</f>
        <v>1349.47</v>
      </c>
      <c r="J68" s="94"/>
      <c r="K68" s="319">
        <f>10.957*3</f>
        <v>32.871000000000002</v>
      </c>
      <c r="L68" s="319">
        <v>65.739000000000004</v>
      </c>
      <c r="M68" s="319">
        <f>7.67*8</f>
        <v>61.36</v>
      </c>
      <c r="N68" s="319"/>
      <c r="O68" s="319">
        <v>1.7529999999999999</v>
      </c>
      <c r="P68" s="319">
        <f>3.506</f>
        <v>3.5059999999999998</v>
      </c>
      <c r="Q68" s="319">
        <v>3.2869999999999999</v>
      </c>
      <c r="R68" s="319">
        <f>3.506*3</f>
        <v>10.517999999999999</v>
      </c>
      <c r="S68" s="319">
        <f>59.165*1.6</f>
        <v>94.664000000000001</v>
      </c>
      <c r="T68" s="319">
        <f>9.203</f>
        <v>9.2029999999999994</v>
      </c>
      <c r="U68" s="319">
        <f>4.383*1.5</f>
        <v>6.5745000000000005</v>
      </c>
      <c r="V68" s="319">
        <f>3.506*4</f>
        <v>14.023999999999999</v>
      </c>
      <c r="W68" s="319">
        <f>6.574*1.5</f>
        <v>9.8610000000000007</v>
      </c>
      <c r="X68" s="319">
        <f>4.383*7</f>
        <v>30.681000000000001</v>
      </c>
      <c r="Y68" s="319"/>
      <c r="Z68" s="319">
        <f>4.383*2</f>
        <v>8.766</v>
      </c>
      <c r="AA68" s="319">
        <f>3.506*4</f>
        <v>14.023999999999999</v>
      </c>
      <c r="AB68" s="319">
        <f>4.383*8</f>
        <v>35.064</v>
      </c>
      <c r="AC68" s="319">
        <f>7.67*6</f>
        <v>46.019999999999996</v>
      </c>
      <c r="AD68" s="319">
        <v>0.35</v>
      </c>
      <c r="AE68" s="319"/>
      <c r="AF68" s="319"/>
      <c r="AG68" s="319"/>
      <c r="AH68" s="319">
        <v>13.148</v>
      </c>
      <c r="AI68" s="319">
        <f>21.913*4</f>
        <v>87.652000000000001</v>
      </c>
      <c r="AJ68" s="319"/>
      <c r="AK68" s="319">
        <v>3.0680000000000001</v>
      </c>
      <c r="AL68" s="319">
        <v>2.63</v>
      </c>
      <c r="AM68" s="319">
        <v>2.4540000000000002</v>
      </c>
      <c r="AN68" s="319">
        <v>9.2029999999999994</v>
      </c>
      <c r="AO68" s="319">
        <f>3.068*2</f>
        <v>6.1360000000000001</v>
      </c>
      <c r="AP68" s="245">
        <f>9.203*1.3</f>
        <v>11.963899999999999</v>
      </c>
      <c r="AQ68" s="319">
        <v>3.1549999999999998</v>
      </c>
      <c r="AR68" s="319">
        <v>0.35099999999999998</v>
      </c>
      <c r="AS68" s="319">
        <v>0.13100000000000001</v>
      </c>
      <c r="AT68" s="319">
        <v>4.383</v>
      </c>
      <c r="AU68" s="319">
        <v>3.5059999999999998</v>
      </c>
      <c r="AV68" s="319">
        <f>9.203</f>
        <v>9.2029999999999994</v>
      </c>
      <c r="AW68" s="319">
        <v>65.739000000000004</v>
      </c>
      <c r="AX68" s="319">
        <f>10.957*1.2</f>
        <v>13.148400000000001</v>
      </c>
      <c r="AY68" s="319"/>
      <c r="AZ68" s="319"/>
      <c r="BA68" s="319"/>
      <c r="BB68" s="319">
        <v>4.3863000000000003</v>
      </c>
      <c r="BC68" s="319">
        <f>5.259</f>
        <v>5.2590000000000003</v>
      </c>
      <c r="BD68" s="319">
        <f>1.381/0.3</f>
        <v>4.6033333333333335</v>
      </c>
      <c r="BE68" s="319">
        <v>1.972</v>
      </c>
      <c r="BF68" s="319"/>
      <c r="BG68" s="319">
        <f>76.696</f>
        <v>76.695999999999998</v>
      </c>
      <c r="BH68" s="319">
        <f>9.203*0.6</f>
        <v>5.5217999999999998</v>
      </c>
      <c r="BI68" s="319">
        <f>3.506*1.1</f>
        <v>3.8566000000000003</v>
      </c>
      <c r="BJ68" s="158">
        <f t="shared" si="37"/>
        <v>786.4318333333332</v>
      </c>
      <c r="BK68" s="94"/>
      <c r="BL68" s="319">
        <v>18.626000000000001</v>
      </c>
      <c r="BM68" s="319">
        <f>59.165*2.5</f>
        <v>147.91249999999999</v>
      </c>
      <c r="BN68" s="319">
        <f>9.203*1.5</f>
        <v>13.804499999999999</v>
      </c>
      <c r="BO68" s="319">
        <f>21.913*2.4</f>
        <v>52.591200000000001</v>
      </c>
      <c r="BP68" s="319">
        <v>9.2029999999999994</v>
      </c>
      <c r="BQ68" s="319">
        <f>10.957*3</f>
        <v>32.871000000000002</v>
      </c>
      <c r="BR68" s="319"/>
      <c r="BS68" s="319">
        <f>4.383*5.4</f>
        <v>23.668200000000002</v>
      </c>
      <c r="BT68" s="319">
        <v>65.739000000000004</v>
      </c>
      <c r="BU68" s="319">
        <f>6.574*1.9</f>
        <v>12.490599999999999</v>
      </c>
      <c r="BV68" s="319">
        <v>2.3010000000000002</v>
      </c>
      <c r="BW68" s="319">
        <v>1.841</v>
      </c>
      <c r="BX68" s="319">
        <f>4.383*2.1</f>
        <v>9.2042999999999999</v>
      </c>
      <c r="BY68" s="319">
        <f>4.383*2</f>
        <v>8.766</v>
      </c>
      <c r="BZ68" s="319">
        <f>9.203</f>
        <v>9.2029999999999994</v>
      </c>
      <c r="CA68" s="319">
        <f>3.506*4</f>
        <v>14.023999999999999</v>
      </c>
      <c r="CB68" s="319">
        <f>10.957*3</f>
        <v>32.871000000000002</v>
      </c>
      <c r="CC68" s="319">
        <f>13.148/1.2*3</f>
        <v>32.870000000000005</v>
      </c>
      <c r="CD68" s="319">
        <f>3.506*4</f>
        <v>14.023999999999999</v>
      </c>
      <c r="CE68" s="319">
        <v>9.2029999999999994</v>
      </c>
      <c r="CF68" s="319">
        <f>35.061/8*6</f>
        <v>26.295749999999998</v>
      </c>
      <c r="CG68" s="319">
        <v>0.65700000000000003</v>
      </c>
      <c r="CH68" s="319">
        <f>3.506*0.6</f>
        <v>2.1035999999999997</v>
      </c>
      <c r="CI68" s="319">
        <v>3.2869999999999999</v>
      </c>
      <c r="CJ68" s="319"/>
      <c r="CK68" s="319">
        <f>2.454/0.8*0.9</f>
        <v>2.7607499999999998</v>
      </c>
      <c r="CL68" s="319">
        <f>2.104/0.6*0.9</f>
        <v>3.1560000000000001</v>
      </c>
      <c r="CM68" s="319">
        <v>2.63</v>
      </c>
      <c r="CN68" s="319"/>
      <c r="CO68" s="319">
        <f>4.383*2</f>
        <v>8.766</v>
      </c>
      <c r="CP68" s="319">
        <f>9.203*0.3</f>
        <v>2.7608999999999999</v>
      </c>
      <c r="CQ68" s="319">
        <v>65.739000000000004</v>
      </c>
      <c r="CR68" s="319">
        <v>9.2029999999999994</v>
      </c>
      <c r="CS68" s="177"/>
      <c r="CT68" s="271"/>
      <c r="CU68" s="271"/>
      <c r="CV68" s="271"/>
      <c r="CW68" s="319"/>
      <c r="CX68" s="319">
        <f>76.696</f>
        <v>76.695999999999998</v>
      </c>
      <c r="CY68" s="319">
        <v>8.3000000000000004E-2</v>
      </c>
      <c r="CZ68" s="319">
        <f>2.454/0.8*3</f>
        <v>9.2025000000000006</v>
      </c>
      <c r="DA68" s="245">
        <f>11.965/1.3*1.5</f>
        <v>13.805769230769231</v>
      </c>
      <c r="DB68" s="319">
        <f>3.068*2</f>
        <v>6.1360000000000001</v>
      </c>
      <c r="DC68" s="319">
        <f>87.652/4*4.5</f>
        <v>98.608500000000006</v>
      </c>
      <c r="DD68" s="319">
        <v>13.148</v>
      </c>
      <c r="DE68" s="319">
        <v>9.2029999999999994</v>
      </c>
      <c r="DF68" s="319">
        <f>3.506*0.6</f>
        <v>2.1035999999999997</v>
      </c>
      <c r="DG68" s="319">
        <f>9.203</f>
        <v>9.2029999999999994</v>
      </c>
      <c r="DH68" s="319">
        <f>3.506</f>
        <v>3.5059999999999998</v>
      </c>
      <c r="DI68" s="319">
        <f>35.061/8</f>
        <v>4.382625</v>
      </c>
      <c r="DJ68" s="319">
        <f>94.664/1.6*1.5</f>
        <v>88.747500000000002</v>
      </c>
      <c r="DK68" s="319"/>
      <c r="DL68" s="319">
        <f>10.957*3</f>
        <v>32.871000000000002</v>
      </c>
      <c r="DM68" s="319">
        <f>10.957*3</f>
        <v>32.871000000000002</v>
      </c>
      <c r="DN68" s="319">
        <f>9.203</f>
        <v>9.2029999999999994</v>
      </c>
      <c r="DO68" s="319">
        <f>3.506*4</f>
        <v>14.023999999999999</v>
      </c>
      <c r="DP68" s="319">
        <f>35.061/8*7.5</f>
        <v>32.869687499999998</v>
      </c>
      <c r="DQ68" s="319"/>
      <c r="DR68" s="319">
        <v>0.52600000000000002</v>
      </c>
      <c r="DS68" s="419">
        <f t="shared" si="36"/>
        <v>1095.762481730769</v>
      </c>
      <c r="DT68" s="57"/>
      <c r="DU68" s="319">
        <v>52.591000000000001</v>
      </c>
      <c r="DV68" s="319">
        <v>9.8610000000000007</v>
      </c>
      <c r="DW68" s="319">
        <v>1.381</v>
      </c>
      <c r="DX68" s="319">
        <f>2.454/0.8*0.9</f>
        <v>2.7607499999999998</v>
      </c>
      <c r="DY68" s="319">
        <f>9.203*1.3</f>
        <v>11.963899999999999</v>
      </c>
      <c r="DZ68" s="319"/>
      <c r="EA68" s="319"/>
      <c r="EB68" s="319">
        <f>7.67*10</f>
        <v>76.7</v>
      </c>
      <c r="EC68" s="319">
        <v>4.383</v>
      </c>
      <c r="ED68" s="319">
        <v>0.52600000000000002</v>
      </c>
      <c r="EE68" s="319">
        <v>8.7999999999999995E-2</v>
      </c>
      <c r="EF68" s="319">
        <v>4.383</v>
      </c>
      <c r="EG68" s="319">
        <f>1.841/0.3*0.6</f>
        <v>3.6819999999999999</v>
      </c>
      <c r="EH68" s="319">
        <v>3.2869999999999999</v>
      </c>
      <c r="EI68" s="319">
        <f>9.203*0.8</f>
        <v>7.3624000000000001</v>
      </c>
      <c r="EJ68" s="319">
        <f>3.506*1.5</f>
        <v>5.2589999999999995</v>
      </c>
      <c r="EK68" s="319">
        <v>3.5059999999999998</v>
      </c>
      <c r="EL68" s="319">
        <v>3.5059999999999998</v>
      </c>
      <c r="EM68" s="319">
        <v>3.944</v>
      </c>
      <c r="EN68" s="319">
        <f>35.061/8*5</f>
        <v>21.913125000000001</v>
      </c>
      <c r="EO68" s="319">
        <f>9.203*5</f>
        <v>46.015000000000001</v>
      </c>
      <c r="EP68" s="319">
        <f>3.506*2</f>
        <v>7.0119999999999996</v>
      </c>
      <c r="EQ68" s="319">
        <v>65.739000000000004</v>
      </c>
      <c r="ER68" s="245">
        <f>1.315*0.3</f>
        <v>0.39449999999999996</v>
      </c>
      <c r="ES68" s="319">
        <f>3.506*3</f>
        <v>10.517999999999999</v>
      </c>
      <c r="ET68" s="319">
        <v>2.63</v>
      </c>
      <c r="EU68" s="319">
        <v>3.1549999999999998</v>
      </c>
      <c r="EV68" s="319">
        <v>4.6020000000000003</v>
      </c>
      <c r="EW68" s="319">
        <f>3.068*2</f>
        <v>6.1360000000000001</v>
      </c>
      <c r="EX68" s="319">
        <f>87.652/4*5</f>
        <v>109.565</v>
      </c>
      <c r="EY68" s="245">
        <f>11.965/1.3*2</f>
        <v>18.407692307692308</v>
      </c>
      <c r="EZ68" s="177"/>
      <c r="FA68" s="271"/>
      <c r="FB68" s="319">
        <f>2.104/0.6*1.2</f>
        <v>4.2080000000000002</v>
      </c>
      <c r="FC68" s="319"/>
      <c r="FD68" s="319">
        <v>13.148</v>
      </c>
      <c r="FE68" s="319">
        <f>2.454/0.8*2.5</f>
        <v>7.6687499999999993</v>
      </c>
      <c r="FF68" s="319">
        <f>9.861/1.5*1.1</f>
        <v>7.2314000000000016</v>
      </c>
      <c r="FG68" s="319"/>
      <c r="FH68" s="319"/>
      <c r="FI68" s="319">
        <f>9.861/1.5*0.6</f>
        <v>3.9444000000000004</v>
      </c>
      <c r="FJ68" s="319">
        <f>7.67*10</f>
        <v>76.7</v>
      </c>
      <c r="FK68" s="319">
        <f>32.87</f>
        <v>32.869999999999997</v>
      </c>
      <c r="FL68" s="319">
        <f>9.203*0.7</f>
        <v>6.442099999999999</v>
      </c>
      <c r="FM68" s="319">
        <v>9.2029999999999994</v>
      </c>
      <c r="FN68" s="319">
        <f>1.096/0.5*0.6</f>
        <v>1.3152000000000001</v>
      </c>
      <c r="FO68" s="319">
        <f>4.383*1.2</f>
        <v>5.2595999999999998</v>
      </c>
      <c r="FP68" s="319">
        <f>32.87</f>
        <v>32.869999999999997</v>
      </c>
      <c r="FQ68" s="319">
        <f>32.87</f>
        <v>32.869999999999997</v>
      </c>
      <c r="FR68" s="319">
        <v>7.3630000000000004</v>
      </c>
      <c r="FS68" s="319">
        <f>3.506</f>
        <v>3.5059999999999998</v>
      </c>
      <c r="FT68" s="319">
        <f>1.841/0.3*0.6</f>
        <v>3.6819999999999999</v>
      </c>
      <c r="FU68" s="158">
        <f t="shared" si="38"/>
        <v>739.55281730769241</v>
      </c>
      <c r="FV68" s="95"/>
      <c r="FW68" s="326"/>
      <c r="FX68" s="245"/>
      <c r="FY68" s="245"/>
      <c r="FZ68" s="319"/>
      <c r="GA68" s="319"/>
      <c r="GB68" s="319"/>
      <c r="GC68" s="319"/>
      <c r="GD68" s="319"/>
      <c r="GE68" s="319"/>
      <c r="GF68" s="319"/>
      <c r="GG68" s="319"/>
      <c r="GH68" s="182"/>
      <c r="GI68" s="270"/>
      <c r="GJ68" s="245"/>
      <c r="GK68" s="177"/>
      <c r="GL68" s="271"/>
      <c r="GM68" s="177"/>
      <c r="GN68" s="272"/>
      <c r="GO68" s="435"/>
      <c r="GP68" s="51">
        <f t="shared" si="39"/>
        <v>0</v>
      </c>
      <c r="GQ68" s="625">
        <f t="shared" si="40"/>
        <v>1349.47</v>
      </c>
      <c r="GR68" s="449">
        <f t="shared" si="41"/>
        <v>1349.47</v>
      </c>
      <c r="GS68" s="451">
        <f t="shared" si="42"/>
        <v>873.88699999999994</v>
      </c>
      <c r="GT68" s="239">
        <f t="shared" si="43"/>
        <v>1095.73</v>
      </c>
      <c r="GU68" s="36" t="str">
        <f t="shared" si="44"/>
        <v>Сел-плекс 2300 (Сел-плекс )</v>
      </c>
      <c r="GV68" s="402"/>
    </row>
    <row r="69" spans="1:214" ht="15" customHeight="1" x14ac:dyDescent="0.3">
      <c r="A69" s="127">
        <f t="shared" si="49"/>
        <v>58</v>
      </c>
      <c r="B69" s="694" t="s">
        <v>504</v>
      </c>
      <c r="C69" s="889"/>
      <c r="D69" s="1208">
        <v>0</v>
      </c>
      <c r="E69" s="192">
        <v>18.14</v>
      </c>
      <c r="F69" s="200">
        <v>302.39999999999998</v>
      </c>
      <c r="G69" s="92">
        <f t="shared" ref="G69:G72" si="50">ROUND(AVERAGE(D69:F69),3)</f>
        <v>106.84699999999999</v>
      </c>
      <c r="H69" s="93">
        <v>6.86</v>
      </c>
      <c r="I69" s="93">
        <v>4.46</v>
      </c>
      <c r="J69" s="94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158">
        <f t="shared" si="37"/>
        <v>0</v>
      </c>
      <c r="BK69" s="94"/>
      <c r="BL69" s="319"/>
      <c r="BM69" s="319"/>
      <c r="BN69" s="319"/>
      <c r="BO69" s="319"/>
      <c r="BP69" s="319"/>
      <c r="BQ69" s="319"/>
      <c r="BR69" s="319"/>
      <c r="BS69" s="319"/>
      <c r="BT69" s="319"/>
      <c r="BU69" s="319"/>
      <c r="BV69" s="319"/>
      <c r="BW69" s="319"/>
      <c r="BX69" s="319"/>
      <c r="BY69" s="319"/>
      <c r="BZ69" s="319"/>
      <c r="CA69" s="319"/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19"/>
      <c r="CR69" s="319"/>
      <c r="CS69" s="177"/>
      <c r="CT69" s="271"/>
      <c r="CU69" s="271"/>
      <c r="CV69" s="271"/>
      <c r="CW69" s="319"/>
      <c r="CX69" s="319"/>
      <c r="CY69" s="319">
        <v>18.143999999999998</v>
      </c>
      <c r="CZ69" s="319"/>
      <c r="DA69" s="319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419">
        <f t="shared" si="36"/>
        <v>18.143999999999998</v>
      </c>
      <c r="DT69" s="57"/>
      <c r="DU69" s="319"/>
      <c r="DV69" s="319"/>
      <c r="DW69" s="319"/>
      <c r="DX69" s="319"/>
      <c r="DY69" s="319"/>
      <c r="DZ69" s="319"/>
      <c r="EA69" s="319"/>
      <c r="EB69" s="319"/>
      <c r="EC69" s="319"/>
      <c r="ED69" s="319"/>
      <c r="EE69" s="319"/>
      <c r="EF69" s="319"/>
      <c r="EG69" s="319"/>
      <c r="EH69" s="319"/>
      <c r="EI69" s="319"/>
      <c r="EJ69" s="319"/>
      <c r="EK69" s="319"/>
      <c r="EL69" s="319"/>
      <c r="EM69" s="319"/>
      <c r="EN69" s="319"/>
      <c r="EO69" s="319"/>
      <c r="EP69" s="319"/>
      <c r="EQ69" s="319"/>
      <c r="ER69" s="245"/>
      <c r="ES69" s="319"/>
      <c r="ET69" s="319"/>
      <c r="EU69" s="319"/>
      <c r="EV69" s="319"/>
      <c r="EW69" s="319"/>
      <c r="EX69" s="319"/>
      <c r="EY69" s="319"/>
      <c r="EZ69" s="177"/>
      <c r="FA69" s="271"/>
      <c r="FB69" s="319"/>
      <c r="FC69" s="319">
        <v>302.39999999999998</v>
      </c>
      <c r="FD69" s="319"/>
      <c r="FE69" s="319"/>
      <c r="FF69" s="319"/>
      <c r="FG69" s="319"/>
      <c r="FH69" s="319"/>
      <c r="FI69" s="319"/>
      <c r="FJ69" s="319"/>
      <c r="FK69" s="319"/>
      <c r="FL69" s="319"/>
      <c r="FM69" s="319"/>
      <c r="FN69" s="319"/>
      <c r="FO69" s="319"/>
      <c r="FP69" s="319"/>
      <c r="FQ69" s="319"/>
      <c r="FR69" s="319"/>
      <c r="FS69" s="319"/>
      <c r="FT69" s="319"/>
      <c r="FU69" s="158">
        <f t="shared" si="38"/>
        <v>302.39999999999998</v>
      </c>
      <c r="FV69" s="95"/>
      <c r="FW69" s="245"/>
      <c r="FX69" s="245"/>
      <c r="FY69" s="245"/>
      <c r="FZ69" s="319"/>
      <c r="GA69" s="319"/>
      <c r="GB69" s="319"/>
      <c r="GC69" s="319"/>
      <c r="GD69" s="319"/>
      <c r="GE69" s="319"/>
      <c r="GF69" s="319"/>
      <c r="GG69" s="319"/>
      <c r="GH69" s="28"/>
      <c r="GI69" s="270"/>
      <c r="GJ69" s="245"/>
      <c r="GK69" s="177"/>
      <c r="GL69" s="271"/>
      <c r="GM69" s="177"/>
      <c r="GN69" s="272"/>
      <c r="GO69" s="435"/>
      <c r="GP69" s="51">
        <f t="shared" si="39"/>
        <v>0</v>
      </c>
      <c r="GQ69" s="525">
        <f t="shared" si="40"/>
        <v>4.46</v>
      </c>
      <c r="GR69" s="449">
        <f t="shared" si="41"/>
        <v>4.46</v>
      </c>
      <c r="GS69" s="451">
        <f t="shared" si="42"/>
        <v>106.84699999999999</v>
      </c>
      <c r="GT69" s="239">
        <f t="shared" si="43"/>
        <v>18.14</v>
      </c>
      <c r="GU69" s="36" t="str">
        <f t="shared" si="44"/>
        <v>Сыворотка</v>
      </c>
      <c r="GV69" s="664"/>
    </row>
    <row r="70" spans="1:214" ht="15" customHeight="1" x14ac:dyDescent="0.3">
      <c r="A70" s="127">
        <f t="shared" si="49"/>
        <v>59</v>
      </c>
      <c r="B70" s="688" t="s">
        <v>23</v>
      </c>
      <c r="C70" s="889">
        <f>109.38+62.19</f>
        <v>171.57</v>
      </c>
      <c r="D70" s="513">
        <v>75.97</v>
      </c>
      <c r="E70" s="192">
        <v>109.69</v>
      </c>
      <c r="F70" s="200">
        <v>64.2</v>
      </c>
      <c r="G70" s="92">
        <f t="shared" si="50"/>
        <v>83.287000000000006</v>
      </c>
      <c r="H70" s="93">
        <v>52.15</v>
      </c>
      <c r="I70" s="93">
        <v>87.95</v>
      </c>
      <c r="J70" s="94"/>
      <c r="K70" s="319"/>
      <c r="L70" s="319"/>
      <c r="M70" s="319"/>
      <c r="N70" s="319"/>
      <c r="O70" s="319"/>
      <c r="P70" s="319"/>
      <c r="Q70" s="319"/>
      <c r="R70" s="319">
        <f>1.599*3</f>
        <v>4.7969999999999997</v>
      </c>
      <c r="S70" s="319"/>
      <c r="T70" s="319"/>
      <c r="U70" s="319">
        <f>2.084*1.5</f>
        <v>3.1260000000000003</v>
      </c>
      <c r="V70" s="319">
        <f>1.599*4</f>
        <v>6.3959999999999999</v>
      </c>
      <c r="W70" s="319"/>
      <c r="X70" s="319">
        <f>2.084*7</f>
        <v>14.588000000000001</v>
      </c>
      <c r="Y70" s="319"/>
      <c r="Z70" s="319">
        <f>2.084*2</f>
        <v>4.1680000000000001</v>
      </c>
      <c r="AA70" s="319">
        <f>1.599*4</f>
        <v>6.3959999999999999</v>
      </c>
      <c r="AB70" s="319">
        <f>2.084*8</f>
        <v>16.672000000000001</v>
      </c>
      <c r="AC70" s="319"/>
      <c r="AD70" s="319"/>
      <c r="AE70" s="319"/>
      <c r="AF70" s="319"/>
      <c r="AG70" s="319"/>
      <c r="AH70" s="319">
        <v>6.2519999999999998</v>
      </c>
      <c r="AI70" s="319"/>
      <c r="AJ70" s="319"/>
      <c r="AK70" s="319"/>
      <c r="AL70" s="319">
        <v>1.25</v>
      </c>
      <c r="AM70" s="319"/>
      <c r="AN70" s="319"/>
      <c r="AO70" s="319"/>
      <c r="AP70" s="319"/>
      <c r="AQ70" s="319">
        <v>1.4390000000000001</v>
      </c>
      <c r="AR70" s="319"/>
      <c r="AS70" s="319"/>
      <c r="AT70" s="319"/>
      <c r="AU70" s="319">
        <v>1.599</v>
      </c>
      <c r="AV70" s="319"/>
      <c r="AW70" s="319"/>
      <c r="AX70" s="319"/>
      <c r="AY70" s="319"/>
      <c r="AZ70" s="319"/>
      <c r="BA70" s="319"/>
      <c r="BB70" s="319">
        <v>2.0840000000000001</v>
      </c>
      <c r="BC70" s="319"/>
      <c r="BD70" s="319"/>
      <c r="BE70" s="319">
        <v>3.024</v>
      </c>
      <c r="BF70" s="319">
        <v>2.419</v>
      </c>
      <c r="BG70" s="319"/>
      <c r="BH70" s="319"/>
      <c r="BI70" s="319">
        <f>1.599*1.1</f>
        <v>1.7589000000000001</v>
      </c>
      <c r="BJ70" s="158">
        <f t="shared" si="37"/>
        <v>75.968900000000005</v>
      </c>
      <c r="BK70" s="94"/>
      <c r="BL70" s="319"/>
      <c r="BM70" s="319"/>
      <c r="BN70" s="319"/>
      <c r="BO70" s="319"/>
      <c r="BP70" s="319"/>
      <c r="BQ70" s="319"/>
      <c r="BR70" s="319"/>
      <c r="BS70" s="319">
        <f>2.084*5.4</f>
        <v>11.2536</v>
      </c>
      <c r="BT70" s="319"/>
      <c r="BU70" s="319"/>
      <c r="BV70" s="319"/>
      <c r="BW70" s="319"/>
      <c r="BX70" s="319">
        <f>2.084*2.1</f>
        <v>4.3764000000000003</v>
      </c>
      <c r="BY70" s="319">
        <f>2.084*2</f>
        <v>4.1680000000000001</v>
      </c>
      <c r="BZ70" s="319"/>
      <c r="CA70" s="319">
        <f>1.599*4</f>
        <v>6.3959999999999999</v>
      </c>
      <c r="CB70" s="319"/>
      <c r="CC70" s="319"/>
      <c r="CD70" s="319">
        <f>1.599*4</f>
        <v>6.3959999999999999</v>
      </c>
      <c r="CE70" s="319"/>
      <c r="CF70" s="319">
        <f>16.668/8*6</f>
        <v>12.500999999999999</v>
      </c>
      <c r="CG70" s="319"/>
      <c r="CH70" s="319"/>
      <c r="CI70" s="319"/>
      <c r="CJ70" s="319"/>
      <c r="CK70" s="319"/>
      <c r="CL70" s="319">
        <f>0.96/0.6*0.9</f>
        <v>1.4400000000000002</v>
      </c>
      <c r="CM70" s="319">
        <v>1.25</v>
      </c>
      <c r="CN70" s="319"/>
      <c r="CO70" s="319">
        <f>2.084*2</f>
        <v>4.1680000000000001</v>
      </c>
      <c r="CP70" s="319"/>
      <c r="CQ70" s="319"/>
      <c r="CR70" s="319"/>
      <c r="CS70" s="177">
        <v>17.446000000000002</v>
      </c>
      <c r="CT70" s="271"/>
      <c r="CU70" s="271"/>
      <c r="CV70" s="271"/>
      <c r="CW70" s="319"/>
      <c r="CX70" s="319"/>
      <c r="CY70" s="319"/>
      <c r="CZ70" s="319"/>
      <c r="DA70" s="319"/>
      <c r="DB70" s="319"/>
      <c r="DC70" s="319"/>
      <c r="DD70" s="319">
        <v>6.2519999999999998</v>
      </c>
      <c r="DE70" s="319"/>
      <c r="DF70" s="319">
        <f>1.599*0.6</f>
        <v>0.95939999999999992</v>
      </c>
      <c r="DG70" s="319"/>
      <c r="DH70" s="319">
        <f>1.599</f>
        <v>1.599</v>
      </c>
      <c r="DI70" s="319">
        <f>16.668/8</f>
        <v>2.0834999999999999</v>
      </c>
      <c r="DJ70" s="319"/>
      <c r="DK70" s="319">
        <v>2.419</v>
      </c>
      <c r="DL70" s="319"/>
      <c r="DM70" s="319"/>
      <c r="DN70" s="319"/>
      <c r="DO70" s="319">
        <f>1.599*4</f>
        <v>6.3959999999999999</v>
      </c>
      <c r="DP70" s="319">
        <f>16.668/8*7.5</f>
        <v>15.626249999999999</v>
      </c>
      <c r="DQ70" s="319">
        <f>3.295*1.5</f>
        <v>4.9424999999999999</v>
      </c>
      <c r="DR70" s="319"/>
      <c r="DS70" s="419">
        <f t="shared" si="36"/>
        <v>109.67264999999999</v>
      </c>
      <c r="DT70" s="57"/>
      <c r="DU70" s="319"/>
      <c r="DV70" s="319"/>
      <c r="DW70" s="319"/>
      <c r="DX70" s="319"/>
      <c r="DY70" s="319"/>
      <c r="DZ70" s="319"/>
      <c r="EA70" s="319"/>
      <c r="EB70" s="319"/>
      <c r="EC70" s="319"/>
      <c r="ED70" s="319"/>
      <c r="EE70" s="319"/>
      <c r="EF70" s="319">
        <v>2.0840000000000001</v>
      </c>
      <c r="EG70" s="319"/>
      <c r="EH70" s="319"/>
      <c r="EI70" s="319"/>
      <c r="EJ70" s="319">
        <f>1.599*1.5</f>
        <v>2.3984999999999999</v>
      </c>
      <c r="EK70" s="319">
        <v>1.599</v>
      </c>
      <c r="EL70" s="319">
        <v>1.599</v>
      </c>
      <c r="EM70" s="319">
        <v>6.048</v>
      </c>
      <c r="EN70" s="319">
        <f>16.668/8*5</f>
        <v>10.4175</v>
      </c>
      <c r="EO70" s="319"/>
      <c r="EP70" s="319">
        <f>1.599*2</f>
        <v>3.198</v>
      </c>
      <c r="EQ70" s="319"/>
      <c r="ER70" s="245">
        <f>2.016*0.3</f>
        <v>0.6048</v>
      </c>
      <c r="ES70" s="319">
        <f>1.599*3</f>
        <v>4.7969999999999997</v>
      </c>
      <c r="ET70" s="319">
        <v>1.25</v>
      </c>
      <c r="EU70" s="319">
        <v>1.4390000000000001</v>
      </c>
      <c r="EV70" s="319"/>
      <c r="EW70" s="319"/>
      <c r="EX70" s="319"/>
      <c r="EY70" s="319"/>
      <c r="EZ70" s="177"/>
      <c r="FA70" s="271">
        <v>17.446000000000002</v>
      </c>
      <c r="FB70" s="319"/>
      <c r="FC70" s="319"/>
      <c r="FD70" s="319">
        <v>6.2519999999999998</v>
      </c>
      <c r="FE70" s="319"/>
      <c r="FF70" s="319"/>
      <c r="FG70" s="319"/>
      <c r="FH70" s="319"/>
      <c r="FI70" s="319"/>
      <c r="FJ70" s="319"/>
      <c r="FK70" s="319"/>
      <c r="FL70" s="319"/>
      <c r="FM70" s="319"/>
      <c r="FN70" s="319">
        <f>0.8/0.5*0.6</f>
        <v>0.96</v>
      </c>
      <c r="FO70" s="319">
        <f>2.084*1.2</f>
        <v>2.5007999999999999</v>
      </c>
      <c r="FP70" s="319"/>
      <c r="FQ70" s="319"/>
      <c r="FR70" s="319"/>
      <c r="FS70" s="319">
        <f>1.599</f>
        <v>1.599</v>
      </c>
      <c r="FT70" s="319"/>
      <c r="FU70" s="158">
        <f t="shared" si="38"/>
        <v>64.192600000000013</v>
      </c>
      <c r="FV70" s="95"/>
      <c r="FW70" s="245"/>
      <c r="FX70" s="245"/>
      <c r="FY70" s="245"/>
      <c r="FZ70" s="319"/>
      <c r="GA70" s="319"/>
      <c r="GB70" s="319"/>
      <c r="GC70" s="319"/>
      <c r="GD70" s="319"/>
      <c r="GE70" s="319"/>
      <c r="GF70" s="319"/>
      <c r="GG70" s="319"/>
      <c r="GH70" s="28"/>
      <c r="GI70" s="270"/>
      <c r="GJ70" s="245"/>
      <c r="GK70" s="177"/>
      <c r="GL70" s="271"/>
      <c r="GM70" s="177"/>
      <c r="GN70" s="272"/>
      <c r="GO70" s="435"/>
      <c r="GP70" s="327">
        <f t="shared" si="39"/>
        <v>0</v>
      </c>
      <c r="GQ70" s="500">
        <f t="shared" si="40"/>
        <v>87.95</v>
      </c>
      <c r="GR70" s="449">
        <f t="shared" si="41"/>
        <v>87.95</v>
      </c>
      <c r="GS70" s="451">
        <f t="shared" si="42"/>
        <v>83.287000000000006</v>
      </c>
      <c r="GT70" s="239">
        <f t="shared" si="43"/>
        <v>109.69</v>
      </c>
      <c r="GU70" s="36" t="str">
        <f t="shared" si="44"/>
        <v>Пулкокс С</v>
      </c>
      <c r="GV70" s="331"/>
    </row>
    <row r="71" spans="1:214" customFormat="1" ht="15" customHeight="1" x14ac:dyDescent="0.3">
      <c r="A71" s="127">
        <f t="shared" ref="A71:A77" si="51">A70+1</f>
        <v>60</v>
      </c>
      <c r="B71" s="701" t="s">
        <v>115</v>
      </c>
      <c r="C71" s="889">
        <v>251.89</v>
      </c>
      <c r="D71" s="519">
        <f>74.44+120.1</f>
        <v>194.54</v>
      </c>
      <c r="E71" s="192">
        <f>29.9+195.39</f>
        <v>225.29</v>
      </c>
      <c r="F71" s="330">
        <f>4.61+103.99</f>
        <v>108.6</v>
      </c>
      <c r="G71" s="92">
        <f t="shared" si="50"/>
        <v>176.143</v>
      </c>
      <c r="H71" s="93">
        <v>4.6100000000000003</v>
      </c>
      <c r="I71" s="93">
        <v>96.01</v>
      </c>
      <c r="J71" s="94"/>
      <c r="K71" s="319"/>
      <c r="L71" s="319"/>
      <c r="M71" s="319"/>
      <c r="N71" s="319"/>
      <c r="O71" s="319"/>
      <c r="P71" s="319"/>
      <c r="Q71" s="319"/>
      <c r="R71" s="319">
        <f>5.04*3</f>
        <v>15.120000000000001</v>
      </c>
      <c r="S71" s="319"/>
      <c r="T71" s="319"/>
      <c r="U71" s="319">
        <f>5.04*1.5</f>
        <v>7.5600000000000005</v>
      </c>
      <c r="V71" s="319">
        <f>5.04*4</f>
        <v>20.16</v>
      </c>
      <c r="W71" s="319"/>
      <c r="X71" s="319">
        <f>5.04*7</f>
        <v>35.28</v>
      </c>
      <c r="Y71" s="319"/>
      <c r="Z71" s="319">
        <f>5.04*2</f>
        <v>10.08</v>
      </c>
      <c r="AA71" s="319">
        <f>5.04*4</f>
        <v>20.16</v>
      </c>
      <c r="AB71" s="319">
        <f>5.04*8</f>
        <v>40.32</v>
      </c>
      <c r="AC71" s="319"/>
      <c r="AD71" s="319"/>
      <c r="AE71" s="319"/>
      <c r="AF71" s="319"/>
      <c r="AG71" s="319"/>
      <c r="AH71" s="319">
        <v>15.12</v>
      </c>
      <c r="AI71" s="319"/>
      <c r="AJ71" s="319"/>
      <c r="AK71" s="319"/>
      <c r="AL71" s="319">
        <v>3.024</v>
      </c>
      <c r="AM71" s="319"/>
      <c r="AN71" s="319"/>
      <c r="AO71" s="319"/>
      <c r="AP71" s="319"/>
      <c r="AQ71" s="319">
        <v>4.5359999999999996</v>
      </c>
      <c r="AR71" s="319"/>
      <c r="AS71" s="319"/>
      <c r="AT71" s="319"/>
      <c r="AU71" s="319">
        <v>5.04</v>
      </c>
      <c r="AV71" s="319"/>
      <c r="AW71" s="319"/>
      <c r="AX71" s="319"/>
      <c r="AY71" s="319"/>
      <c r="AZ71" s="319"/>
      <c r="BA71" s="319"/>
      <c r="BB71" s="319">
        <v>5.04</v>
      </c>
      <c r="BC71" s="319"/>
      <c r="BD71" s="319"/>
      <c r="BE71" s="319">
        <v>7.56</v>
      </c>
      <c r="BF71" s="319"/>
      <c r="BG71" s="319"/>
      <c r="BH71" s="319"/>
      <c r="BI71" s="319">
        <f>5.04*1.1</f>
        <v>5.5440000000000005</v>
      </c>
      <c r="BJ71" s="158">
        <f t="shared" si="37"/>
        <v>194.54400000000001</v>
      </c>
      <c r="BK71" s="94"/>
      <c r="BL71" s="319"/>
      <c r="BM71" s="319"/>
      <c r="BN71" s="319"/>
      <c r="BO71" s="319"/>
      <c r="BP71" s="319"/>
      <c r="BQ71" s="319"/>
      <c r="BR71" s="319">
        <v>2.016</v>
      </c>
      <c r="BS71" s="319">
        <f>5.04*5.4</f>
        <v>27.216000000000001</v>
      </c>
      <c r="BT71" s="319"/>
      <c r="BU71" s="319"/>
      <c r="BV71" s="319"/>
      <c r="BW71" s="319"/>
      <c r="BX71" s="319">
        <f>5.04*2.1</f>
        <v>10.584000000000001</v>
      </c>
      <c r="BY71" s="319">
        <f>5.04*2</f>
        <v>10.08</v>
      </c>
      <c r="BZ71" s="319"/>
      <c r="CA71" s="319">
        <f>5.04*4</f>
        <v>20.16</v>
      </c>
      <c r="CB71" s="319"/>
      <c r="CC71" s="319"/>
      <c r="CD71" s="319">
        <f>5.04*4</f>
        <v>20.16</v>
      </c>
      <c r="CE71" s="319"/>
      <c r="CF71" s="319">
        <f>40.32/8*6</f>
        <v>30.240000000000002</v>
      </c>
      <c r="CG71" s="319"/>
      <c r="CH71" s="319"/>
      <c r="CI71" s="319"/>
      <c r="CJ71" s="319"/>
      <c r="CK71" s="319"/>
      <c r="CL71" s="319">
        <f>3.024/0.6*0.9</f>
        <v>4.5360000000000005</v>
      </c>
      <c r="CM71" s="319">
        <v>3.024</v>
      </c>
      <c r="CN71" s="319"/>
      <c r="CO71" s="319">
        <f>5.04*2</f>
        <v>10.08</v>
      </c>
      <c r="CP71" s="319"/>
      <c r="CQ71" s="319"/>
      <c r="CR71" s="319"/>
      <c r="CS71" s="177"/>
      <c r="CT71" s="271"/>
      <c r="CU71" s="271"/>
      <c r="CV71" s="271"/>
      <c r="CW71" s="319"/>
      <c r="CX71" s="319"/>
      <c r="CY71" s="319">
        <v>1.008</v>
      </c>
      <c r="CZ71" s="319"/>
      <c r="DA71" s="319"/>
      <c r="DB71" s="319"/>
      <c r="DC71" s="319"/>
      <c r="DD71" s="319">
        <v>15.12</v>
      </c>
      <c r="DE71" s="319"/>
      <c r="DF71" s="319">
        <f>5.04*0.6</f>
        <v>3.024</v>
      </c>
      <c r="DG71" s="319"/>
      <c r="DH71" s="319">
        <f>5.04</f>
        <v>5.04</v>
      </c>
      <c r="DI71" s="319">
        <f>40.32/8</f>
        <v>5.04</v>
      </c>
      <c r="DJ71" s="319"/>
      <c r="DK71" s="319"/>
      <c r="DL71" s="319"/>
      <c r="DM71" s="319"/>
      <c r="DN71" s="319"/>
      <c r="DO71" s="319">
        <f>5.04*4</f>
        <v>20.16</v>
      </c>
      <c r="DP71" s="319">
        <f>40.32/8*7.5</f>
        <v>37.799999999999997</v>
      </c>
      <c r="DQ71" s="319"/>
      <c r="DR71" s="319"/>
      <c r="DS71" s="419">
        <f t="shared" ref="DS71:DS79" si="52">SUM(BL71:DR71)</f>
        <v>225.28800000000001</v>
      </c>
      <c r="DT71" s="57"/>
      <c r="DU71" s="319"/>
      <c r="DV71" s="319"/>
      <c r="DW71" s="319"/>
      <c r="DX71" s="319"/>
      <c r="DY71" s="319"/>
      <c r="DZ71" s="319">
        <v>0.121</v>
      </c>
      <c r="EA71" s="319"/>
      <c r="EB71" s="319"/>
      <c r="EC71" s="319"/>
      <c r="ED71" s="319"/>
      <c r="EE71" s="319"/>
      <c r="EF71" s="319">
        <v>5.04</v>
      </c>
      <c r="EG71" s="319"/>
      <c r="EH71" s="319"/>
      <c r="EI71" s="319"/>
      <c r="EJ71" s="319">
        <f>5.04*1.5</f>
        <v>7.5600000000000005</v>
      </c>
      <c r="EK71" s="319">
        <v>5.04</v>
      </c>
      <c r="EL71" s="319">
        <v>5.04</v>
      </c>
      <c r="EM71" s="319"/>
      <c r="EN71" s="319">
        <f>40.32/8*5</f>
        <v>25.2</v>
      </c>
      <c r="EO71" s="319"/>
      <c r="EP71" s="319">
        <f>5.04*2</f>
        <v>10.08</v>
      </c>
      <c r="EQ71" s="319"/>
      <c r="ER71" s="245">
        <f>5.04*0.3</f>
        <v>1.512</v>
      </c>
      <c r="ES71" s="319">
        <f>5.04*3</f>
        <v>15.120000000000001</v>
      </c>
      <c r="ET71" s="319">
        <v>3.024</v>
      </c>
      <c r="EU71" s="319">
        <v>4.5359999999999996</v>
      </c>
      <c r="EV71" s="319"/>
      <c r="EW71" s="319"/>
      <c r="EX71" s="319"/>
      <c r="EY71" s="319"/>
      <c r="EZ71" s="177"/>
      <c r="FA71" s="271"/>
      <c r="FB71" s="319"/>
      <c r="FC71" s="319"/>
      <c r="FD71" s="319">
        <v>15.12</v>
      </c>
      <c r="FE71" s="319"/>
      <c r="FF71" s="319"/>
      <c r="FG71" s="319"/>
      <c r="FH71" s="319"/>
      <c r="FI71" s="319"/>
      <c r="FJ71" s="319"/>
      <c r="FK71" s="319"/>
      <c r="FL71" s="319"/>
      <c r="FM71" s="319"/>
      <c r="FN71" s="319">
        <f>0.101/0.5*0.6</f>
        <v>0.1212</v>
      </c>
      <c r="FO71" s="319">
        <f>5.04*1.2</f>
        <v>6.048</v>
      </c>
      <c r="FP71" s="319"/>
      <c r="FQ71" s="319"/>
      <c r="FR71" s="319"/>
      <c r="FS71" s="319">
        <f>5.04</f>
        <v>5.04</v>
      </c>
      <c r="FT71" s="319"/>
      <c r="FU71" s="158">
        <f t="shared" si="38"/>
        <v>108.60220000000001</v>
      </c>
      <c r="FV71" s="95"/>
      <c r="FW71" s="245"/>
      <c r="FX71" s="245"/>
      <c r="FY71" s="245"/>
      <c r="FZ71" s="319"/>
      <c r="GA71" s="319"/>
      <c r="GB71" s="319"/>
      <c r="GC71" s="319"/>
      <c r="GD71" s="319"/>
      <c r="GE71" s="319"/>
      <c r="GF71" s="319"/>
      <c r="GG71" s="319"/>
      <c r="GH71" s="28"/>
      <c r="GI71" s="270"/>
      <c r="GJ71" s="245"/>
      <c r="GK71" s="177"/>
      <c r="GL71" s="271"/>
      <c r="GM71" s="177"/>
      <c r="GN71" s="272"/>
      <c r="GO71" s="435"/>
      <c r="GP71" s="327">
        <f t="shared" si="39"/>
        <v>0</v>
      </c>
      <c r="GQ71" s="500">
        <f t="shared" si="40"/>
        <v>96.01</v>
      </c>
      <c r="GR71" s="449">
        <f t="shared" si="41"/>
        <v>96.01</v>
      </c>
      <c r="GS71" s="451">
        <f t="shared" si="42"/>
        <v>176.143</v>
      </c>
      <c r="GT71" s="239">
        <f t="shared" si="43"/>
        <v>225.29</v>
      </c>
      <c r="GU71" s="36" t="str">
        <f t="shared" si="44"/>
        <v>Луктаром Молочно-Ванильный</v>
      </c>
      <c r="GV71" s="331"/>
      <c r="GW71" s="951"/>
    </row>
    <row r="72" spans="1:214" customFormat="1" ht="15" customHeight="1" x14ac:dyDescent="0.3">
      <c r="A72" s="127">
        <f t="shared" si="51"/>
        <v>61</v>
      </c>
      <c r="B72" s="767" t="s">
        <v>395</v>
      </c>
      <c r="C72" s="889">
        <f>675+50.96</f>
        <v>725.96</v>
      </c>
      <c r="D72" s="519">
        <f>45.04+143.99</f>
        <v>189.03</v>
      </c>
      <c r="E72" s="192">
        <f>81.01+523.79</f>
        <v>604.79999999999995</v>
      </c>
      <c r="F72" s="330">
        <f>1.21+301.19</f>
        <v>302.39999999999998</v>
      </c>
      <c r="G72" s="92">
        <f t="shared" si="50"/>
        <v>365.41</v>
      </c>
      <c r="H72" s="93">
        <v>1.21</v>
      </c>
      <c r="I72" s="93">
        <v>23.81</v>
      </c>
      <c r="J72" s="94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  <c r="AD72" s="319"/>
      <c r="AE72" s="319"/>
      <c r="AF72" s="319">
        <v>21.504000000000001</v>
      </c>
      <c r="AG72" s="319">
        <v>96.768000000000001</v>
      </c>
      <c r="AH72" s="319"/>
      <c r="AI72" s="319"/>
      <c r="AJ72" s="319"/>
      <c r="AK72" s="319"/>
      <c r="AL72" s="319"/>
      <c r="AM72" s="319"/>
      <c r="AN72" s="319"/>
      <c r="AO72" s="319"/>
      <c r="AP72" s="319"/>
      <c r="AQ72" s="319"/>
      <c r="AR72" s="319"/>
      <c r="AS72" s="319"/>
      <c r="AT72" s="319"/>
      <c r="AU72" s="319"/>
      <c r="AV72" s="319"/>
      <c r="AW72" s="319"/>
      <c r="AX72" s="319"/>
      <c r="AY72" s="319">
        <v>70.762</v>
      </c>
      <c r="AZ72" s="319"/>
      <c r="BA72" s="319"/>
      <c r="BB72" s="319"/>
      <c r="BC72" s="319"/>
      <c r="BD72" s="319"/>
      <c r="BE72" s="319"/>
      <c r="BF72" s="319"/>
      <c r="BG72" s="319"/>
      <c r="BH72" s="319"/>
      <c r="BI72" s="319"/>
      <c r="BJ72" s="158">
        <f t="shared" si="37"/>
        <v>189.03399999999999</v>
      </c>
      <c r="BK72" s="94"/>
      <c r="BL72" s="319"/>
      <c r="BM72" s="319"/>
      <c r="BN72" s="319"/>
      <c r="BO72" s="319"/>
      <c r="BP72" s="319"/>
      <c r="BQ72" s="319"/>
      <c r="BR72" s="319"/>
      <c r="BS72" s="319"/>
      <c r="BT72" s="319"/>
      <c r="BU72" s="319"/>
      <c r="BV72" s="319"/>
      <c r="BW72" s="319"/>
      <c r="BX72" s="319"/>
      <c r="BY72" s="319"/>
      <c r="BZ72" s="319"/>
      <c r="CA72" s="319"/>
      <c r="CB72" s="319"/>
      <c r="CC72" s="319"/>
      <c r="CD72" s="319"/>
      <c r="CE72" s="319"/>
      <c r="CF72" s="319"/>
      <c r="CG72" s="319"/>
      <c r="CH72" s="319"/>
      <c r="CI72" s="319"/>
      <c r="CJ72" s="319"/>
      <c r="CK72" s="319"/>
      <c r="CL72" s="319"/>
      <c r="CM72" s="319"/>
      <c r="CN72" s="319"/>
      <c r="CO72" s="319"/>
      <c r="CP72" s="319"/>
      <c r="CQ72" s="319"/>
      <c r="CR72" s="319"/>
      <c r="CS72" s="177"/>
      <c r="CT72" s="271">
        <v>604.803</v>
      </c>
      <c r="CU72" s="271"/>
      <c r="CV72" s="271"/>
      <c r="CW72" s="319"/>
      <c r="CX72" s="319"/>
      <c r="CY72" s="319"/>
      <c r="CZ72" s="319"/>
      <c r="DA72" s="319"/>
      <c r="DB72" s="319"/>
      <c r="DC72" s="319"/>
      <c r="DD72" s="319"/>
      <c r="DE72" s="319"/>
      <c r="DF72" s="319"/>
      <c r="DG72" s="319"/>
      <c r="DH72" s="319"/>
      <c r="DI72" s="319"/>
      <c r="DJ72" s="319"/>
      <c r="DK72" s="319"/>
      <c r="DL72" s="319"/>
      <c r="DM72" s="319"/>
      <c r="DN72" s="319"/>
      <c r="DO72" s="319"/>
      <c r="DP72" s="319"/>
      <c r="DQ72" s="319"/>
      <c r="DR72" s="319"/>
      <c r="DS72" s="419">
        <f t="shared" si="52"/>
        <v>604.803</v>
      </c>
      <c r="DT72" s="57"/>
      <c r="DU72" s="319"/>
      <c r="DV72" s="319"/>
      <c r="DW72" s="319"/>
      <c r="DX72" s="319"/>
      <c r="DY72" s="319"/>
      <c r="DZ72" s="319"/>
      <c r="EA72" s="319"/>
      <c r="EB72" s="319"/>
      <c r="EC72" s="319"/>
      <c r="ED72" s="319"/>
      <c r="EE72" s="319"/>
      <c r="EF72" s="319"/>
      <c r="EG72" s="319"/>
      <c r="EH72" s="319"/>
      <c r="EI72" s="319"/>
      <c r="EJ72" s="319"/>
      <c r="EK72" s="319"/>
      <c r="EL72" s="319"/>
      <c r="EM72" s="319"/>
      <c r="EN72" s="319"/>
      <c r="EO72" s="319"/>
      <c r="EP72" s="319"/>
      <c r="EQ72" s="319"/>
      <c r="ER72" s="245"/>
      <c r="ES72" s="319"/>
      <c r="ET72" s="319"/>
      <c r="EU72" s="319"/>
      <c r="EV72" s="319"/>
      <c r="EW72" s="319"/>
      <c r="EX72" s="319"/>
      <c r="EY72" s="319"/>
      <c r="EZ72" s="177">
        <v>302.39999999999998</v>
      </c>
      <c r="FA72" s="271"/>
      <c r="FB72" s="319"/>
      <c r="FC72" s="319"/>
      <c r="FD72" s="319"/>
      <c r="FE72" s="319"/>
      <c r="FF72" s="319"/>
      <c r="FG72" s="319"/>
      <c r="FH72" s="319"/>
      <c r="FI72" s="319"/>
      <c r="FJ72" s="319"/>
      <c r="FK72" s="319"/>
      <c r="FL72" s="319"/>
      <c r="FM72" s="319"/>
      <c r="FN72" s="319"/>
      <c r="FO72" s="319"/>
      <c r="FP72" s="319"/>
      <c r="FQ72" s="319"/>
      <c r="FR72" s="319"/>
      <c r="FS72" s="319"/>
      <c r="FT72" s="319"/>
      <c r="FU72" s="158">
        <f t="shared" si="38"/>
        <v>302.39999999999998</v>
      </c>
      <c r="FV72" s="95"/>
      <c r="FW72" s="245"/>
      <c r="FX72" s="245"/>
      <c r="FY72" s="245"/>
      <c r="FZ72" s="319"/>
      <c r="GA72" s="319"/>
      <c r="GB72" s="319"/>
      <c r="GC72" s="319"/>
      <c r="GD72" s="319"/>
      <c r="GE72" s="319"/>
      <c r="GF72" s="319"/>
      <c r="GG72" s="319"/>
      <c r="GH72" s="28"/>
      <c r="GI72" s="270"/>
      <c r="GJ72" s="245"/>
      <c r="GK72" s="177"/>
      <c r="GL72" s="271"/>
      <c r="GM72" s="177"/>
      <c r="GN72" s="272"/>
      <c r="GO72" s="435"/>
      <c r="GP72" s="327">
        <f t="shared" si="39"/>
        <v>0</v>
      </c>
      <c r="GQ72" s="500">
        <f t="shared" si="40"/>
        <v>23.81</v>
      </c>
      <c r="GR72" s="449">
        <f t="shared" si="41"/>
        <v>23.81</v>
      </c>
      <c r="GS72" s="451">
        <f t="shared" si="42"/>
        <v>365.41</v>
      </c>
      <c r="GT72" s="239">
        <f t="shared" si="43"/>
        <v>604.79999999999995</v>
      </c>
      <c r="GU72" s="36" t="str">
        <f t="shared" si="44"/>
        <v>Липро</v>
      </c>
      <c r="GV72" s="331"/>
      <c r="GW72" s="951"/>
    </row>
    <row r="73" spans="1:214" customFormat="1" ht="15" customHeight="1" x14ac:dyDescent="0.3">
      <c r="A73" s="127">
        <f t="shared" si="51"/>
        <v>62</v>
      </c>
      <c r="B73" s="762" t="s">
        <v>102</v>
      </c>
      <c r="C73" s="758">
        <v>16.62</v>
      </c>
      <c r="D73" s="519">
        <v>3.56</v>
      </c>
      <c r="E73" s="192">
        <v>0</v>
      </c>
      <c r="F73" s="330">
        <v>0</v>
      </c>
      <c r="G73" s="156">
        <f t="shared" ref="G73:G79" si="53">ROUND(AVERAGE(D73:F73),3)</f>
        <v>1.1870000000000001</v>
      </c>
      <c r="H73" s="93">
        <v>0</v>
      </c>
      <c r="I73" s="93">
        <v>0</v>
      </c>
      <c r="J73" s="94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>
        <v>1.008</v>
      </c>
      <c r="AL73" s="319"/>
      <c r="AM73" s="319">
        <v>0.54</v>
      </c>
      <c r="AN73" s="319"/>
      <c r="AO73" s="319">
        <f>1.008*2</f>
        <v>2.016</v>
      </c>
      <c r="AP73" s="319"/>
      <c r="AQ73" s="319"/>
      <c r="AR73" s="319"/>
      <c r="AS73" s="319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  <c r="BH73" s="319"/>
      <c r="BI73" s="319"/>
      <c r="BJ73" s="158">
        <f t="shared" si="37"/>
        <v>3.5640000000000001</v>
      </c>
      <c r="BK73" s="94"/>
      <c r="BL73" s="319"/>
      <c r="BM73" s="319"/>
      <c r="BN73" s="319"/>
      <c r="BO73" s="319"/>
      <c r="BP73" s="319"/>
      <c r="BQ73" s="319"/>
      <c r="BR73" s="319"/>
      <c r="BS73" s="319"/>
      <c r="BT73" s="319"/>
      <c r="BU73" s="319"/>
      <c r="BV73" s="319"/>
      <c r="BW73" s="319"/>
      <c r="BX73" s="319"/>
      <c r="BY73" s="319"/>
      <c r="BZ73" s="319"/>
      <c r="CA73" s="319"/>
      <c r="CB73" s="319"/>
      <c r="CC73" s="319"/>
      <c r="CD73" s="319"/>
      <c r="CE73" s="319"/>
      <c r="CF73" s="319"/>
      <c r="CG73" s="319"/>
      <c r="CH73" s="319"/>
      <c r="CI73" s="319"/>
      <c r="CJ73" s="319"/>
      <c r="CK73" s="319"/>
      <c r="CL73" s="319"/>
      <c r="CM73" s="319"/>
      <c r="CN73" s="319"/>
      <c r="CO73" s="319"/>
      <c r="CP73" s="319"/>
      <c r="CQ73" s="319"/>
      <c r="CR73" s="319"/>
      <c r="CS73" s="177"/>
      <c r="CT73" s="271"/>
      <c r="CU73" s="271"/>
      <c r="CV73" s="271"/>
      <c r="CW73" s="319"/>
      <c r="CX73" s="319"/>
      <c r="CY73" s="319"/>
      <c r="CZ73" s="319"/>
      <c r="DA73" s="319"/>
      <c r="DB73" s="319"/>
      <c r="DC73" s="319"/>
      <c r="DD73" s="319"/>
      <c r="DE73" s="319"/>
      <c r="DF73" s="319"/>
      <c r="DG73" s="319"/>
      <c r="DH73" s="319"/>
      <c r="DI73" s="319"/>
      <c r="DJ73" s="319"/>
      <c r="DK73" s="319"/>
      <c r="DL73" s="319"/>
      <c r="DM73" s="319"/>
      <c r="DN73" s="319"/>
      <c r="DO73" s="319"/>
      <c r="DP73" s="319"/>
      <c r="DQ73" s="319"/>
      <c r="DR73" s="319"/>
      <c r="DS73" s="419">
        <f t="shared" si="52"/>
        <v>0</v>
      </c>
      <c r="DT73" s="57"/>
      <c r="DU73" s="319"/>
      <c r="DV73" s="319"/>
      <c r="DW73" s="319"/>
      <c r="DX73" s="319"/>
      <c r="DY73" s="319"/>
      <c r="DZ73" s="319"/>
      <c r="EA73" s="319"/>
      <c r="EB73" s="319"/>
      <c r="EC73" s="319"/>
      <c r="ED73" s="319"/>
      <c r="EE73" s="319"/>
      <c r="EF73" s="319"/>
      <c r="EG73" s="319"/>
      <c r="EH73" s="319"/>
      <c r="EI73" s="319"/>
      <c r="EJ73" s="319"/>
      <c r="EK73" s="319"/>
      <c r="EL73" s="319"/>
      <c r="EM73" s="319"/>
      <c r="EN73" s="319"/>
      <c r="EO73" s="319"/>
      <c r="EP73" s="319"/>
      <c r="EQ73" s="319"/>
      <c r="ER73" s="245"/>
      <c r="ES73" s="319"/>
      <c r="ET73" s="319"/>
      <c r="EU73" s="319"/>
      <c r="EV73" s="319"/>
      <c r="EW73" s="319"/>
      <c r="EX73" s="319"/>
      <c r="EY73" s="319"/>
      <c r="EZ73" s="177"/>
      <c r="FA73" s="271"/>
      <c r="FB73" s="319"/>
      <c r="FC73" s="319"/>
      <c r="FD73" s="319"/>
      <c r="FE73" s="319"/>
      <c r="FF73" s="319"/>
      <c r="FG73" s="319"/>
      <c r="FH73" s="319"/>
      <c r="FI73" s="319"/>
      <c r="FJ73" s="319"/>
      <c r="FK73" s="319"/>
      <c r="FL73" s="319"/>
      <c r="FM73" s="319"/>
      <c r="FN73" s="319"/>
      <c r="FO73" s="319"/>
      <c r="FP73" s="319"/>
      <c r="FQ73" s="319"/>
      <c r="FR73" s="319"/>
      <c r="FS73" s="319"/>
      <c r="FT73" s="319"/>
      <c r="FU73" s="158">
        <f t="shared" si="38"/>
        <v>0</v>
      </c>
      <c r="FV73" s="95"/>
      <c r="FW73" s="245"/>
      <c r="FX73" s="245"/>
      <c r="FY73" s="245"/>
      <c r="FZ73" s="319"/>
      <c r="GA73" s="319"/>
      <c r="GB73" s="319"/>
      <c r="GC73" s="319"/>
      <c r="GD73" s="319"/>
      <c r="GE73" s="319"/>
      <c r="GF73" s="319"/>
      <c r="GG73" s="319"/>
      <c r="GH73" s="28"/>
      <c r="GI73" s="270"/>
      <c r="GJ73" s="245"/>
      <c r="GK73" s="177"/>
      <c r="GL73" s="271"/>
      <c r="GM73" s="177"/>
      <c r="GN73" s="272"/>
      <c r="GO73" s="435"/>
      <c r="GP73" s="327">
        <f t="shared" si="39"/>
        <v>0</v>
      </c>
      <c r="GQ73" s="500">
        <f t="shared" si="40"/>
        <v>0</v>
      </c>
      <c r="GR73" s="449">
        <f t="shared" si="41"/>
        <v>0</v>
      </c>
      <c r="GS73" s="451">
        <f t="shared" si="42"/>
        <v>1.1870000000000001</v>
      </c>
      <c r="GT73" s="239">
        <f t="shared" si="43"/>
        <v>0</v>
      </c>
      <c r="GU73" s="36" t="str">
        <f t="shared" si="44"/>
        <v>Фекорд -2012-Ф гр.2</v>
      </c>
      <c r="GV73" s="331"/>
      <c r="GW73" s="951"/>
    </row>
    <row r="74" spans="1:214" customFormat="1" ht="15" customHeight="1" x14ac:dyDescent="0.3">
      <c r="A74" s="127">
        <f t="shared" si="51"/>
        <v>63</v>
      </c>
      <c r="B74" s="767" t="s">
        <v>172</v>
      </c>
      <c r="C74" s="758">
        <v>830.87</v>
      </c>
      <c r="D74" s="519">
        <v>362.74</v>
      </c>
      <c r="E74" s="192">
        <v>87.26</v>
      </c>
      <c r="F74" s="330">
        <v>0</v>
      </c>
      <c r="G74" s="156">
        <f t="shared" si="53"/>
        <v>150</v>
      </c>
      <c r="H74" s="93">
        <v>0</v>
      </c>
      <c r="I74" s="93">
        <v>0</v>
      </c>
      <c r="J74" s="94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>
        <f>50.4*3</f>
        <v>151.19999999999999</v>
      </c>
      <c r="Z74" s="319"/>
      <c r="AA74" s="319"/>
      <c r="AB74" s="319"/>
      <c r="AC74" s="319"/>
      <c r="AD74" s="319">
        <v>103.63200000000001</v>
      </c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319"/>
      <c r="AQ74" s="319"/>
      <c r="AR74" s="319"/>
      <c r="AS74" s="319"/>
      <c r="AT74" s="319"/>
      <c r="AU74" s="319"/>
      <c r="AV74" s="319"/>
      <c r="AW74" s="319"/>
      <c r="AX74" s="319"/>
      <c r="AY74" s="319"/>
      <c r="AZ74" s="319">
        <v>16.602</v>
      </c>
      <c r="BA74" s="319">
        <v>91.313000000000002</v>
      </c>
      <c r="BB74" s="319"/>
      <c r="BC74" s="319"/>
      <c r="BD74" s="319"/>
      <c r="BE74" s="319"/>
      <c r="BF74" s="319"/>
      <c r="BG74" s="319"/>
      <c r="BH74" s="319"/>
      <c r="BI74" s="319"/>
      <c r="BJ74" s="158">
        <f t="shared" si="37"/>
        <v>362.74699999999996</v>
      </c>
      <c r="BK74" s="94"/>
      <c r="BL74" s="319"/>
      <c r="BM74" s="319"/>
      <c r="BN74" s="319"/>
      <c r="BO74" s="319"/>
      <c r="BP74" s="319"/>
      <c r="BQ74" s="319"/>
      <c r="BR74" s="319"/>
      <c r="BS74" s="319"/>
      <c r="BT74" s="319"/>
      <c r="BU74" s="319"/>
      <c r="BV74" s="319"/>
      <c r="BW74" s="319"/>
      <c r="BX74" s="319"/>
      <c r="BY74" s="319"/>
      <c r="BZ74" s="319"/>
      <c r="CA74" s="319"/>
      <c r="CB74" s="319"/>
      <c r="CC74" s="319"/>
      <c r="CD74" s="319"/>
      <c r="CE74" s="319"/>
      <c r="CF74" s="319"/>
      <c r="CG74" s="319"/>
      <c r="CH74" s="319"/>
      <c r="CI74" s="319"/>
      <c r="CJ74" s="319">
        <v>87.26</v>
      </c>
      <c r="CK74" s="319"/>
      <c r="CL74" s="319"/>
      <c r="CM74" s="319"/>
      <c r="CN74" s="319"/>
      <c r="CO74" s="319"/>
      <c r="CP74" s="319"/>
      <c r="CQ74" s="319"/>
      <c r="CR74" s="319"/>
      <c r="CS74" s="177"/>
      <c r="CT74" s="271"/>
      <c r="CU74" s="271"/>
      <c r="CV74" s="271"/>
      <c r="CW74" s="319"/>
      <c r="CX74" s="319"/>
      <c r="CY74" s="319"/>
      <c r="CZ74" s="319"/>
      <c r="DA74" s="319"/>
      <c r="DB74" s="319"/>
      <c r="DC74" s="319"/>
      <c r="DD74" s="319"/>
      <c r="DE74" s="319"/>
      <c r="DF74" s="319"/>
      <c r="DG74" s="319"/>
      <c r="DH74" s="319"/>
      <c r="DI74" s="319"/>
      <c r="DJ74" s="319"/>
      <c r="DK74" s="319"/>
      <c r="DL74" s="319"/>
      <c r="DM74" s="319"/>
      <c r="DN74" s="319"/>
      <c r="DO74" s="319"/>
      <c r="DP74" s="319"/>
      <c r="DQ74" s="319"/>
      <c r="DR74" s="319"/>
      <c r="DS74" s="419">
        <f t="shared" si="52"/>
        <v>87.26</v>
      </c>
      <c r="DT74" s="57"/>
      <c r="DU74" s="319"/>
      <c r="DV74" s="319"/>
      <c r="DW74" s="319"/>
      <c r="DX74" s="319"/>
      <c r="DY74" s="319"/>
      <c r="DZ74" s="319"/>
      <c r="EA74" s="319"/>
      <c r="EB74" s="319"/>
      <c r="EC74" s="319"/>
      <c r="ED74" s="319"/>
      <c r="EE74" s="319"/>
      <c r="EF74" s="319"/>
      <c r="EG74" s="319"/>
      <c r="EH74" s="319"/>
      <c r="EI74" s="319"/>
      <c r="EJ74" s="319"/>
      <c r="EK74" s="319"/>
      <c r="EL74" s="319"/>
      <c r="EM74" s="319"/>
      <c r="EN74" s="319"/>
      <c r="EO74" s="319"/>
      <c r="EP74" s="319"/>
      <c r="EQ74" s="319"/>
      <c r="ER74" s="245"/>
      <c r="ES74" s="319"/>
      <c r="ET74" s="319"/>
      <c r="EU74" s="319"/>
      <c r="EV74" s="319"/>
      <c r="EW74" s="319"/>
      <c r="EX74" s="319"/>
      <c r="EY74" s="319"/>
      <c r="EZ74" s="177"/>
      <c r="FA74" s="271"/>
      <c r="FB74" s="319"/>
      <c r="FC74" s="319"/>
      <c r="FD74" s="319"/>
      <c r="FE74" s="319"/>
      <c r="FF74" s="319"/>
      <c r="FG74" s="319"/>
      <c r="FH74" s="319"/>
      <c r="FI74" s="319"/>
      <c r="FJ74" s="319"/>
      <c r="FK74" s="319"/>
      <c r="FL74" s="319"/>
      <c r="FM74" s="319"/>
      <c r="FN74" s="319"/>
      <c r="FO74" s="319"/>
      <c r="FP74" s="319"/>
      <c r="FQ74" s="319"/>
      <c r="FR74" s="319"/>
      <c r="FS74" s="319"/>
      <c r="FT74" s="319"/>
      <c r="FU74" s="158">
        <f t="shared" si="38"/>
        <v>0</v>
      </c>
      <c r="FV74" s="95"/>
      <c r="FW74" s="245"/>
      <c r="FX74" s="245"/>
      <c r="FY74" s="245"/>
      <c r="FZ74" s="319"/>
      <c r="GA74" s="319"/>
      <c r="GB74" s="319"/>
      <c r="GC74" s="319"/>
      <c r="GD74" s="319"/>
      <c r="GE74" s="319"/>
      <c r="GF74" s="319"/>
      <c r="GG74" s="319"/>
      <c r="GH74" s="28"/>
      <c r="GI74" s="270"/>
      <c r="GJ74" s="245"/>
      <c r="GK74" s="177"/>
      <c r="GL74" s="271"/>
      <c r="GM74" s="177"/>
      <c r="GN74" s="272"/>
      <c r="GO74" s="435"/>
      <c r="GP74" s="327">
        <f t="shared" si="39"/>
        <v>0</v>
      </c>
      <c r="GQ74" s="500">
        <f t="shared" si="40"/>
        <v>0</v>
      </c>
      <c r="GR74" s="449">
        <f t="shared" si="41"/>
        <v>0</v>
      </c>
      <c r="GS74" s="451">
        <f t="shared" si="42"/>
        <v>150</v>
      </c>
      <c r="GT74" s="239">
        <f t="shared" si="43"/>
        <v>87.26</v>
      </c>
      <c r="GU74" s="36" t="str">
        <f t="shared" si="44"/>
        <v>Файбрамакс</v>
      </c>
      <c r="GV74" s="331"/>
      <c r="GW74" s="951"/>
    </row>
    <row r="75" spans="1:214" customFormat="1" ht="15" customHeight="1" x14ac:dyDescent="0.3">
      <c r="A75" s="127">
        <f t="shared" si="51"/>
        <v>64</v>
      </c>
      <c r="B75" s="702" t="s">
        <v>183</v>
      </c>
      <c r="C75" s="758">
        <v>294.74</v>
      </c>
      <c r="D75" s="519">
        <v>356.47</v>
      </c>
      <c r="E75" s="192">
        <v>540.95000000000005</v>
      </c>
      <c r="F75" s="330">
        <f>136.26+64.95</f>
        <v>201.20999999999998</v>
      </c>
      <c r="G75" s="156">
        <f>ROUND(AVERAGE(D75:F75),3)</f>
        <v>366.21</v>
      </c>
      <c r="H75" s="93">
        <f>136.26+1000</f>
        <v>1136.26</v>
      </c>
      <c r="I75" s="93">
        <v>935.05</v>
      </c>
      <c r="J75" s="94"/>
      <c r="K75" s="319"/>
      <c r="L75" s="319"/>
      <c r="M75" s="319"/>
      <c r="N75" s="319"/>
      <c r="O75" s="319"/>
      <c r="P75" s="319"/>
      <c r="Q75" s="319">
        <v>7.56</v>
      </c>
      <c r="R75" s="319">
        <f>4.032*3</f>
        <v>12.096</v>
      </c>
      <c r="S75" s="319">
        <f>63*1.6</f>
        <v>100.80000000000001</v>
      </c>
      <c r="T75" s="319"/>
      <c r="U75" s="319">
        <f>4.536*1.5</f>
        <v>6.8039999999999994</v>
      </c>
      <c r="V75" s="319">
        <f>4.032*4</f>
        <v>16.128</v>
      </c>
      <c r="W75" s="319"/>
      <c r="X75" s="319">
        <f>4.536*7</f>
        <v>31.751999999999995</v>
      </c>
      <c r="Y75" s="319">
        <f>0.756*3</f>
        <v>2.2679999999999998</v>
      </c>
      <c r="Z75" s="319">
        <f>4.536*2</f>
        <v>9.0719999999999992</v>
      </c>
      <c r="AA75" s="319">
        <f>4.032*4</f>
        <v>16.128</v>
      </c>
      <c r="AB75" s="319">
        <f>4.536*8</f>
        <v>36.287999999999997</v>
      </c>
      <c r="AC75" s="319"/>
      <c r="AD75" s="319">
        <v>1.008</v>
      </c>
      <c r="AE75" s="319"/>
      <c r="AF75" s="319"/>
      <c r="AG75" s="319"/>
      <c r="AH75" s="319">
        <v>15.12</v>
      </c>
      <c r="AI75" s="319">
        <f>14.364*4</f>
        <v>57.456000000000003</v>
      </c>
      <c r="AJ75" s="319"/>
      <c r="AK75" s="319"/>
      <c r="AL75" s="319">
        <v>3.024</v>
      </c>
      <c r="AM75" s="319"/>
      <c r="AN75" s="319">
        <v>10.08</v>
      </c>
      <c r="AO75" s="319"/>
      <c r="AP75" s="319"/>
      <c r="AQ75" s="319">
        <v>3.629</v>
      </c>
      <c r="AR75" s="319">
        <v>0.80600000000000005</v>
      </c>
      <c r="AS75" s="319">
        <v>1.21</v>
      </c>
      <c r="AT75" s="319"/>
      <c r="AU75" s="319">
        <v>3.024</v>
      </c>
      <c r="AV75" s="319"/>
      <c r="AW75" s="319"/>
      <c r="AX75" s="319"/>
      <c r="AY75" s="319"/>
      <c r="AZ75" s="319"/>
      <c r="BA75" s="319"/>
      <c r="BB75" s="319">
        <v>4.5359999999999996</v>
      </c>
      <c r="BC75" s="319">
        <f>7.56</f>
        <v>7.56</v>
      </c>
      <c r="BD75" s="319"/>
      <c r="BE75" s="319">
        <v>5.67</v>
      </c>
      <c r="BF75" s="319"/>
      <c r="BG75" s="319"/>
      <c r="BH75" s="319"/>
      <c r="BI75" s="319">
        <f>4.032*1.1</f>
        <v>4.4352</v>
      </c>
      <c r="BJ75" s="158">
        <f t="shared" si="37"/>
        <v>356.45420000000007</v>
      </c>
      <c r="BK75" s="94"/>
      <c r="BL75" s="319"/>
      <c r="BM75" s="319">
        <f>63*2.5</f>
        <v>157.5</v>
      </c>
      <c r="BN75" s="319"/>
      <c r="BO75" s="319"/>
      <c r="BP75" s="319"/>
      <c r="BQ75" s="319"/>
      <c r="BR75" s="319"/>
      <c r="BS75" s="319">
        <f>4.536*5.4</f>
        <v>24.494399999999999</v>
      </c>
      <c r="BT75" s="319"/>
      <c r="BU75" s="319"/>
      <c r="BV75" s="319"/>
      <c r="BW75" s="319"/>
      <c r="BX75" s="319">
        <f>4.536*2.1</f>
        <v>9.525599999999999</v>
      </c>
      <c r="BY75" s="319">
        <f>4.536*2</f>
        <v>9.0719999999999992</v>
      </c>
      <c r="BZ75" s="319"/>
      <c r="CA75" s="319">
        <f>4.032*4</f>
        <v>16.128</v>
      </c>
      <c r="CB75" s="319"/>
      <c r="CC75" s="319"/>
      <c r="CD75" s="319">
        <f>4.032*4</f>
        <v>16.128</v>
      </c>
      <c r="CE75" s="319"/>
      <c r="CF75" s="319">
        <f>36.288/8*6</f>
        <v>27.215999999999998</v>
      </c>
      <c r="CG75" s="319"/>
      <c r="CH75" s="319"/>
      <c r="CI75" s="319">
        <v>7.56</v>
      </c>
      <c r="CJ75" s="319">
        <v>2.2679999999999998</v>
      </c>
      <c r="CK75" s="319"/>
      <c r="CL75" s="319">
        <f>2.419/0.6*0.9</f>
        <v>3.6285000000000007</v>
      </c>
      <c r="CM75" s="319">
        <v>3.024</v>
      </c>
      <c r="CN75" s="319"/>
      <c r="CO75" s="319">
        <f>4.536*2</f>
        <v>9.0719999999999992</v>
      </c>
      <c r="CP75" s="319"/>
      <c r="CQ75" s="319"/>
      <c r="CR75" s="319"/>
      <c r="CS75" s="177"/>
      <c r="CT75" s="271"/>
      <c r="CU75" s="271"/>
      <c r="CV75" s="271">
        <v>10.08</v>
      </c>
      <c r="CW75" s="319"/>
      <c r="CX75" s="319"/>
      <c r="CY75" s="319"/>
      <c r="CZ75" s="319"/>
      <c r="DA75" s="319"/>
      <c r="DB75" s="319"/>
      <c r="DC75" s="319">
        <f>57.456/4*4.5</f>
        <v>64.638000000000005</v>
      </c>
      <c r="DD75" s="319">
        <v>15.12</v>
      </c>
      <c r="DE75" s="319">
        <v>10.08</v>
      </c>
      <c r="DF75" s="319">
        <f>3.024*0.6</f>
        <v>1.8144</v>
      </c>
      <c r="DG75" s="319"/>
      <c r="DH75" s="319">
        <f>4.032</f>
        <v>4.032</v>
      </c>
      <c r="DI75" s="319">
        <f>36.288/8</f>
        <v>4.5359999999999996</v>
      </c>
      <c r="DJ75" s="319">
        <f>100.8/1.6*1.5</f>
        <v>94.499999999999986</v>
      </c>
      <c r="DK75" s="319"/>
      <c r="DL75" s="319"/>
      <c r="DM75" s="319"/>
      <c r="DN75" s="319"/>
      <c r="DO75" s="319">
        <f>4.032*4</f>
        <v>16.128</v>
      </c>
      <c r="DP75" s="319">
        <f>36.288/8*7.5</f>
        <v>34.019999999999996</v>
      </c>
      <c r="DQ75" s="319"/>
      <c r="DR75" s="319">
        <v>0.378</v>
      </c>
      <c r="DS75" s="419">
        <f>SUM(BL75:DR75)</f>
        <v>540.9428999999999</v>
      </c>
      <c r="DT75" s="57"/>
      <c r="DU75" s="319"/>
      <c r="DV75" s="319"/>
      <c r="DW75" s="319"/>
      <c r="DX75" s="319"/>
      <c r="DY75" s="319"/>
      <c r="DZ75" s="319"/>
      <c r="EA75" s="319"/>
      <c r="EB75" s="319"/>
      <c r="EC75" s="319"/>
      <c r="ED75" s="319">
        <v>1.21</v>
      </c>
      <c r="EE75" s="319">
        <v>0.80600000000000005</v>
      </c>
      <c r="EF75" s="319">
        <v>4.5359999999999996</v>
      </c>
      <c r="EG75" s="319"/>
      <c r="EH75" s="319"/>
      <c r="EI75" s="319"/>
      <c r="EJ75" s="319">
        <f>4.032*1.5</f>
        <v>6.048</v>
      </c>
      <c r="EK75" s="319">
        <v>3.024</v>
      </c>
      <c r="EL75" s="319">
        <v>3.024</v>
      </c>
      <c r="EM75" s="319">
        <v>11.34</v>
      </c>
      <c r="EN75" s="319">
        <f>36.288/8*5</f>
        <v>22.68</v>
      </c>
      <c r="EO75" s="319"/>
      <c r="EP75" s="319">
        <f>4.032*2</f>
        <v>8.0640000000000001</v>
      </c>
      <c r="EQ75" s="319"/>
      <c r="ER75" s="245">
        <f>3.78*0.3</f>
        <v>1.1339999999999999</v>
      </c>
      <c r="ES75" s="319">
        <f>4.032*3</f>
        <v>12.096</v>
      </c>
      <c r="ET75" s="319">
        <v>3.024</v>
      </c>
      <c r="EU75" s="319">
        <v>3.629</v>
      </c>
      <c r="EV75" s="319">
        <v>5.04</v>
      </c>
      <c r="EW75" s="319"/>
      <c r="EX75" s="319">
        <f>57.456/4*5</f>
        <v>71.820000000000007</v>
      </c>
      <c r="EY75" s="319"/>
      <c r="EZ75" s="177"/>
      <c r="FA75" s="271"/>
      <c r="FB75" s="319"/>
      <c r="FC75" s="319"/>
      <c r="FD75" s="319">
        <v>15.12</v>
      </c>
      <c r="FE75" s="319"/>
      <c r="FF75" s="319"/>
      <c r="FG75" s="319"/>
      <c r="FH75" s="319">
        <f>60.48/0.3*0.1</f>
        <v>20.16</v>
      </c>
      <c r="FI75" s="319"/>
      <c r="FJ75" s="319"/>
      <c r="FK75" s="319"/>
      <c r="FL75" s="319"/>
      <c r="FM75" s="319"/>
      <c r="FN75" s="319"/>
      <c r="FO75" s="319">
        <f>4.536*1.2</f>
        <v>5.4431999999999992</v>
      </c>
      <c r="FP75" s="319"/>
      <c r="FQ75" s="319"/>
      <c r="FR75" s="319"/>
      <c r="FS75" s="319">
        <f>3.024</f>
        <v>3.024</v>
      </c>
      <c r="FT75" s="319"/>
      <c r="FU75" s="158">
        <f t="shared" si="38"/>
        <v>201.22220000000002</v>
      </c>
      <c r="FV75" s="95"/>
      <c r="FW75" s="245"/>
      <c r="FX75" s="245"/>
      <c r="FY75" s="245"/>
      <c r="FZ75" s="319"/>
      <c r="GA75" s="319"/>
      <c r="GB75" s="319"/>
      <c r="GC75" s="319"/>
      <c r="GD75" s="319"/>
      <c r="GE75" s="319"/>
      <c r="GF75" s="319"/>
      <c r="GG75" s="319"/>
      <c r="GH75" s="28"/>
      <c r="GI75" s="270"/>
      <c r="GJ75" s="245"/>
      <c r="GK75" s="177"/>
      <c r="GL75" s="271"/>
      <c r="GM75" s="177"/>
      <c r="GN75" s="272"/>
      <c r="GO75" s="435"/>
      <c r="GP75" s="327">
        <f t="shared" si="39"/>
        <v>0</v>
      </c>
      <c r="GQ75" s="500">
        <f t="shared" si="40"/>
        <v>935.05</v>
      </c>
      <c r="GR75" s="449">
        <f t="shared" si="41"/>
        <v>935.05</v>
      </c>
      <c r="GS75" s="451">
        <f t="shared" si="42"/>
        <v>366.21</v>
      </c>
      <c r="GT75" s="239">
        <f t="shared" si="43"/>
        <v>540.95000000000005</v>
      </c>
      <c r="GU75" s="36" t="str">
        <f t="shared" si="44"/>
        <v>Хромсодержащие дрожжи</v>
      </c>
      <c r="GV75" s="331"/>
      <c r="GW75" s="951"/>
    </row>
    <row r="76" spans="1:214" customFormat="1" ht="15" customHeight="1" x14ac:dyDescent="0.3">
      <c r="A76" s="127">
        <f t="shared" si="51"/>
        <v>65</v>
      </c>
      <c r="B76" s="703" t="s">
        <v>140</v>
      </c>
      <c r="C76" s="758">
        <f>1417.71</f>
        <v>1417.71</v>
      </c>
      <c r="D76" s="519">
        <v>1623.53</v>
      </c>
      <c r="E76" s="192">
        <v>1095.03</v>
      </c>
      <c r="F76" s="330">
        <v>1950.6</v>
      </c>
      <c r="G76" s="156">
        <f t="shared" si="53"/>
        <v>1556.3869999999999</v>
      </c>
      <c r="H76" s="93">
        <f>6512.43+13200+10000</f>
        <v>29712.43</v>
      </c>
      <c r="I76" s="93">
        <f>4561.83+13200+10000</f>
        <v>27761.83</v>
      </c>
      <c r="J76" s="94"/>
      <c r="K76" s="319">
        <f>39.312*3</f>
        <v>117.93599999999999</v>
      </c>
      <c r="L76" s="319">
        <v>28.725999999999999</v>
      </c>
      <c r="M76" s="319">
        <f>13.81*8</f>
        <v>110.48</v>
      </c>
      <c r="N76" s="319"/>
      <c r="O76" s="319"/>
      <c r="P76" s="319"/>
      <c r="Q76" s="319"/>
      <c r="R76" s="319"/>
      <c r="S76" s="319"/>
      <c r="T76" s="319"/>
      <c r="U76" s="319">
        <f>16.128*1.5</f>
        <v>24.192</v>
      </c>
      <c r="V76" s="319"/>
      <c r="W76" s="319">
        <f>10.08*1.5</f>
        <v>15.120000000000001</v>
      </c>
      <c r="X76" s="319">
        <f>13.104*7</f>
        <v>91.727999999999994</v>
      </c>
      <c r="Y76" s="319">
        <f>8.064*3</f>
        <v>24.192</v>
      </c>
      <c r="Z76" s="319">
        <f>13.104*2</f>
        <v>26.207999999999998</v>
      </c>
      <c r="AA76" s="319"/>
      <c r="AB76" s="319">
        <f>13.104*8</f>
        <v>104.83199999999999</v>
      </c>
      <c r="AC76" s="319">
        <f>13.91*6</f>
        <v>83.460000000000008</v>
      </c>
      <c r="AD76" s="319"/>
      <c r="AE76" s="319"/>
      <c r="AF76" s="319">
        <v>26.88</v>
      </c>
      <c r="AG76" s="319">
        <v>43.008000000000003</v>
      </c>
      <c r="AH76" s="319"/>
      <c r="AI76" s="319"/>
      <c r="AJ76" s="319"/>
      <c r="AK76" s="319"/>
      <c r="AL76" s="319">
        <v>18.446000000000002</v>
      </c>
      <c r="AM76" s="319">
        <v>7.7409999999999997</v>
      </c>
      <c r="AN76" s="319"/>
      <c r="AO76" s="319"/>
      <c r="AP76" s="319"/>
      <c r="AQ76" s="319">
        <v>27.216000000000001</v>
      </c>
      <c r="AR76" s="319">
        <v>26.88</v>
      </c>
      <c r="AS76" s="319">
        <v>40.32</v>
      </c>
      <c r="AT76" s="319"/>
      <c r="AU76" s="319">
        <v>101.90900000000001</v>
      </c>
      <c r="AV76" s="319">
        <f>114.408</f>
        <v>114.408</v>
      </c>
      <c r="AW76" s="319">
        <v>28.725999999999999</v>
      </c>
      <c r="AX76" s="319">
        <f>59.976*1.2</f>
        <v>71.971199999999996</v>
      </c>
      <c r="AY76" s="319"/>
      <c r="AZ76" s="319">
        <v>13.044</v>
      </c>
      <c r="BA76" s="319">
        <v>59.292999999999999</v>
      </c>
      <c r="BB76" s="319">
        <v>116.42400000000001</v>
      </c>
      <c r="BC76" s="319"/>
      <c r="BD76" s="319"/>
      <c r="BE76" s="319">
        <v>151.19999999999999</v>
      </c>
      <c r="BF76" s="319">
        <v>3.024</v>
      </c>
      <c r="BG76" s="319">
        <f>146.16</f>
        <v>146.16</v>
      </c>
      <c r="BH76" s="319"/>
      <c r="BI76" s="319"/>
      <c r="BJ76" s="158">
        <f t="shared" si="37"/>
        <v>1623.5241999999998</v>
      </c>
      <c r="BK76" s="94"/>
      <c r="BL76" s="319">
        <v>35.28</v>
      </c>
      <c r="BM76" s="319"/>
      <c r="BN76" s="319">
        <f>72.576*1.5</f>
        <v>108.86399999999999</v>
      </c>
      <c r="BO76" s="319">
        <f>16.128*2.4</f>
        <v>38.7072</v>
      </c>
      <c r="BP76" s="319">
        <v>6.048</v>
      </c>
      <c r="BQ76" s="319">
        <f>46.368*3</f>
        <v>139.10400000000001</v>
      </c>
      <c r="BR76" s="319">
        <v>120.96</v>
      </c>
      <c r="BS76" s="319">
        <f>13.104*5.4</f>
        <v>70.761600000000001</v>
      </c>
      <c r="BT76" s="319">
        <v>38.707000000000001</v>
      </c>
      <c r="BU76" s="319">
        <f>15.725*1.9</f>
        <v>29.877499999999998</v>
      </c>
      <c r="BV76" s="319">
        <v>14.112</v>
      </c>
      <c r="BW76" s="319">
        <v>22.135999999999999</v>
      </c>
      <c r="BX76" s="319">
        <f>13.104*2.1</f>
        <v>27.5184</v>
      </c>
      <c r="BY76" s="319">
        <f>6.048*2</f>
        <v>12.096</v>
      </c>
      <c r="BZ76" s="319"/>
      <c r="CA76" s="319"/>
      <c r="CB76" s="319">
        <f>46.368*3</f>
        <v>139.10400000000001</v>
      </c>
      <c r="CC76" s="319"/>
      <c r="CD76" s="319"/>
      <c r="CE76" s="319"/>
      <c r="CF76" s="319"/>
      <c r="CG76" s="319"/>
      <c r="CH76" s="319"/>
      <c r="CI76" s="319"/>
      <c r="CJ76" s="319"/>
      <c r="CK76" s="319">
        <f>7.5/0.8*0.9</f>
        <v>8.4375</v>
      </c>
      <c r="CL76" s="319">
        <f>18.144/0.6*0.9</f>
        <v>27.215999999999998</v>
      </c>
      <c r="CM76" s="319">
        <v>6.1390000000000002</v>
      </c>
      <c r="CN76" s="319"/>
      <c r="CO76" s="319">
        <f>0.252*2</f>
        <v>0.504</v>
      </c>
      <c r="CP76" s="319">
        <f>72.576*0.3</f>
        <v>21.772799999999997</v>
      </c>
      <c r="CQ76" s="319">
        <v>18.748999999999999</v>
      </c>
      <c r="CR76" s="319"/>
      <c r="CS76" s="177"/>
      <c r="CT76" s="271"/>
      <c r="CU76" s="271"/>
      <c r="CV76" s="271"/>
      <c r="CW76" s="319"/>
      <c r="CX76" s="319"/>
      <c r="CY76" s="319"/>
      <c r="CZ76" s="319">
        <f>7.5/0.8*3</f>
        <v>28.125</v>
      </c>
      <c r="DA76" s="319"/>
      <c r="DB76" s="319">
        <f>5.342*2</f>
        <v>10.683999999999999</v>
      </c>
      <c r="DC76" s="319"/>
      <c r="DD76" s="319"/>
      <c r="DE76" s="319"/>
      <c r="DF76" s="319">
        <f>99.389*0.6</f>
        <v>59.633399999999995</v>
      </c>
      <c r="DG76" s="319"/>
      <c r="DH76" s="319"/>
      <c r="DI76" s="319"/>
      <c r="DJ76" s="319"/>
      <c r="DK76" s="319">
        <v>3.6589999999999998</v>
      </c>
      <c r="DL76" s="319"/>
      <c r="DM76" s="319">
        <f>31.248*3</f>
        <v>93.744</v>
      </c>
      <c r="DN76" s="319"/>
      <c r="DO76" s="319"/>
      <c r="DP76" s="319"/>
      <c r="DQ76" s="319"/>
      <c r="DR76" s="319">
        <v>13.103999999999999</v>
      </c>
      <c r="DS76" s="419">
        <f t="shared" si="52"/>
        <v>1095.0434</v>
      </c>
      <c r="DT76" s="57"/>
      <c r="DU76" s="319">
        <v>13.305999999999999</v>
      </c>
      <c r="DV76" s="319">
        <v>23.587</v>
      </c>
      <c r="DW76" s="319">
        <v>8.4670000000000005</v>
      </c>
      <c r="DX76" s="319">
        <f>7.5/0.8*0.9</f>
        <v>8.4375</v>
      </c>
      <c r="DY76" s="319"/>
      <c r="DZ76" s="319">
        <v>4.99</v>
      </c>
      <c r="EA76" s="319"/>
      <c r="EB76" s="319">
        <f>15.12*10</f>
        <v>151.19999999999999</v>
      </c>
      <c r="EC76" s="319"/>
      <c r="ED76" s="319">
        <v>40.32</v>
      </c>
      <c r="EE76" s="319">
        <v>26.88</v>
      </c>
      <c r="EF76" s="319">
        <v>18.042999999999999</v>
      </c>
      <c r="EG76" s="319">
        <f>20.866/0.3*0.6</f>
        <v>41.732000000000006</v>
      </c>
      <c r="EH76" s="319">
        <v>6.048</v>
      </c>
      <c r="EI76" s="319"/>
      <c r="EJ76" s="319"/>
      <c r="EK76" s="319">
        <v>74.591999999999999</v>
      </c>
      <c r="EL76" s="319">
        <v>78.12</v>
      </c>
      <c r="EM76" s="319">
        <v>11.01</v>
      </c>
      <c r="EN76" s="319"/>
      <c r="EO76" s="319"/>
      <c r="EP76" s="319"/>
      <c r="EQ76" s="319"/>
      <c r="ER76" s="245">
        <f>100.8*0.3</f>
        <v>30.24</v>
      </c>
      <c r="ES76" s="319"/>
      <c r="ET76" s="319"/>
      <c r="EU76" s="319">
        <v>26.762</v>
      </c>
      <c r="EV76" s="319"/>
      <c r="EW76" s="319">
        <f>5.342*2</f>
        <v>10.683999999999999</v>
      </c>
      <c r="EX76" s="319"/>
      <c r="EY76" s="319"/>
      <c r="EZ76" s="177"/>
      <c r="FA76" s="271"/>
      <c r="FB76" s="319"/>
      <c r="FC76" s="319">
        <f>252*3</f>
        <v>756</v>
      </c>
      <c r="FD76" s="319"/>
      <c r="FE76" s="319">
        <f>7.5/0.8*2.5</f>
        <v>23.4375</v>
      </c>
      <c r="FF76" s="319">
        <f>9.072/1.5*1.1</f>
        <v>6.6528</v>
      </c>
      <c r="FG76" s="319"/>
      <c r="FH76" s="319"/>
      <c r="FI76" s="319">
        <f>9.072/1.5*0.6</f>
        <v>3.6287999999999991</v>
      </c>
      <c r="FJ76" s="319">
        <f>15.12*10</f>
        <v>151.19999999999999</v>
      </c>
      <c r="FK76" s="319">
        <f>71.669</f>
        <v>71.668999999999997</v>
      </c>
      <c r="FL76" s="319"/>
      <c r="FM76" s="319"/>
      <c r="FN76" s="319">
        <f>4.032/0.5*0.6</f>
        <v>4.8384</v>
      </c>
      <c r="FO76" s="319"/>
      <c r="FP76" s="319">
        <f>119.448</f>
        <v>119.44799999999999</v>
      </c>
      <c r="FQ76" s="319">
        <f>119.448</f>
        <v>119.44799999999999</v>
      </c>
      <c r="FR76" s="319"/>
      <c r="FS76" s="319">
        <f>78.12</f>
        <v>78.12</v>
      </c>
      <c r="FT76" s="319">
        <f>20.866/0.3*0.6</f>
        <v>41.732000000000006</v>
      </c>
      <c r="FU76" s="158">
        <f t="shared" si="38"/>
        <v>1950.5930000000003</v>
      </c>
      <c r="FV76" s="95"/>
      <c r="FW76" s="245"/>
      <c r="FX76" s="245"/>
      <c r="FY76" s="245"/>
      <c r="FZ76" s="319"/>
      <c r="GA76" s="319"/>
      <c r="GB76" s="319"/>
      <c r="GC76" s="319"/>
      <c r="GD76" s="319"/>
      <c r="GE76" s="319"/>
      <c r="GF76" s="319"/>
      <c r="GG76" s="319"/>
      <c r="GH76" s="28"/>
      <c r="GI76" s="270"/>
      <c r="GJ76" s="245"/>
      <c r="GK76" s="177"/>
      <c r="GL76" s="271"/>
      <c r="GM76" s="177"/>
      <c r="GN76" s="272"/>
      <c r="GO76" s="435"/>
      <c r="GP76" s="327">
        <f t="shared" si="39"/>
        <v>0</v>
      </c>
      <c r="GQ76" s="500">
        <f t="shared" si="40"/>
        <v>27761.83</v>
      </c>
      <c r="GR76" s="449">
        <f t="shared" si="41"/>
        <v>27761.83</v>
      </c>
      <c r="GS76" s="451">
        <f t="shared" si="42"/>
        <v>1556.3869999999999</v>
      </c>
      <c r="GT76" s="239">
        <f t="shared" si="43"/>
        <v>1095.03</v>
      </c>
      <c r="GU76" s="36" t="str">
        <f t="shared" si="44"/>
        <v>Энерфат</v>
      </c>
      <c r="GV76" s="331"/>
      <c r="GW76" s="951"/>
    </row>
    <row r="77" spans="1:214" customFormat="1" ht="15" customHeight="1" x14ac:dyDescent="0.3">
      <c r="A77" s="127">
        <f t="shared" si="51"/>
        <v>66</v>
      </c>
      <c r="B77" s="703" t="s">
        <v>270</v>
      </c>
      <c r="C77" s="758">
        <f>37.91+12.45</f>
        <v>50.36</v>
      </c>
      <c r="D77" s="519">
        <v>12.09</v>
      </c>
      <c r="E77" s="192">
        <v>0</v>
      </c>
      <c r="F77" s="330">
        <v>0</v>
      </c>
      <c r="G77" s="156">
        <f t="shared" si="53"/>
        <v>4.03</v>
      </c>
      <c r="H77" s="93">
        <v>0</v>
      </c>
      <c r="I77" s="93">
        <v>0</v>
      </c>
      <c r="J77" s="94"/>
      <c r="K77" s="319">
        <f>0.252*3</f>
        <v>0.75600000000000001</v>
      </c>
      <c r="L77" s="319">
        <v>0.75600000000000001</v>
      </c>
      <c r="M77" s="319">
        <f>0.252*8</f>
        <v>2.016</v>
      </c>
      <c r="N77" s="319">
        <v>0.88200000000000001</v>
      </c>
      <c r="O77" s="319">
        <v>0.20200000000000001</v>
      </c>
      <c r="P77" s="319">
        <f>0.252</f>
        <v>0.252</v>
      </c>
      <c r="Q77" s="319">
        <v>0.378</v>
      </c>
      <c r="R77" s="319"/>
      <c r="S77" s="319"/>
      <c r="T77" s="319"/>
      <c r="U77" s="319"/>
      <c r="V77" s="319"/>
      <c r="W77" s="319"/>
      <c r="X77" s="319"/>
      <c r="Y77" s="319">
        <f>0.252*3</f>
        <v>0.75600000000000001</v>
      </c>
      <c r="Z77" s="319"/>
      <c r="AA77" s="319"/>
      <c r="AB77" s="319"/>
      <c r="AC77" s="319">
        <f>0.252*6</f>
        <v>1.512</v>
      </c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  <c r="AN77" s="319"/>
      <c r="AO77" s="319"/>
      <c r="AP77" s="319"/>
      <c r="AQ77" s="319">
        <v>0.22700000000000001</v>
      </c>
      <c r="AR77" s="319"/>
      <c r="AS77" s="319"/>
      <c r="AT77" s="319"/>
      <c r="AU77" s="319">
        <v>0.252</v>
      </c>
      <c r="AV77" s="319">
        <f>0.252</f>
        <v>0.252</v>
      </c>
      <c r="AW77" s="319">
        <v>0.75600000000000001</v>
      </c>
      <c r="AX77" s="319">
        <f>0.252*1.2</f>
        <v>0.3024</v>
      </c>
      <c r="AY77" s="319"/>
      <c r="AZ77" s="319"/>
      <c r="BA77" s="319"/>
      <c r="BB77" s="319">
        <v>0.252</v>
      </c>
      <c r="BC77" s="319">
        <f>0.076</f>
        <v>7.5999999999999998E-2</v>
      </c>
      <c r="BD77" s="319">
        <f>0.076/0.3</f>
        <v>0.25333333333333335</v>
      </c>
      <c r="BE77" s="319"/>
      <c r="BF77" s="319"/>
      <c r="BG77" s="319">
        <f>2.2</f>
        <v>2.2000000000000002</v>
      </c>
      <c r="BH77" s="319"/>
      <c r="BI77" s="319"/>
      <c r="BJ77" s="158">
        <f t="shared" si="37"/>
        <v>12.080733333333335</v>
      </c>
      <c r="BK77" s="94"/>
      <c r="BL77" s="319"/>
      <c r="BM77" s="319"/>
      <c r="BN77" s="319"/>
      <c r="BO77" s="319"/>
      <c r="BP77" s="319"/>
      <c r="BQ77" s="319"/>
      <c r="BR77" s="319"/>
      <c r="BS77" s="319"/>
      <c r="BT77" s="319"/>
      <c r="BU77" s="319"/>
      <c r="BV77" s="319"/>
      <c r="BW77" s="319"/>
      <c r="BX77" s="319"/>
      <c r="BY77" s="319"/>
      <c r="BZ77" s="319"/>
      <c r="CA77" s="319"/>
      <c r="CB77" s="319"/>
      <c r="CC77" s="319"/>
      <c r="CD77" s="319"/>
      <c r="CE77" s="319"/>
      <c r="CF77" s="319"/>
      <c r="CG77" s="319"/>
      <c r="CH77" s="319"/>
      <c r="CI77" s="319"/>
      <c r="CJ77" s="319"/>
      <c r="CK77" s="319"/>
      <c r="CL77" s="319"/>
      <c r="CM77" s="319"/>
      <c r="CN77" s="319"/>
      <c r="CO77" s="319"/>
      <c r="CP77" s="319"/>
      <c r="CQ77" s="319"/>
      <c r="CR77" s="319"/>
      <c r="CS77" s="177"/>
      <c r="CT77" s="271"/>
      <c r="CU77" s="271"/>
      <c r="CV77" s="271"/>
      <c r="CW77" s="319"/>
      <c r="CX77" s="319"/>
      <c r="CY77" s="319"/>
      <c r="CZ77" s="319"/>
      <c r="DA77" s="319"/>
      <c r="DB77" s="319"/>
      <c r="DC77" s="319"/>
      <c r="DD77" s="319"/>
      <c r="DE77" s="319"/>
      <c r="DF77" s="319"/>
      <c r="DG77" s="319"/>
      <c r="DH77" s="319"/>
      <c r="DI77" s="319"/>
      <c r="DJ77" s="319"/>
      <c r="DK77" s="319"/>
      <c r="DL77" s="319"/>
      <c r="DM77" s="319"/>
      <c r="DN77" s="319"/>
      <c r="DO77" s="319"/>
      <c r="DP77" s="319"/>
      <c r="DQ77" s="319"/>
      <c r="DR77" s="319"/>
      <c r="DS77" s="419">
        <f t="shared" si="52"/>
        <v>0</v>
      </c>
      <c r="DT77" s="57"/>
      <c r="DU77" s="319"/>
      <c r="DV77" s="319"/>
      <c r="DW77" s="319"/>
      <c r="DX77" s="319"/>
      <c r="DY77" s="319"/>
      <c r="DZ77" s="319"/>
      <c r="EA77" s="319"/>
      <c r="EB77" s="319"/>
      <c r="EC77" s="319"/>
      <c r="ED77" s="319"/>
      <c r="EE77" s="319"/>
      <c r="EF77" s="319"/>
      <c r="EG77" s="319"/>
      <c r="EH77" s="319"/>
      <c r="EI77" s="319"/>
      <c r="EJ77" s="319"/>
      <c r="EK77" s="319"/>
      <c r="EL77" s="319"/>
      <c r="EM77" s="319"/>
      <c r="EN77" s="319"/>
      <c r="EO77" s="319"/>
      <c r="EP77" s="319"/>
      <c r="EQ77" s="319"/>
      <c r="ER77" s="245"/>
      <c r="ES77" s="319"/>
      <c r="ET77" s="319"/>
      <c r="EU77" s="319"/>
      <c r="EV77" s="319"/>
      <c r="EW77" s="319"/>
      <c r="EX77" s="319"/>
      <c r="EY77" s="319"/>
      <c r="EZ77" s="177"/>
      <c r="FA77" s="271"/>
      <c r="FB77" s="319"/>
      <c r="FC77" s="319"/>
      <c r="FD77" s="319"/>
      <c r="FE77" s="319"/>
      <c r="FF77" s="319"/>
      <c r="FG77" s="319"/>
      <c r="FH77" s="319"/>
      <c r="FI77" s="319"/>
      <c r="FJ77" s="319"/>
      <c r="FK77" s="319"/>
      <c r="FL77" s="319"/>
      <c r="FM77" s="319"/>
      <c r="FN77" s="319"/>
      <c r="FO77" s="319"/>
      <c r="FP77" s="319"/>
      <c r="FQ77" s="319"/>
      <c r="FR77" s="319"/>
      <c r="FS77" s="319"/>
      <c r="FT77" s="319"/>
      <c r="FU77" s="158">
        <f t="shared" si="38"/>
        <v>0</v>
      </c>
      <c r="FV77" s="95"/>
      <c r="FW77" s="245"/>
      <c r="FX77" s="245"/>
      <c r="FY77" s="245"/>
      <c r="FZ77" s="319"/>
      <c r="GA77" s="319"/>
      <c r="GB77" s="319"/>
      <c r="GC77" s="319"/>
      <c r="GD77" s="319"/>
      <c r="GE77" s="319"/>
      <c r="GF77" s="319"/>
      <c r="GG77" s="319"/>
      <c r="GH77" s="28"/>
      <c r="GI77" s="270"/>
      <c r="GJ77" s="245"/>
      <c r="GK77" s="177"/>
      <c r="GL77" s="271"/>
      <c r="GM77" s="177"/>
      <c r="GN77" s="272"/>
      <c r="GO77" s="435"/>
      <c r="GP77" s="327">
        <f t="shared" si="39"/>
        <v>0</v>
      </c>
      <c r="GQ77" s="500">
        <f t="shared" si="40"/>
        <v>0</v>
      </c>
      <c r="GR77" s="449">
        <f t="shared" si="41"/>
        <v>0</v>
      </c>
      <c r="GS77" s="451">
        <f t="shared" si="42"/>
        <v>4.03</v>
      </c>
      <c r="GT77" s="239">
        <f t="shared" si="43"/>
        <v>0</v>
      </c>
      <c r="GU77" s="36" t="str">
        <f t="shared" si="44"/>
        <v>Эсид-Пак</v>
      </c>
      <c r="GV77" s="331"/>
      <c r="GW77" s="951"/>
    </row>
    <row r="78" spans="1:214" customFormat="1" ht="15" customHeight="1" x14ac:dyDescent="0.3">
      <c r="A78" s="367">
        <f t="shared" ref="A78:A79" si="54">A77+1</f>
        <v>67</v>
      </c>
      <c r="B78" s="690" t="s">
        <v>379</v>
      </c>
      <c r="C78" s="903"/>
      <c r="D78" s="519"/>
      <c r="E78" s="192"/>
      <c r="F78" s="330"/>
      <c r="G78" s="156" t="e">
        <f t="shared" si="53"/>
        <v>#DIV/0!</v>
      </c>
      <c r="H78" s="93"/>
      <c r="I78" s="93"/>
      <c r="J78" s="94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/>
      <c r="BB78" s="319"/>
      <c r="BC78" s="319"/>
      <c r="BD78" s="319"/>
      <c r="BE78" s="319"/>
      <c r="BF78" s="319"/>
      <c r="BG78" s="319"/>
      <c r="BH78" s="319"/>
      <c r="BI78" s="319"/>
      <c r="BJ78" s="158">
        <f t="shared" si="37"/>
        <v>0</v>
      </c>
      <c r="BK78" s="94"/>
      <c r="BL78" s="319"/>
      <c r="BM78" s="319"/>
      <c r="BN78" s="319"/>
      <c r="BO78" s="319"/>
      <c r="BP78" s="319"/>
      <c r="BQ78" s="319"/>
      <c r="BR78" s="319"/>
      <c r="BS78" s="319"/>
      <c r="BT78" s="319"/>
      <c r="BU78" s="319"/>
      <c r="BV78" s="319"/>
      <c r="BW78" s="319"/>
      <c r="BX78" s="319"/>
      <c r="BY78" s="319"/>
      <c r="BZ78" s="319"/>
      <c r="CA78" s="319"/>
      <c r="CB78" s="319"/>
      <c r="CC78" s="319"/>
      <c r="CD78" s="319"/>
      <c r="CE78" s="319"/>
      <c r="CF78" s="319"/>
      <c r="CG78" s="319"/>
      <c r="CH78" s="319"/>
      <c r="CI78" s="319"/>
      <c r="CJ78" s="319"/>
      <c r="CK78" s="319"/>
      <c r="CL78" s="319"/>
      <c r="CM78" s="319"/>
      <c r="CN78" s="319"/>
      <c r="CO78" s="319"/>
      <c r="CP78" s="319"/>
      <c r="CQ78" s="319"/>
      <c r="CR78" s="319"/>
      <c r="CS78" s="177"/>
      <c r="CT78" s="271"/>
      <c r="CU78" s="271"/>
      <c r="CV78" s="271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419">
        <f t="shared" si="52"/>
        <v>0</v>
      </c>
      <c r="DT78" s="57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319"/>
      <c r="EQ78" s="319"/>
      <c r="ER78" s="245"/>
      <c r="ES78" s="319"/>
      <c r="ET78" s="319"/>
      <c r="EU78" s="319"/>
      <c r="EV78" s="319"/>
      <c r="EW78" s="319"/>
      <c r="EX78" s="319"/>
      <c r="EY78" s="319"/>
      <c r="EZ78" s="177"/>
      <c r="FA78" s="271"/>
      <c r="FB78" s="319"/>
      <c r="FC78" s="319"/>
      <c r="FD78" s="319"/>
      <c r="FE78" s="319"/>
      <c r="FF78" s="319"/>
      <c r="FG78" s="319"/>
      <c r="FH78" s="319"/>
      <c r="FI78" s="319"/>
      <c r="FJ78" s="319"/>
      <c r="FK78" s="319"/>
      <c r="FL78" s="319"/>
      <c r="FM78" s="319"/>
      <c r="FN78" s="319"/>
      <c r="FO78" s="319"/>
      <c r="FP78" s="319"/>
      <c r="FQ78" s="319"/>
      <c r="FR78" s="319"/>
      <c r="FS78" s="319"/>
      <c r="FT78" s="319"/>
      <c r="FU78" s="158">
        <f t="shared" si="38"/>
        <v>0</v>
      </c>
      <c r="FV78" s="95"/>
      <c r="FW78" s="245"/>
      <c r="FX78" s="245"/>
      <c r="FY78" s="245"/>
      <c r="FZ78" s="319"/>
      <c r="GA78" s="319"/>
      <c r="GB78" s="319"/>
      <c r="GC78" s="319"/>
      <c r="GD78" s="319"/>
      <c r="GE78" s="319"/>
      <c r="GF78" s="319"/>
      <c r="GG78" s="319"/>
      <c r="GH78" s="28"/>
      <c r="GI78" s="270"/>
      <c r="GJ78" s="245"/>
      <c r="GK78" s="177"/>
      <c r="GL78" s="271"/>
      <c r="GM78" s="177"/>
      <c r="GN78" s="272"/>
      <c r="GO78" s="435"/>
      <c r="GP78" s="327">
        <f t="shared" si="39"/>
        <v>0</v>
      </c>
      <c r="GQ78" s="500">
        <f t="shared" si="40"/>
        <v>0</v>
      </c>
      <c r="GR78" s="449">
        <f t="shared" si="41"/>
        <v>0</v>
      </c>
      <c r="GS78" s="451"/>
      <c r="GT78" s="239">
        <f t="shared" si="43"/>
        <v>0</v>
      </c>
      <c r="GU78" s="36" t="str">
        <f t="shared" si="44"/>
        <v>ДП60-3/40/плц-127</v>
      </c>
      <c r="GV78" s="331"/>
      <c r="GW78" s="951"/>
    </row>
    <row r="79" spans="1:214" ht="15" customHeight="1" thickBot="1" x14ac:dyDescent="0.35">
      <c r="A79" s="367">
        <f t="shared" si="54"/>
        <v>68</v>
      </c>
      <c r="B79" s="706" t="s">
        <v>150</v>
      </c>
      <c r="C79" s="903"/>
      <c r="D79" s="519"/>
      <c r="E79" s="192"/>
      <c r="F79" s="330"/>
      <c r="G79" s="156" t="e">
        <f t="shared" si="53"/>
        <v>#DIV/0!</v>
      </c>
      <c r="H79" s="93"/>
      <c r="I79" s="93"/>
      <c r="J79" s="136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19"/>
      <c r="AM79" s="319"/>
      <c r="AN79" s="319"/>
      <c r="AO79" s="319"/>
      <c r="AP79" s="319"/>
      <c r="AQ79" s="319"/>
      <c r="AR79" s="319"/>
      <c r="AS79" s="319"/>
      <c r="AT79" s="319"/>
      <c r="AU79" s="319"/>
      <c r="AV79" s="319"/>
      <c r="AW79" s="319"/>
      <c r="AX79" s="319"/>
      <c r="AY79" s="319"/>
      <c r="AZ79" s="319"/>
      <c r="BA79" s="319"/>
      <c r="BB79" s="319"/>
      <c r="BC79" s="319"/>
      <c r="BD79" s="319"/>
      <c r="BE79" s="319"/>
      <c r="BF79" s="319"/>
      <c r="BG79" s="319"/>
      <c r="BH79" s="319"/>
      <c r="BI79" s="319"/>
      <c r="BJ79" s="158">
        <f t="shared" si="37"/>
        <v>0</v>
      </c>
      <c r="BK79" s="136"/>
      <c r="BL79" s="319"/>
      <c r="BM79" s="319"/>
      <c r="BN79" s="319"/>
      <c r="BO79" s="319"/>
      <c r="BP79" s="319"/>
      <c r="BQ79" s="319"/>
      <c r="BR79" s="319"/>
      <c r="BS79" s="319"/>
      <c r="BT79" s="319"/>
      <c r="BU79" s="319"/>
      <c r="BV79" s="319"/>
      <c r="BW79" s="319"/>
      <c r="BX79" s="319"/>
      <c r="BY79" s="319"/>
      <c r="BZ79" s="319"/>
      <c r="CA79" s="319"/>
      <c r="CB79" s="319"/>
      <c r="CC79" s="319"/>
      <c r="CD79" s="319"/>
      <c r="CE79" s="319"/>
      <c r="CF79" s="319"/>
      <c r="CG79" s="319"/>
      <c r="CH79" s="319"/>
      <c r="CI79" s="319"/>
      <c r="CJ79" s="319"/>
      <c r="CK79" s="319"/>
      <c r="CL79" s="319"/>
      <c r="CM79" s="319"/>
      <c r="CN79" s="319"/>
      <c r="CO79" s="319"/>
      <c r="CP79" s="319"/>
      <c r="CQ79" s="319"/>
      <c r="CR79" s="319"/>
      <c r="CS79" s="177"/>
      <c r="CT79" s="271"/>
      <c r="CU79" s="271"/>
      <c r="CV79" s="271"/>
      <c r="CW79" s="319"/>
      <c r="CX79" s="319"/>
      <c r="CY79" s="319"/>
      <c r="CZ79" s="319"/>
      <c r="DA79" s="319"/>
      <c r="DB79" s="319"/>
      <c r="DC79" s="319"/>
      <c r="DD79" s="319"/>
      <c r="DE79" s="319"/>
      <c r="DF79" s="319"/>
      <c r="DG79" s="319"/>
      <c r="DH79" s="319"/>
      <c r="DI79" s="319"/>
      <c r="DJ79" s="319"/>
      <c r="DK79" s="319"/>
      <c r="DL79" s="319"/>
      <c r="DM79" s="319"/>
      <c r="DN79" s="319"/>
      <c r="DO79" s="319"/>
      <c r="DP79" s="319"/>
      <c r="DQ79" s="319"/>
      <c r="DR79" s="319"/>
      <c r="DS79" s="419">
        <f t="shared" si="52"/>
        <v>0</v>
      </c>
      <c r="DT79" s="139"/>
      <c r="DU79" s="319"/>
      <c r="DV79" s="319"/>
      <c r="DW79" s="319"/>
      <c r="DX79" s="319"/>
      <c r="DY79" s="319"/>
      <c r="DZ79" s="319"/>
      <c r="EA79" s="319"/>
      <c r="EB79" s="319"/>
      <c r="EC79" s="319"/>
      <c r="ED79" s="319"/>
      <c r="EE79" s="319"/>
      <c r="EF79" s="319"/>
      <c r="EG79" s="319"/>
      <c r="EH79" s="319"/>
      <c r="EI79" s="319"/>
      <c r="EJ79" s="319"/>
      <c r="EK79" s="319"/>
      <c r="EL79" s="319"/>
      <c r="EM79" s="319"/>
      <c r="EN79" s="319"/>
      <c r="EO79" s="319"/>
      <c r="EP79" s="319"/>
      <c r="EQ79" s="319"/>
      <c r="ER79" s="245"/>
      <c r="ES79" s="319"/>
      <c r="ET79" s="319"/>
      <c r="EU79" s="319"/>
      <c r="EV79" s="319"/>
      <c r="EW79" s="319"/>
      <c r="EX79" s="319"/>
      <c r="EY79" s="319"/>
      <c r="EZ79" s="177"/>
      <c r="FA79" s="271"/>
      <c r="FB79" s="319"/>
      <c r="FC79" s="319"/>
      <c r="FD79" s="319"/>
      <c r="FE79" s="319"/>
      <c r="FF79" s="319"/>
      <c r="FG79" s="319"/>
      <c r="FH79" s="319"/>
      <c r="FI79" s="319"/>
      <c r="FJ79" s="319"/>
      <c r="FK79" s="319"/>
      <c r="FL79" s="319"/>
      <c r="FM79" s="319"/>
      <c r="FN79" s="319"/>
      <c r="FO79" s="319"/>
      <c r="FP79" s="319"/>
      <c r="FQ79" s="319"/>
      <c r="FR79" s="319"/>
      <c r="FS79" s="319"/>
      <c r="FT79" s="319"/>
      <c r="FU79" s="158">
        <f t="shared" si="38"/>
        <v>0</v>
      </c>
      <c r="FV79" s="116"/>
      <c r="FW79" s="245"/>
      <c r="FX79" s="245"/>
      <c r="FY79" s="245"/>
      <c r="FZ79" s="319"/>
      <c r="GA79" s="319"/>
      <c r="GB79" s="319"/>
      <c r="GC79" s="319"/>
      <c r="GD79" s="319"/>
      <c r="GE79" s="319"/>
      <c r="GF79" s="319"/>
      <c r="GG79" s="319"/>
      <c r="GH79" s="28"/>
      <c r="GI79" s="270"/>
      <c r="GJ79" s="245"/>
      <c r="GK79" s="177"/>
      <c r="GL79" s="271"/>
      <c r="GM79" s="177"/>
      <c r="GN79" s="272"/>
      <c r="GO79" s="435"/>
      <c r="GP79" s="327">
        <f t="shared" si="39"/>
        <v>0</v>
      </c>
      <c r="GQ79" s="500">
        <f t="shared" si="40"/>
        <v>0</v>
      </c>
      <c r="GR79" s="449">
        <f t="shared" si="41"/>
        <v>0</v>
      </c>
      <c r="GS79" s="451"/>
      <c r="GT79" s="240">
        <f t="shared" si="43"/>
        <v>0</v>
      </c>
      <c r="GU79" s="36" t="str">
        <f t="shared" si="44"/>
        <v>ДП60-3/40/плц-233</v>
      </c>
      <c r="GV79" s="331"/>
    </row>
    <row r="80" spans="1:214" x14ac:dyDescent="0.3">
      <c r="A80" s="238"/>
      <c r="B80" s="114"/>
      <c r="C80" s="523">
        <f>SUM(C9:C79)</f>
        <v>126749.37399999998</v>
      </c>
      <c r="D80" s="523">
        <f>SUM(D9:D79)</f>
        <v>96932.915999999983</v>
      </c>
      <c r="E80" s="523">
        <f>SUM(E9:E79)</f>
        <v>126098.33500000001</v>
      </c>
      <c r="F80" s="118">
        <f>SUM(F9:F79)</f>
        <v>89535.388999999996</v>
      </c>
      <c r="G80" s="117"/>
      <c r="H80" s="545">
        <f>SUM(H9:H17,H19:H35,H37:H56,H59:H79)</f>
        <v>139766.88499999998</v>
      </c>
      <c r="I80" s="545">
        <f>SUM(I9:I17,I19:I35,I37:I57,I59:I79)</f>
        <v>206214.49600000004</v>
      </c>
      <c r="K80" s="176"/>
      <c r="L80" s="176"/>
      <c r="M80" s="456"/>
      <c r="N80" s="176"/>
      <c r="O80" s="456"/>
      <c r="P80" s="456"/>
      <c r="Q80" s="456"/>
      <c r="R80" s="456"/>
      <c r="S80" s="176"/>
      <c r="T80" s="456"/>
      <c r="U80" s="176"/>
      <c r="V80" s="456"/>
      <c r="W80" s="176"/>
      <c r="X80" s="456"/>
      <c r="Y80" s="176"/>
      <c r="Z80" s="456"/>
      <c r="AA80" s="456"/>
      <c r="AB80" s="456"/>
      <c r="AC80" s="456"/>
      <c r="AD80" s="176"/>
      <c r="AE80" s="176"/>
      <c r="AF80" s="176"/>
      <c r="AG80" s="176"/>
      <c r="AH80" s="456"/>
      <c r="AI80" s="456"/>
      <c r="AJ80" s="176"/>
      <c r="AK80" s="456"/>
      <c r="AL80" s="176"/>
      <c r="AM80" s="176"/>
      <c r="AN80" s="456"/>
      <c r="AO80" s="456"/>
      <c r="AP80" s="456"/>
      <c r="AQ80" s="176"/>
      <c r="AR80" s="176"/>
      <c r="AS80" s="176"/>
      <c r="AT80" s="176"/>
      <c r="AU80" s="456"/>
      <c r="AV80" s="176"/>
      <c r="AW80" s="176"/>
      <c r="AX80" s="176"/>
      <c r="AY80" s="456"/>
      <c r="AZ80" s="456"/>
      <c r="BA80" s="176"/>
      <c r="BB80" s="456"/>
      <c r="BC80" s="176"/>
      <c r="BD80" s="176"/>
      <c r="BE80" s="176"/>
      <c r="BF80" s="176"/>
      <c r="BG80" s="456"/>
      <c r="BH80" s="456"/>
      <c r="BI80" s="456"/>
      <c r="BJ80" s="465"/>
      <c r="BK80" s="463"/>
      <c r="BL80" s="176"/>
      <c r="BM80" s="176"/>
      <c r="BN80" s="456"/>
      <c r="BO80" s="456"/>
      <c r="BP80" s="456"/>
      <c r="BQ80" s="176"/>
      <c r="BR80" s="176"/>
      <c r="BS80" s="456"/>
      <c r="BT80" s="456"/>
      <c r="BU80" s="456"/>
      <c r="BV80" s="456"/>
      <c r="BW80" s="456"/>
      <c r="BX80" s="456"/>
      <c r="BY80" s="456"/>
      <c r="BZ80" s="456"/>
      <c r="CA80" s="456"/>
      <c r="CB80" s="176"/>
      <c r="CC80" s="456"/>
      <c r="CD80" s="456"/>
      <c r="CE80" s="456"/>
      <c r="CF80" s="456"/>
      <c r="CG80" s="456"/>
      <c r="CH80" s="456"/>
      <c r="CI80" s="456"/>
      <c r="CJ80" s="456"/>
      <c r="CK80" s="456"/>
      <c r="CL80" s="456"/>
      <c r="CM80" s="456"/>
      <c r="CN80" s="176"/>
      <c r="CO80" s="456"/>
      <c r="CP80" s="176"/>
      <c r="CQ80" s="456"/>
      <c r="CR80" s="932"/>
      <c r="CS80" s="176"/>
      <c r="CT80" s="176"/>
      <c r="CU80" s="176"/>
      <c r="CV80" s="176"/>
      <c r="CW80" s="456"/>
      <c r="CX80" s="456"/>
      <c r="CY80" s="456"/>
      <c r="CZ80" s="456"/>
      <c r="DA80" s="456"/>
      <c r="DB80" s="456"/>
      <c r="DC80" s="456"/>
      <c r="DD80" s="456"/>
      <c r="DE80" s="456"/>
      <c r="DF80" s="932"/>
      <c r="DG80" s="456"/>
      <c r="DH80" s="456"/>
      <c r="DI80" s="456"/>
      <c r="DJ80" s="456"/>
      <c r="DK80" s="456"/>
      <c r="DL80" s="456"/>
      <c r="DM80" s="456"/>
      <c r="DN80" s="456"/>
      <c r="DO80" s="456"/>
      <c r="DP80" s="456"/>
      <c r="DQ80" s="456"/>
      <c r="DR80" s="456"/>
      <c r="DS80" s="463"/>
      <c r="DT80" s="463"/>
      <c r="DU80" s="456"/>
      <c r="DV80" s="456"/>
      <c r="DW80" s="456"/>
      <c r="DX80" s="456"/>
      <c r="DY80" s="456"/>
      <c r="DZ80" s="456"/>
      <c r="EA80" s="456"/>
      <c r="EB80" s="456"/>
      <c r="EC80" s="176"/>
      <c r="ED80" s="176"/>
      <c r="EE80" s="456"/>
      <c r="EF80" s="176"/>
      <c r="EG80" s="176"/>
      <c r="EH80" s="176"/>
      <c r="EI80" s="456"/>
      <c r="EJ80" s="456"/>
      <c r="EK80" s="456"/>
      <c r="EL80" s="176"/>
      <c r="EM80" s="176"/>
      <c r="EN80" s="456"/>
      <c r="EO80" s="456"/>
      <c r="EP80" s="456"/>
      <c r="EQ80" s="176"/>
      <c r="ER80" s="176"/>
      <c r="ES80" s="456"/>
      <c r="ET80" s="176"/>
      <c r="EU80" s="176"/>
      <c r="EV80" s="456"/>
      <c r="EW80" s="456"/>
      <c r="EX80" s="456"/>
      <c r="EY80" s="456"/>
      <c r="EZ80" s="176"/>
      <c r="FA80" s="176"/>
      <c r="FB80" s="456"/>
      <c r="FC80" s="456"/>
      <c r="FD80" s="456"/>
      <c r="FE80" s="456"/>
      <c r="FF80" s="456"/>
      <c r="FG80" s="456"/>
      <c r="FH80" s="456"/>
      <c r="FI80" s="456"/>
      <c r="FJ80" s="456"/>
      <c r="FK80" s="456"/>
      <c r="FL80" s="456"/>
      <c r="FM80" s="176"/>
      <c r="FN80" s="456"/>
      <c r="FO80" s="456"/>
      <c r="FP80" s="176"/>
      <c r="FQ80" s="176"/>
      <c r="FR80" s="176"/>
      <c r="FS80" s="176"/>
      <c r="FT80" s="176"/>
      <c r="FU80" s="463"/>
      <c r="FV80" s="463"/>
      <c r="FW80" s="176"/>
      <c r="FX80" s="176"/>
      <c r="FY80" s="456"/>
      <c r="FZ80" s="176"/>
      <c r="GA80" s="176"/>
      <c r="GB80" s="456"/>
      <c r="GC80" s="456"/>
      <c r="GD80" s="456"/>
      <c r="GE80" s="456"/>
      <c r="GF80" s="456"/>
      <c r="GG80" s="176"/>
      <c r="GH80" s="176"/>
      <c r="GI80" s="176"/>
      <c r="GJ80" s="176"/>
      <c r="GK80" s="176"/>
      <c r="GL80" s="176"/>
      <c r="GM80" s="176"/>
      <c r="GN80" s="176"/>
      <c r="GO80" s="242">
        <f>SUM(GO9:GO79)</f>
        <v>0</v>
      </c>
      <c r="GP80" s="242">
        <f>SUM(GP9:GP79)</f>
        <v>0</v>
      </c>
      <c r="GQ80" s="242">
        <f>SUM(GQ9:GQ79)</f>
        <v>206214.49600000004</v>
      </c>
      <c r="GR80" s="545">
        <f>SUM(GR9:GR17,GR19:GR35,GR37:GR57,GR59:GR79)</f>
        <v>206214.49600000004</v>
      </c>
      <c r="GS80" s="242"/>
      <c r="GT80" s="242">
        <f>SUM(GT9:GT79)</f>
        <v>126098.33500000001</v>
      </c>
      <c r="GU80" s="120"/>
      <c r="GV80" s="233"/>
    </row>
    <row r="81" spans="1:205" s="535" customFormat="1" x14ac:dyDescent="0.3">
      <c r="A81" s="575" t="s">
        <v>506</v>
      </c>
      <c r="B81" s="534"/>
      <c r="D81" s="536"/>
      <c r="E81" s="537"/>
      <c r="F81" s="538"/>
      <c r="G81" s="538"/>
      <c r="H81" s="538"/>
      <c r="I81" s="538"/>
      <c r="J81" s="539"/>
      <c r="K81" s="622">
        <f>44.228*3</f>
        <v>132.684</v>
      </c>
      <c r="L81" s="622">
        <v>442.82299999999998</v>
      </c>
      <c r="M81" s="622">
        <f>100.8*8</f>
        <v>806.4</v>
      </c>
      <c r="N81" s="622">
        <v>377.43599999999998</v>
      </c>
      <c r="O81" s="622">
        <v>110.765</v>
      </c>
      <c r="P81" s="622">
        <v>19.803999999999998</v>
      </c>
      <c r="Q81" s="622">
        <v>433.20800000000003</v>
      </c>
      <c r="R81" s="622">
        <f>108.287*3</f>
        <v>324.86099999999999</v>
      </c>
      <c r="S81" s="622">
        <f>20.16*1.6</f>
        <v>32.256</v>
      </c>
      <c r="T81" s="622">
        <f>362.882</f>
        <v>362.88200000000001</v>
      </c>
      <c r="U81" s="622">
        <f>120.711*1.5</f>
        <v>181.06649999999999</v>
      </c>
      <c r="V81" s="622">
        <f>108.287*4</f>
        <v>433.14800000000002</v>
      </c>
      <c r="W81" s="622">
        <f>80.548*1.5</f>
        <v>120.822</v>
      </c>
      <c r="X81" s="622">
        <f>131.803*7</f>
        <v>922.62099999999998</v>
      </c>
      <c r="Y81" s="622">
        <f>25.614*3</f>
        <v>76.841999999999999</v>
      </c>
      <c r="Z81" s="622">
        <f>131.803*2</f>
        <v>263.60599999999999</v>
      </c>
      <c r="AA81" s="622">
        <f>108.287*4</f>
        <v>433.14800000000002</v>
      </c>
      <c r="AB81" s="622">
        <f>131.803*8</f>
        <v>1054.424</v>
      </c>
      <c r="AC81" s="622">
        <f>100.8*6</f>
        <v>604.79999999999995</v>
      </c>
      <c r="AD81" s="622">
        <v>413.72899999999998</v>
      </c>
      <c r="AE81" s="622">
        <v>643.548</v>
      </c>
      <c r="AF81" s="622">
        <v>107.53400000000001</v>
      </c>
      <c r="AG81" s="622">
        <v>305.72899999999998</v>
      </c>
      <c r="AH81" s="622">
        <v>161.94800000000001</v>
      </c>
      <c r="AI81" s="622">
        <f>38.533*4</f>
        <v>154.13200000000001</v>
      </c>
      <c r="AJ81" s="622">
        <v>232.363</v>
      </c>
      <c r="AK81" s="622">
        <v>69.052000000000007</v>
      </c>
      <c r="AL81" s="622">
        <v>38.741</v>
      </c>
      <c r="AM81" s="622">
        <v>99.113</v>
      </c>
      <c r="AN81" s="622">
        <v>361.78199999999998</v>
      </c>
      <c r="AO81" s="622">
        <f>133.236*2</f>
        <v>266.47199999999998</v>
      </c>
      <c r="AP81" s="622">
        <f>368.527*1.3</f>
        <v>479.08510000000001</v>
      </c>
      <c r="AQ81" s="622">
        <v>16.024999999999999</v>
      </c>
      <c r="AR81" s="622">
        <v>255.69200000000001</v>
      </c>
      <c r="AS81" s="622">
        <v>161.726</v>
      </c>
      <c r="AT81" s="622">
        <v>427.49799999999999</v>
      </c>
      <c r="AU81" s="622">
        <v>17.992999999999999</v>
      </c>
      <c r="AV81" s="622">
        <f>253.867</f>
        <v>253.86699999999999</v>
      </c>
      <c r="AW81" s="622">
        <v>442.82299999999998</v>
      </c>
      <c r="AX81" s="622">
        <f>22.757*1.2</f>
        <v>27.308400000000002</v>
      </c>
      <c r="AY81" s="622">
        <v>839.20799999999997</v>
      </c>
      <c r="AZ81" s="622">
        <v>678.64400000000001</v>
      </c>
      <c r="BA81" s="622">
        <v>974.42600000000004</v>
      </c>
      <c r="BB81" s="622">
        <v>14.602</v>
      </c>
      <c r="BC81" s="622">
        <f>62.72</f>
        <v>62.72</v>
      </c>
      <c r="BD81" s="622">
        <f>115.276/0.3</f>
        <v>384.25333333333333</v>
      </c>
      <c r="BE81" s="622">
        <v>741.60400000000004</v>
      </c>
      <c r="BF81" s="622">
        <v>62.624000000000002</v>
      </c>
      <c r="BG81" s="622">
        <f>1007.999</f>
        <v>1007.999</v>
      </c>
      <c r="BH81" s="622">
        <f>362.882*0.6</f>
        <v>217.72919999999999</v>
      </c>
      <c r="BI81" s="622">
        <f>108.287*1.1</f>
        <v>119.11570000000002</v>
      </c>
      <c r="BJ81" s="541"/>
      <c r="BK81" s="541"/>
      <c r="BL81" s="534">
        <v>182.25299999999999</v>
      </c>
      <c r="BM81" s="622">
        <f>20.16*2.5</f>
        <v>50.4</v>
      </c>
      <c r="BN81" s="622">
        <f>295.901*1.5</f>
        <v>443.85149999999999</v>
      </c>
      <c r="BO81" s="622">
        <f>168.473*2.4</f>
        <v>404.33520000000004</v>
      </c>
      <c r="BP81" s="622">
        <v>362.47899999999998</v>
      </c>
      <c r="BQ81" s="622">
        <f>37.172*3</f>
        <v>111.51599999999999</v>
      </c>
      <c r="BR81" s="622">
        <v>151.19800000000001</v>
      </c>
      <c r="BS81" s="622">
        <f>131.803*5.4</f>
        <v>711.73620000000005</v>
      </c>
      <c r="BT81" s="622">
        <v>433.6</v>
      </c>
      <c r="BU81" s="622">
        <f>74.49*1.9</f>
        <v>141.53099999999998</v>
      </c>
      <c r="BV81" s="622">
        <v>178.89699999999999</v>
      </c>
      <c r="BW81" s="622">
        <v>10.452999999999999</v>
      </c>
      <c r="BX81" s="622">
        <f>131.803*2.1</f>
        <v>276.78629999999998</v>
      </c>
      <c r="BY81" s="622">
        <f>130.791*2</f>
        <v>261.58199999999999</v>
      </c>
      <c r="BZ81" s="622">
        <v>360.161</v>
      </c>
      <c r="CA81" s="622">
        <f>84.851*4</f>
        <v>339.404</v>
      </c>
      <c r="CB81" s="622">
        <f>37.222*3</f>
        <v>111.666</v>
      </c>
      <c r="CC81" s="622">
        <f>46.723/1.2*3</f>
        <v>116.8075</v>
      </c>
      <c r="CD81" s="622">
        <f>84.851*4</f>
        <v>339.404</v>
      </c>
      <c r="CE81" s="622">
        <v>338.38799999999998</v>
      </c>
      <c r="CF81" s="622">
        <f>1159.258/8*6</f>
        <v>869.44350000000009</v>
      </c>
      <c r="CG81" s="622">
        <v>42.308</v>
      </c>
      <c r="CH81" s="622">
        <f>22.727*0.6</f>
        <v>13.636200000000001</v>
      </c>
      <c r="CI81" s="622">
        <v>436.92700000000002</v>
      </c>
      <c r="CJ81" s="622">
        <v>110.121</v>
      </c>
      <c r="CK81" s="622">
        <f>100.054/0.8*0.9</f>
        <v>112.56075</v>
      </c>
      <c r="CL81" s="622">
        <f>11.623/0.6*0.9</f>
        <v>17.4345</v>
      </c>
      <c r="CM81" s="622">
        <v>51.048000000000002</v>
      </c>
      <c r="CN81" s="622">
        <v>392.37200000000001</v>
      </c>
      <c r="CO81" s="622">
        <f>136.635*2</f>
        <v>273.27</v>
      </c>
      <c r="CP81" s="622">
        <f>295.901*0.3</f>
        <v>88.770300000000006</v>
      </c>
      <c r="CQ81" s="622">
        <v>458.62200000000001</v>
      </c>
      <c r="CR81" s="622">
        <v>360.24799999999999</v>
      </c>
      <c r="CS81" s="534">
        <v>1208.08</v>
      </c>
      <c r="CT81" s="534">
        <v>3254.1570000000002</v>
      </c>
      <c r="CU81" s="534">
        <v>1639.3440000000001</v>
      </c>
      <c r="CV81" s="534">
        <v>1652.462</v>
      </c>
      <c r="CW81" s="622">
        <v>1631.915</v>
      </c>
      <c r="CX81" s="622">
        <f>1007.998</f>
        <v>1007.998</v>
      </c>
      <c r="CY81" s="622">
        <v>2</v>
      </c>
      <c r="CZ81" s="622">
        <f>100.054/0.8*3</f>
        <v>375.20249999999999</v>
      </c>
      <c r="DA81" s="622">
        <f>478.74/1.3*1.5</f>
        <v>552.39230769230767</v>
      </c>
      <c r="DB81" s="622">
        <f>64.876*2</f>
        <v>129.75200000000001</v>
      </c>
      <c r="DC81" s="622">
        <f>153.085/4*4.5</f>
        <v>172.22062500000001</v>
      </c>
      <c r="DD81" s="622">
        <v>162.09</v>
      </c>
      <c r="DE81" s="622">
        <v>362.15800000000002</v>
      </c>
      <c r="DF81" s="622">
        <f>20.765*0.6</f>
        <v>12.459</v>
      </c>
      <c r="DG81" s="622">
        <v>359.60700000000003</v>
      </c>
      <c r="DH81" s="622">
        <f>84.451</f>
        <v>84.450999999999993</v>
      </c>
      <c r="DI81" s="622">
        <f>1157.615/8</f>
        <v>144.701875</v>
      </c>
      <c r="DJ81" s="622">
        <f>32.255/1.6*1.5</f>
        <v>30.239062500000003</v>
      </c>
      <c r="DK81" s="622">
        <v>61.957000000000001</v>
      </c>
      <c r="DL81" s="622">
        <f>37.27*3</f>
        <v>111.81</v>
      </c>
      <c r="DM81" s="622">
        <f>52.491*3</f>
        <v>157.47300000000001</v>
      </c>
      <c r="DN81" s="622">
        <v>359.60700000000003</v>
      </c>
      <c r="DO81" s="622">
        <f>84.451*4</f>
        <v>337.80399999999997</v>
      </c>
      <c r="DP81" s="622">
        <f>1157.615/8*7.5</f>
        <v>1085.2640624999999</v>
      </c>
      <c r="DQ81" s="622">
        <f>272.079*1.5</f>
        <v>408.11850000000004</v>
      </c>
      <c r="DR81" s="622">
        <v>35.686</v>
      </c>
      <c r="DS81" s="541"/>
      <c r="DT81" s="541"/>
      <c r="DU81" s="622">
        <v>429.86099999999999</v>
      </c>
      <c r="DV81" s="622">
        <v>111.779</v>
      </c>
      <c r="DW81" s="622">
        <v>107.258</v>
      </c>
      <c r="DX81" s="622">
        <f>100.054/0.8*0.9</f>
        <v>112.56075</v>
      </c>
      <c r="DY81" s="622">
        <f>362.213*1.3</f>
        <v>470.87690000000003</v>
      </c>
      <c r="DZ81" s="622">
        <v>9.0719999999999992</v>
      </c>
      <c r="EA81" s="622">
        <v>1197.2349999999999</v>
      </c>
      <c r="EB81" s="622">
        <f>100.8*10</f>
        <v>1008</v>
      </c>
      <c r="EC81" s="622">
        <v>429.87599999999998</v>
      </c>
      <c r="ED81" s="622">
        <v>384.32900000000001</v>
      </c>
      <c r="EE81" s="622">
        <v>107.729</v>
      </c>
      <c r="EF81" s="622">
        <v>72.816000000000003</v>
      </c>
      <c r="EG81" s="622">
        <f>11.682/0.3*0.6</f>
        <v>23.364000000000001</v>
      </c>
      <c r="EH81" s="622">
        <v>19.074000000000002</v>
      </c>
      <c r="EI81" s="622">
        <f>359.607*0.8</f>
        <v>287.68560000000002</v>
      </c>
      <c r="EJ81" s="622">
        <f>84.451*1.5</f>
        <v>126.67649999999999</v>
      </c>
      <c r="EK81" s="622">
        <v>45.262</v>
      </c>
      <c r="EL81" s="622">
        <v>41.734000000000002</v>
      </c>
      <c r="EM81" s="622">
        <v>1493.4369999999999</v>
      </c>
      <c r="EN81" s="622">
        <f>1157.615/8*5</f>
        <v>723.50937499999998</v>
      </c>
      <c r="EO81" s="622">
        <f>359.607*5</f>
        <v>1798.0350000000001</v>
      </c>
      <c r="EP81" s="622">
        <f>84.451*2</f>
        <v>168.90199999999999</v>
      </c>
      <c r="EQ81" s="622">
        <v>476.05799999999999</v>
      </c>
      <c r="ER81" s="622">
        <f>(0.012+496.3)*0.3</f>
        <v>148.89359999999999</v>
      </c>
      <c r="ES81" s="622">
        <f>84.451*3</f>
        <v>253.35299999999998</v>
      </c>
      <c r="ET81" s="622">
        <v>57.128</v>
      </c>
      <c r="EU81" s="622">
        <v>20.007000000000001</v>
      </c>
      <c r="EV81" s="622">
        <v>180.75800000000001</v>
      </c>
      <c r="EW81" s="622">
        <f>64.876*2</f>
        <v>129.75200000000001</v>
      </c>
      <c r="EX81" s="622">
        <f>153.085/4*5</f>
        <v>191.35625000000002</v>
      </c>
      <c r="EY81" s="622">
        <f>478.74/1.3*2</f>
        <v>736.52307692307693</v>
      </c>
      <c r="EZ81" s="534">
        <v>2900.1410000000001</v>
      </c>
      <c r="FA81" s="534">
        <v>1231.499</v>
      </c>
      <c r="FB81" s="622">
        <f>13.667/0.6*1.2</f>
        <v>27.334</v>
      </c>
      <c r="FC81" s="622">
        <v>249.386</v>
      </c>
      <c r="FD81" s="622">
        <v>161.65600000000001</v>
      </c>
      <c r="FE81" s="622">
        <f>100.054/0.8*2.5</f>
        <v>312.66874999999999</v>
      </c>
      <c r="FF81" s="622">
        <f>126.171/1.5*1.1</f>
        <v>92.525400000000019</v>
      </c>
      <c r="FG81" s="622">
        <v>350.702</v>
      </c>
      <c r="FH81" s="622">
        <f>60.48/0.3*0.1</f>
        <v>20.16</v>
      </c>
      <c r="FI81" s="622">
        <f>126.171/1.5*0.6</f>
        <v>50.468400000000003</v>
      </c>
      <c r="FJ81" s="622">
        <f>100.8*10</f>
        <v>1008</v>
      </c>
      <c r="FK81" s="622">
        <f>207.958</f>
        <v>207.958</v>
      </c>
      <c r="FL81" s="622">
        <f>359.607*0.7</f>
        <v>251.72489999999999</v>
      </c>
      <c r="FM81" s="622">
        <v>340.34</v>
      </c>
      <c r="FN81" s="622">
        <f>135.22/0.5*0.6</f>
        <v>162.26399999999998</v>
      </c>
      <c r="FO81" s="622">
        <f>136.63*1.2</f>
        <v>163.95599999999999</v>
      </c>
      <c r="FP81" s="622">
        <f>129.603</f>
        <v>129.60300000000001</v>
      </c>
      <c r="FQ81" s="622">
        <f>129.603</f>
        <v>129.60300000000001</v>
      </c>
      <c r="FR81" s="622">
        <v>287.66399999999999</v>
      </c>
      <c r="FS81" s="622">
        <f>66.447</f>
        <v>66.447000000000003</v>
      </c>
      <c r="FT81" s="622">
        <f>11.682/0.3*0.6</f>
        <v>23.364000000000001</v>
      </c>
      <c r="FU81" s="541"/>
      <c r="FV81" s="541"/>
      <c r="FW81" s="534"/>
      <c r="FX81" s="622"/>
      <c r="FY81" s="622"/>
      <c r="FZ81" s="622"/>
      <c r="GA81" s="622"/>
      <c r="GB81" s="622"/>
      <c r="GC81" s="622"/>
      <c r="GD81" s="622"/>
      <c r="GE81" s="622"/>
      <c r="GF81" s="622"/>
      <c r="GG81" s="622"/>
      <c r="GH81" s="534"/>
      <c r="GI81" s="534"/>
      <c r="GJ81" s="622"/>
      <c r="GK81" s="534"/>
      <c r="GL81" s="534"/>
      <c r="GM81" s="534"/>
      <c r="GN81" s="534"/>
      <c r="GO81" s="542"/>
      <c r="GP81" s="542"/>
      <c r="GQ81" s="542"/>
      <c r="GR81" s="542"/>
      <c r="GS81" s="542"/>
      <c r="GT81" s="542"/>
      <c r="GU81" s="543"/>
      <c r="GV81" s="544"/>
      <c r="GW81" s="952"/>
    </row>
    <row r="82" spans="1:205" s="535" customFormat="1" x14ac:dyDescent="0.3">
      <c r="A82" s="533" t="s">
        <v>163</v>
      </c>
      <c r="B82" s="534"/>
      <c r="D82" s="536"/>
      <c r="E82" s="537"/>
      <c r="F82" s="538"/>
      <c r="G82" s="538"/>
      <c r="H82" s="538"/>
      <c r="I82" s="538"/>
      <c r="J82" s="539"/>
      <c r="K82" s="540">
        <f t="shared" ref="K82:AP82" si="55">SUM(K9:K81)/K8</f>
        <v>1008.0010000000002</v>
      </c>
      <c r="L82" s="540">
        <f t="shared" si="55"/>
        <v>1007.9993333333332</v>
      </c>
      <c r="M82" s="540">
        <f t="shared" si="55"/>
        <v>1008.0019999999997</v>
      </c>
      <c r="N82" s="540">
        <f t="shared" si="55"/>
        <v>1007.9994285714287</v>
      </c>
      <c r="O82" s="540">
        <f t="shared" si="55"/>
        <v>1008.0012500000001</v>
      </c>
      <c r="P82" s="540">
        <f t="shared" si="55"/>
        <v>1007.9999999999999</v>
      </c>
      <c r="Q82" s="540">
        <f t="shared" si="55"/>
        <v>1008.0006666666668</v>
      </c>
      <c r="R82" s="540">
        <f t="shared" si="55"/>
        <v>1007.9989999999999</v>
      </c>
      <c r="S82" s="540">
        <f t="shared" si="55"/>
        <v>1008.0000000000001</v>
      </c>
      <c r="T82" s="540">
        <f t="shared" si="55"/>
        <v>1007.999</v>
      </c>
      <c r="U82" s="540">
        <f t="shared" si="55"/>
        <v>1007.9989999999999</v>
      </c>
      <c r="V82" s="540">
        <f t="shared" si="55"/>
        <v>1007.999</v>
      </c>
      <c r="W82" s="540">
        <f t="shared" si="55"/>
        <v>1008.0019999999998</v>
      </c>
      <c r="X82" s="540">
        <f t="shared" si="55"/>
        <v>1008.001</v>
      </c>
      <c r="Y82" s="540">
        <f t="shared" si="55"/>
        <v>1008</v>
      </c>
      <c r="Z82" s="540">
        <f t="shared" si="55"/>
        <v>1008.0009999999999</v>
      </c>
      <c r="AA82" s="540">
        <f t="shared" si="55"/>
        <v>1007.999</v>
      </c>
      <c r="AB82" s="540">
        <f t="shared" si="55"/>
        <v>1008.0009999999999</v>
      </c>
      <c r="AC82" s="540">
        <f t="shared" si="55"/>
        <v>1008.0010000000001</v>
      </c>
      <c r="AD82" s="540">
        <f t="shared" si="55"/>
        <v>1007.9983333333333</v>
      </c>
      <c r="AE82" s="540">
        <f t="shared" si="55"/>
        <v>1007.9991666666668</v>
      </c>
      <c r="AF82" s="540">
        <f t="shared" si="55"/>
        <v>1008.00125</v>
      </c>
      <c r="AG82" s="540">
        <f t="shared" si="55"/>
        <v>1007.9999999999999</v>
      </c>
      <c r="AH82" s="540">
        <f t="shared" si="55"/>
        <v>1008.0003333333331</v>
      </c>
      <c r="AI82" s="540">
        <f t="shared" si="55"/>
        <v>1007.9999999999999</v>
      </c>
      <c r="AJ82" s="540">
        <f t="shared" si="55"/>
        <v>1008.0000000000001</v>
      </c>
      <c r="AK82" s="540">
        <f t="shared" si="55"/>
        <v>1008.003</v>
      </c>
      <c r="AL82" s="540">
        <f t="shared" si="55"/>
        <v>1008.0000000000001</v>
      </c>
      <c r="AM82" s="540">
        <f t="shared" si="55"/>
        <v>1007.9962499999999</v>
      </c>
      <c r="AN82" s="540">
        <f t="shared" si="55"/>
        <v>1007.998</v>
      </c>
      <c r="AO82" s="540">
        <f t="shared" si="55"/>
        <v>1008.001</v>
      </c>
      <c r="AP82" s="540">
        <f t="shared" si="55"/>
        <v>1007.9989999999998</v>
      </c>
      <c r="AQ82" s="540">
        <f t="shared" ref="AQ82:BI82" si="56">SUM(AQ9:AQ81)/AQ8</f>
        <v>1007.9977777777777</v>
      </c>
      <c r="AR82" s="540">
        <f t="shared" si="56"/>
        <v>1007.9974999999999</v>
      </c>
      <c r="AS82" s="540">
        <f t="shared" si="56"/>
        <v>1007.9983333333333</v>
      </c>
      <c r="AT82" s="540">
        <f t="shared" si="56"/>
        <v>1008.0030000000002</v>
      </c>
      <c r="AU82" s="540">
        <f t="shared" si="56"/>
        <v>1007.9999999999999</v>
      </c>
      <c r="AV82" s="540">
        <f t="shared" si="56"/>
        <v>1007.9989999999999</v>
      </c>
      <c r="AW82" s="540">
        <f t="shared" si="56"/>
        <v>1007.9993333333332</v>
      </c>
      <c r="AX82" s="540">
        <f t="shared" si="56"/>
        <v>1008</v>
      </c>
      <c r="AY82" s="540">
        <f t="shared" si="56"/>
        <v>1008.0006666666665</v>
      </c>
      <c r="AZ82" s="540">
        <f t="shared" si="56"/>
        <v>1007.9995000000001</v>
      </c>
      <c r="BA82" s="540">
        <f t="shared" si="56"/>
        <v>1008</v>
      </c>
      <c r="BB82" s="540">
        <f t="shared" si="56"/>
        <v>1008.0032999999999</v>
      </c>
      <c r="BC82" s="540">
        <f t="shared" si="56"/>
        <v>1008.0033333333334</v>
      </c>
      <c r="BD82" s="540">
        <f t="shared" si="56"/>
        <v>1008.0066666666667</v>
      </c>
      <c r="BE82" s="540">
        <f t="shared" si="56"/>
        <v>1007.9999999999999</v>
      </c>
      <c r="BF82" s="540">
        <f t="shared" si="56"/>
        <v>1008.0000000000001</v>
      </c>
      <c r="BG82" s="540">
        <f t="shared" si="56"/>
        <v>1007.9999999999998</v>
      </c>
      <c r="BH82" s="540">
        <f t="shared" si="56"/>
        <v>1007.999</v>
      </c>
      <c r="BI82" s="540">
        <f t="shared" si="56"/>
        <v>1007.9990000000001</v>
      </c>
      <c r="BJ82" s="541"/>
      <c r="BK82" s="541"/>
      <c r="BL82" s="540">
        <f t="shared" ref="BL82:CQ82" si="57">SUM(BL9:BL81)/BL8</f>
        <v>1007.9999999999998</v>
      </c>
      <c r="BM82" s="540">
        <f t="shared" si="57"/>
        <v>1008</v>
      </c>
      <c r="BN82" s="540">
        <f t="shared" si="57"/>
        <v>1007.9989999999998</v>
      </c>
      <c r="BO82" s="540">
        <f t="shared" si="57"/>
        <v>1007.998</v>
      </c>
      <c r="BP82" s="540">
        <f t="shared" si="57"/>
        <v>1007.999</v>
      </c>
      <c r="BQ82" s="540">
        <f t="shared" si="57"/>
        <v>1008.0009999999999</v>
      </c>
      <c r="BR82" s="540">
        <f t="shared" si="57"/>
        <v>1007.9999999999998</v>
      </c>
      <c r="BS82" s="540">
        <f t="shared" si="57"/>
        <v>1008.0010000000001</v>
      </c>
      <c r="BT82" s="540">
        <f t="shared" si="57"/>
        <v>1007.9999999999999</v>
      </c>
      <c r="BU82" s="540">
        <f t="shared" si="57"/>
        <v>1008.0020000000002</v>
      </c>
      <c r="BV82" s="540">
        <f t="shared" si="57"/>
        <v>1007.9979999999999</v>
      </c>
      <c r="BW82" s="540">
        <f t="shared" si="57"/>
        <v>1008.0000000000001</v>
      </c>
      <c r="BX82" s="540">
        <f t="shared" si="57"/>
        <v>1008.0010000000001</v>
      </c>
      <c r="BY82" s="540">
        <f t="shared" si="57"/>
        <v>1007.9989999999998</v>
      </c>
      <c r="BZ82" s="540">
        <f t="shared" si="57"/>
        <v>1007.999</v>
      </c>
      <c r="CA82" s="540">
        <f t="shared" si="57"/>
        <v>1007.999</v>
      </c>
      <c r="CB82" s="540">
        <f t="shared" si="57"/>
        <v>1008.0010000000001</v>
      </c>
      <c r="CC82" s="540">
        <f t="shared" si="57"/>
        <v>1007.9983333333331</v>
      </c>
      <c r="CD82" s="540">
        <f t="shared" si="57"/>
        <v>1007.999</v>
      </c>
      <c r="CE82" s="540">
        <f t="shared" si="57"/>
        <v>1007.999</v>
      </c>
      <c r="CF82" s="540">
        <f t="shared" si="57"/>
        <v>1008.0001250000001</v>
      </c>
      <c r="CG82" s="540">
        <f t="shared" si="57"/>
        <v>1007.9966666666666</v>
      </c>
      <c r="CH82" s="540">
        <f t="shared" si="57"/>
        <v>1007.9990000000003</v>
      </c>
      <c r="CI82" s="540">
        <f t="shared" si="57"/>
        <v>1008</v>
      </c>
      <c r="CJ82" s="540">
        <f t="shared" si="57"/>
        <v>1008.0000000000001</v>
      </c>
      <c r="CK82" s="540">
        <f t="shared" si="57"/>
        <v>1007.9987499999997</v>
      </c>
      <c r="CL82" s="540">
        <f t="shared" si="57"/>
        <v>1008.0066666666667</v>
      </c>
      <c r="CM82" s="540">
        <f t="shared" si="57"/>
        <v>1008.0000000000001</v>
      </c>
      <c r="CN82" s="540">
        <f t="shared" si="57"/>
        <v>1007.9994285714287</v>
      </c>
      <c r="CO82" s="540">
        <f t="shared" si="57"/>
        <v>1007.9999999999998</v>
      </c>
      <c r="CP82" s="540">
        <f t="shared" si="57"/>
        <v>1007.999</v>
      </c>
      <c r="CQ82" s="540">
        <f t="shared" si="57"/>
        <v>1007.9999999999997</v>
      </c>
      <c r="CR82" s="540">
        <f t="shared" ref="CR82:DR82" si="58">SUM(CR9:CR81)/CR8</f>
        <v>1007.9989999999998</v>
      </c>
      <c r="CS82" s="540">
        <f t="shared" si="58"/>
        <v>1008</v>
      </c>
      <c r="CT82" s="540">
        <f t="shared" si="58"/>
        <v>1008.0001111111111</v>
      </c>
      <c r="CU82" s="540">
        <f t="shared" si="58"/>
        <v>1007.9997500000001</v>
      </c>
      <c r="CV82" s="540">
        <f t="shared" si="58"/>
        <v>1008</v>
      </c>
      <c r="CW82" s="540">
        <f t="shared" si="58"/>
        <v>1007.9996666666666</v>
      </c>
      <c r="CX82" s="540">
        <f t="shared" si="58"/>
        <v>1008.0000999999999</v>
      </c>
      <c r="CY82" s="540">
        <f t="shared" si="58"/>
        <v>1007.9999999999997</v>
      </c>
      <c r="CZ82" s="540">
        <f t="shared" si="58"/>
        <v>1007.9987499999997</v>
      </c>
      <c r="DA82" s="540">
        <f t="shared" si="58"/>
        <v>1008</v>
      </c>
      <c r="DB82" s="540">
        <f t="shared" si="58"/>
        <v>1008.0009999999999</v>
      </c>
      <c r="DC82" s="540">
        <f t="shared" si="58"/>
        <v>1008.0002500000002</v>
      </c>
      <c r="DD82" s="540">
        <f t="shared" si="58"/>
        <v>1007.9999999999999</v>
      </c>
      <c r="DE82" s="540">
        <f t="shared" si="58"/>
        <v>1007.998</v>
      </c>
      <c r="DF82" s="540">
        <f t="shared" si="58"/>
        <v>1007.9999999999998</v>
      </c>
      <c r="DG82" s="540">
        <f t="shared" si="58"/>
        <v>1007.999</v>
      </c>
      <c r="DH82" s="540">
        <f t="shared" si="58"/>
        <v>1007.999</v>
      </c>
      <c r="DI82" s="540">
        <f t="shared" si="58"/>
        <v>1007.9999999999998</v>
      </c>
      <c r="DJ82" s="540">
        <f t="shared" si="58"/>
        <v>1007.999375</v>
      </c>
      <c r="DK82" s="540">
        <f t="shared" si="58"/>
        <v>1008.0033333333334</v>
      </c>
      <c r="DL82" s="540">
        <f t="shared" si="58"/>
        <v>1008.0000000000001</v>
      </c>
      <c r="DM82" s="540">
        <f t="shared" si="58"/>
        <v>1008.0000000000001</v>
      </c>
      <c r="DN82" s="540">
        <f t="shared" si="58"/>
        <v>1007.999</v>
      </c>
      <c r="DO82" s="540">
        <f t="shared" si="58"/>
        <v>1007.999</v>
      </c>
      <c r="DP82" s="540">
        <f t="shared" si="58"/>
        <v>1008</v>
      </c>
      <c r="DQ82" s="540">
        <f t="shared" si="58"/>
        <v>1008.0010000000002</v>
      </c>
      <c r="DR82" s="540">
        <f t="shared" si="58"/>
        <v>1008.0000000000001</v>
      </c>
      <c r="DS82" s="541"/>
      <c r="DT82" s="541"/>
      <c r="DU82" s="540">
        <f t="shared" ref="DU82:FT82" si="59">SUM(DU9:DU81)/DU8</f>
        <v>1008</v>
      </c>
      <c r="DV82" s="540">
        <f t="shared" si="59"/>
        <v>1007.9993333333333</v>
      </c>
      <c r="DW82" s="540">
        <f t="shared" si="59"/>
        <v>1008.0033333333334</v>
      </c>
      <c r="DX82" s="540">
        <f t="shared" si="59"/>
        <v>1007.9987499999997</v>
      </c>
      <c r="DY82" s="540">
        <f t="shared" si="59"/>
        <v>1007.998</v>
      </c>
      <c r="DZ82" s="540">
        <f t="shared" si="59"/>
        <v>1008</v>
      </c>
      <c r="EA82" s="540">
        <f t="shared" si="59"/>
        <v>1007.9997222222222</v>
      </c>
      <c r="EB82" s="540">
        <f t="shared" si="59"/>
        <v>1008.001</v>
      </c>
      <c r="EC82" s="540">
        <f t="shared" si="59"/>
        <v>1008.003</v>
      </c>
      <c r="ED82" s="540">
        <f t="shared" si="59"/>
        <v>1008.0016666666668</v>
      </c>
      <c r="EE82" s="540">
        <f t="shared" si="59"/>
        <v>1008.005</v>
      </c>
      <c r="EF82" s="540">
        <f t="shared" si="59"/>
        <v>1008.001</v>
      </c>
      <c r="EG82" s="540">
        <f t="shared" si="59"/>
        <v>1008.0000000000001</v>
      </c>
      <c r="EH82" s="540">
        <f t="shared" si="59"/>
        <v>1008.0099999999999</v>
      </c>
      <c r="EI82" s="540">
        <f t="shared" si="59"/>
        <v>1007.9990000000001</v>
      </c>
      <c r="EJ82" s="540">
        <f t="shared" si="59"/>
        <v>1007.9989999999999</v>
      </c>
      <c r="EK82" s="540">
        <f t="shared" si="59"/>
        <v>1007.9989999999998</v>
      </c>
      <c r="EL82" s="540">
        <f t="shared" si="59"/>
        <v>1008</v>
      </c>
      <c r="EM82" s="540">
        <f t="shared" si="59"/>
        <v>1007.9999999999997</v>
      </c>
      <c r="EN82" s="540">
        <f t="shared" si="59"/>
        <v>1007.9999999999997</v>
      </c>
      <c r="EO82" s="540">
        <f t="shared" si="59"/>
        <v>1007.9989999999998</v>
      </c>
      <c r="EP82" s="540">
        <f t="shared" si="59"/>
        <v>1007.999</v>
      </c>
      <c r="EQ82" s="540">
        <f t="shared" si="59"/>
        <v>1007.9999999999999</v>
      </c>
      <c r="ER82" s="540">
        <f t="shared" si="59"/>
        <v>1007.9989999999998</v>
      </c>
      <c r="ES82" s="540">
        <f t="shared" si="59"/>
        <v>1007.9989999999999</v>
      </c>
      <c r="ET82" s="540">
        <f t="shared" si="59"/>
        <v>1007.9983333333336</v>
      </c>
      <c r="EU82" s="540">
        <f t="shared" si="59"/>
        <v>1007.9955555555556</v>
      </c>
      <c r="EV82" s="540">
        <f t="shared" si="59"/>
        <v>1008.0039999999999</v>
      </c>
      <c r="EW82" s="540">
        <f t="shared" si="59"/>
        <v>1008.0009999999999</v>
      </c>
      <c r="EX82" s="540">
        <f t="shared" si="59"/>
        <v>1008.0002499999998</v>
      </c>
      <c r="EY82" s="540">
        <f t="shared" si="59"/>
        <v>1007.9999999999998</v>
      </c>
      <c r="EZ82" s="540">
        <f t="shared" si="59"/>
        <v>1008.0002000000001</v>
      </c>
      <c r="FA82" s="540">
        <f t="shared" si="59"/>
        <v>1008</v>
      </c>
      <c r="FB82" s="540">
        <f t="shared" si="59"/>
        <v>1008.0016666666668</v>
      </c>
      <c r="FC82" s="540">
        <f t="shared" si="59"/>
        <v>1008</v>
      </c>
      <c r="FD82" s="540">
        <f t="shared" si="59"/>
        <v>1008.0003333333333</v>
      </c>
      <c r="FE82" s="540">
        <f t="shared" si="59"/>
        <v>1007.9987499999995</v>
      </c>
      <c r="FF82" s="540">
        <f t="shared" si="59"/>
        <v>1007.9999999999999</v>
      </c>
      <c r="FG82" s="540">
        <f t="shared" si="59"/>
        <v>1008.0002500000001</v>
      </c>
      <c r="FH82" s="540">
        <f t="shared" si="59"/>
        <v>1007.9999999999999</v>
      </c>
      <c r="FI82" s="540">
        <f t="shared" si="59"/>
        <v>1007.9999999999998</v>
      </c>
      <c r="FJ82" s="540">
        <f t="shared" si="59"/>
        <v>1008.001</v>
      </c>
      <c r="FK82" s="540">
        <f t="shared" si="59"/>
        <v>1007.9999999999999</v>
      </c>
      <c r="FL82" s="540">
        <f t="shared" si="59"/>
        <v>1007.9990000000001</v>
      </c>
      <c r="FM82" s="540">
        <f t="shared" si="59"/>
        <v>1007.999</v>
      </c>
      <c r="FN82" s="540">
        <f t="shared" si="59"/>
        <v>1007.9999999999998</v>
      </c>
      <c r="FO82" s="540">
        <f t="shared" si="59"/>
        <v>1008</v>
      </c>
      <c r="FP82" s="540">
        <f t="shared" si="59"/>
        <v>1007.9999999999999</v>
      </c>
      <c r="FQ82" s="540">
        <f t="shared" si="59"/>
        <v>1007.9999999999999</v>
      </c>
      <c r="FR82" s="540">
        <f t="shared" si="59"/>
        <v>1008.0000000000001</v>
      </c>
      <c r="FS82" s="540">
        <f t="shared" si="59"/>
        <v>1007.999</v>
      </c>
      <c r="FT82" s="540">
        <f t="shared" si="59"/>
        <v>1008.0000000000001</v>
      </c>
      <c r="FU82" s="541"/>
      <c r="FV82" s="541"/>
      <c r="FW82" s="540"/>
      <c r="FX82" s="540"/>
      <c r="FY82" s="540"/>
      <c r="FZ82" s="540"/>
      <c r="GA82" s="540"/>
      <c r="GB82" s="540"/>
      <c r="GC82" s="540"/>
      <c r="GD82" s="540"/>
      <c r="GE82" s="540"/>
      <c r="GF82" s="540"/>
      <c r="GG82" s="540"/>
      <c r="GH82" s="534"/>
      <c r="GI82" s="534"/>
      <c r="GJ82" s="540"/>
      <c r="GK82" s="540"/>
      <c r="GL82" s="540"/>
      <c r="GM82" s="540"/>
      <c r="GN82" s="534"/>
      <c r="GO82" s="542"/>
      <c r="GP82" s="542"/>
      <c r="GQ82" s="542"/>
      <c r="GR82" s="542"/>
      <c r="GS82" s="542"/>
      <c r="GT82" s="542"/>
      <c r="GU82" s="543"/>
      <c r="GV82" s="544"/>
      <c r="GW82" s="952"/>
    </row>
    <row r="83" spans="1:205" ht="15" thickBot="1" x14ac:dyDescent="0.35">
      <c r="A83" s="114"/>
      <c r="B83" s="457"/>
      <c r="D83" s="930"/>
      <c r="E83" s="393"/>
      <c r="F83" s="194"/>
      <c r="G83" s="117"/>
      <c r="H83" s="321"/>
      <c r="I83" s="118"/>
      <c r="K83" s="176"/>
      <c r="L83" s="176"/>
      <c r="M83" s="459"/>
      <c r="N83" s="176"/>
      <c r="O83" s="459"/>
      <c r="P83" s="459"/>
      <c r="Q83" s="459"/>
      <c r="R83" s="459"/>
      <c r="S83" s="176"/>
      <c r="T83" s="459"/>
      <c r="U83" s="176"/>
      <c r="V83" s="459"/>
      <c r="W83" s="176"/>
      <c r="X83" s="459"/>
      <c r="Y83" s="176"/>
      <c r="Z83" s="459"/>
      <c r="AA83" s="459"/>
      <c r="AB83" s="459"/>
      <c r="AC83" s="459"/>
      <c r="AD83" s="176"/>
      <c r="AE83" s="176"/>
      <c r="AF83" s="176"/>
      <c r="AG83" s="176"/>
      <c r="AH83" s="459"/>
      <c r="AI83" s="459"/>
      <c r="AJ83" s="176"/>
      <c r="AK83" s="459"/>
      <c r="AL83" s="176"/>
      <c r="AM83" s="176"/>
      <c r="AN83" s="459"/>
      <c r="AO83" s="459"/>
      <c r="AP83" s="459"/>
      <c r="AQ83" s="176"/>
      <c r="AR83" s="176"/>
      <c r="AS83" s="176"/>
      <c r="AT83" s="176"/>
      <c r="AU83" s="459"/>
      <c r="AV83" s="176"/>
      <c r="AW83" s="176"/>
      <c r="AX83" s="176"/>
      <c r="AY83" s="459"/>
      <c r="AZ83" s="459"/>
      <c r="BA83" s="176"/>
      <c r="BB83" s="459"/>
      <c r="BC83" s="176"/>
      <c r="BD83" s="176"/>
      <c r="BE83" s="176"/>
      <c r="BF83" s="176"/>
      <c r="BG83" s="459"/>
      <c r="BH83" s="459"/>
      <c r="BI83" s="459"/>
      <c r="BJ83" s="465"/>
      <c r="BK83" s="463"/>
      <c r="BL83" s="176"/>
      <c r="BM83" s="176"/>
      <c r="BN83" s="459"/>
      <c r="BO83" s="459"/>
      <c r="BP83" s="459"/>
      <c r="BQ83" s="176"/>
      <c r="BR83" s="176"/>
      <c r="BS83" s="459"/>
      <c r="BT83" s="459"/>
      <c r="BU83" s="459"/>
      <c r="BV83" s="459"/>
      <c r="BW83" s="459"/>
      <c r="BX83" s="459"/>
      <c r="BY83" s="459"/>
      <c r="BZ83" s="459"/>
      <c r="CA83" s="459"/>
      <c r="CB83" s="176"/>
      <c r="CC83" s="459"/>
      <c r="CD83" s="459"/>
      <c r="CE83" s="459"/>
      <c r="CF83" s="459"/>
      <c r="CG83" s="459"/>
      <c r="CH83" s="459"/>
      <c r="CI83" s="459"/>
      <c r="CJ83" s="459"/>
      <c r="CK83" s="459"/>
      <c r="CL83" s="459"/>
      <c r="CM83" s="459"/>
      <c r="CN83" s="176"/>
      <c r="CO83" s="459"/>
      <c r="CP83" s="176"/>
      <c r="CQ83" s="459"/>
      <c r="CR83" s="933"/>
      <c r="CS83" s="176"/>
      <c r="CT83" s="176"/>
      <c r="CU83" s="176"/>
      <c r="CV83" s="176"/>
      <c r="CW83" s="459"/>
      <c r="CX83" s="459"/>
      <c r="CY83" s="459"/>
      <c r="CZ83" s="459"/>
      <c r="DA83" s="459"/>
      <c r="DB83" s="459"/>
      <c r="DC83" s="459"/>
      <c r="DD83" s="459"/>
      <c r="DE83" s="459"/>
      <c r="DF83" s="933"/>
      <c r="DG83" s="459"/>
      <c r="DH83" s="459"/>
      <c r="DI83" s="459"/>
      <c r="DJ83" s="459"/>
      <c r="DK83" s="459"/>
      <c r="DL83" s="459"/>
      <c r="DM83" s="459"/>
      <c r="DN83" s="459"/>
      <c r="DO83" s="459"/>
      <c r="DP83" s="459"/>
      <c r="DQ83" s="459"/>
      <c r="DR83" s="459"/>
      <c r="DS83" s="463"/>
      <c r="DT83" s="463"/>
      <c r="DU83" s="459"/>
      <c r="DV83" s="459"/>
      <c r="DW83" s="459"/>
      <c r="DX83" s="459"/>
      <c r="DY83" s="459"/>
      <c r="DZ83" s="459"/>
      <c r="EA83" s="459"/>
      <c r="EB83" s="459"/>
      <c r="EC83" s="176"/>
      <c r="ED83" s="176"/>
      <c r="EE83" s="459"/>
      <c r="EF83" s="176"/>
      <c r="EG83" s="176"/>
      <c r="EH83" s="176"/>
      <c r="EI83" s="459"/>
      <c r="EJ83" s="459"/>
      <c r="EK83" s="459"/>
      <c r="EL83" s="176"/>
      <c r="EM83" s="176"/>
      <c r="EN83" s="459"/>
      <c r="EO83" s="459"/>
      <c r="EP83" s="459"/>
      <c r="EQ83" s="176"/>
      <c r="ER83" s="176"/>
      <c r="ES83" s="459"/>
      <c r="ET83" s="176"/>
      <c r="EU83" s="176"/>
      <c r="EV83" s="459"/>
      <c r="EW83" s="459"/>
      <c r="EX83" s="459"/>
      <c r="EY83" s="459"/>
      <c r="EZ83" s="176"/>
      <c r="FA83" s="176"/>
      <c r="FB83" s="459"/>
      <c r="FC83" s="459"/>
      <c r="FD83" s="459"/>
      <c r="FE83" s="459"/>
      <c r="FF83" s="459"/>
      <c r="FG83" s="459"/>
      <c r="FH83" s="459"/>
      <c r="FI83" s="459"/>
      <c r="FJ83" s="459"/>
      <c r="FK83" s="459"/>
      <c r="FL83" s="459"/>
      <c r="FM83" s="176"/>
      <c r="FN83" s="459"/>
      <c r="FO83" s="459"/>
      <c r="FP83" s="176"/>
      <c r="FQ83" s="176"/>
      <c r="FR83" s="176"/>
      <c r="FS83" s="176"/>
      <c r="FT83" s="176"/>
      <c r="FU83" s="463"/>
      <c r="FV83" s="463"/>
      <c r="FW83" s="176"/>
      <c r="FX83" s="176"/>
      <c r="FY83" s="459"/>
      <c r="FZ83" s="176"/>
      <c r="GA83" s="176"/>
      <c r="GB83" s="459"/>
      <c r="GC83" s="459"/>
      <c r="GD83" s="459"/>
      <c r="GE83" s="459"/>
      <c r="GF83" s="459"/>
      <c r="GG83" s="176"/>
      <c r="GH83" s="176"/>
      <c r="GI83" s="176"/>
      <c r="GJ83" s="176"/>
      <c r="GK83" s="176"/>
      <c r="GL83" s="176"/>
      <c r="GM83" s="176"/>
      <c r="GN83" s="176"/>
      <c r="GO83" s="315"/>
      <c r="GP83" s="119"/>
      <c r="GQ83" s="114"/>
      <c r="GR83" s="220"/>
      <c r="GS83" s="114"/>
      <c r="GT83" s="120"/>
      <c r="GU83" s="120"/>
      <c r="GV83" s="233"/>
    </row>
    <row r="84" spans="1:205" ht="15" thickBot="1" x14ac:dyDescent="0.35">
      <c r="A84" s="114"/>
      <c r="B84" s="114"/>
      <c r="D84" s="930"/>
      <c r="E84" s="393"/>
      <c r="F84" s="194"/>
      <c r="G84" s="121"/>
      <c r="H84" s="1332" t="s">
        <v>66</v>
      </c>
      <c r="I84" s="1333"/>
      <c r="K84" s="176"/>
      <c r="L84" s="176"/>
      <c r="M84" s="458"/>
      <c r="N84" s="176"/>
      <c r="O84" s="458"/>
      <c r="P84" s="458"/>
      <c r="Q84" s="458"/>
      <c r="R84" s="458"/>
      <c r="S84" s="176"/>
      <c r="T84" s="458"/>
      <c r="U84" s="176"/>
      <c r="V84" s="458"/>
      <c r="W84" s="176"/>
      <c r="X84" s="458"/>
      <c r="Y84" s="176"/>
      <c r="Z84" s="458"/>
      <c r="AA84" s="458"/>
      <c r="AB84" s="458"/>
      <c r="AC84" s="458"/>
      <c r="AD84" s="176"/>
      <c r="AE84" s="176"/>
      <c r="AF84" s="176"/>
      <c r="AG84" s="176"/>
      <c r="AH84" s="458"/>
      <c r="AI84" s="458"/>
      <c r="AJ84" s="176"/>
      <c r="AK84" s="458"/>
      <c r="AL84" s="176"/>
      <c r="AM84" s="176"/>
      <c r="AN84" s="458"/>
      <c r="AO84" s="458"/>
      <c r="AP84" s="458"/>
      <c r="AQ84" s="176"/>
      <c r="AR84" s="176"/>
      <c r="AS84" s="176"/>
      <c r="AT84" s="176"/>
      <c r="AU84" s="458"/>
      <c r="AV84" s="176"/>
      <c r="AW84" s="176"/>
      <c r="AX84" s="176"/>
      <c r="AY84" s="458"/>
      <c r="AZ84" s="458"/>
      <c r="BA84" s="176"/>
      <c r="BB84" s="458"/>
      <c r="BC84" s="176"/>
      <c r="BD84" s="176"/>
      <c r="BE84" s="176"/>
      <c r="BF84" s="176"/>
      <c r="BG84" s="458"/>
      <c r="BH84" s="458"/>
      <c r="BI84" s="458"/>
      <c r="BJ84" s="465"/>
      <c r="BK84" s="463"/>
      <c r="BL84" s="176"/>
      <c r="BM84" s="176"/>
      <c r="BN84" s="458"/>
      <c r="BO84" s="458"/>
      <c r="BP84" s="458"/>
      <c r="BQ84" s="176"/>
      <c r="BR84" s="176"/>
      <c r="BS84" s="458"/>
      <c r="BT84" s="458"/>
      <c r="BU84" s="458"/>
      <c r="BV84" s="458"/>
      <c r="BW84" s="458"/>
      <c r="BX84" s="458"/>
      <c r="BY84" s="458"/>
      <c r="BZ84" s="458"/>
      <c r="CA84" s="458"/>
      <c r="CB84" s="176"/>
      <c r="CC84" s="458"/>
      <c r="CD84" s="458"/>
      <c r="CE84" s="458"/>
      <c r="CF84" s="458"/>
      <c r="CG84" s="458"/>
      <c r="CH84" s="458"/>
      <c r="CI84" s="458"/>
      <c r="CJ84" s="458"/>
      <c r="CK84" s="458"/>
      <c r="CL84" s="458"/>
      <c r="CM84" s="458"/>
      <c r="CN84" s="176"/>
      <c r="CO84" s="458"/>
      <c r="CP84" s="176"/>
      <c r="CQ84" s="458"/>
      <c r="CR84" s="934"/>
      <c r="CS84" s="176"/>
      <c r="CT84" s="176"/>
      <c r="CU84" s="176"/>
      <c r="CV84" s="176"/>
      <c r="CW84" s="458"/>
      <c r="CX84" s="458"/>
      <c r="CY84" s="458"/>
      <c r="CZ84" s="458"/>
      <c r="DA84" s="458"/>
      <c r="DB84" s="458"/>
      <c r="DC84" s="458"/>
      <c r="DD84" s="458"/>
      <c r="DE84" s="458"/>
      <c r="DF84" s="934"/>
      <c r="DG84" s="458"/>
      <c r="DH84" s="458"/>
      <c r="DI84" s="458"/>
      <c r="DJ84" s="458"/>
      <c r="DK84" s="458"/>
      <c r="DL84" s="458"/>
      <c r="DM84" s="458"/>
      <c r="DN84" s="458"/>
      <c r="DO84" s="458"/>
      <c r="DP84" s="458"/>
      <c r="DQ84" s="458"/>
      <c r="DR84" s="458"/>
      <c r="DS84" s="463"/>
      <c r="DT84" s="463"/>
      <c r="DU84" s="458"/>
      <c r="DV84" s="458"/>
      <c r="DW84" s="458"/>
      <c r="DX84" s="458"/>
      <c r="DY84" s="458"/>
      <c r="DZ84" s="458"/>
      <c r="EA84" s="458"/>
      <c r="EB84" s="458"/>
      <c r="EC84" s="176"/>
      <c r="ED84" s="176"/>
      <c r="EE84" s="458"/>
      <c r="EF84" s="176"/>
      <c r="EG84" s="176"/>
      <c r="EH84" s="176"/>
      <c r="EI84" s="458"/>
      <c r="EJ84" s="458"/>
      <c r="EK84" s="458"/>
      <c r="EL84" s="176"/>
      <c r="EM84" s="176"/>
      <c r="EN84" s="458"/>
      <c r="EO84" s="458"/>
      <c r="EP84" s="458"/>
      <c r="EQ84" s="176"/>
      <c r="ER84" s="176"/>
      <c r="ES84" s="458"/>
      <c r="ET84" s="176"/>
      <c r="EU84" s="176"/>
      <c r="EV84" s="458"/>
      <c r="EW84" s="458"/>
      <c r="EX84" s="458"/>
      <c r="EY84" s="458"/>
      <c r="EZ84" s="176"/>
      <c r="FA84" s="176"/>
      <c r="FB84" s="458"/>
      <c r="FC84" s="458"/>
      <c r="FD84" s="458"/>
      <c r="FE84" s="458"/>
      <c r="FF84" s="458"/>
      <c r="FG84" s="458"/>
      <c r="FH84" s="458"/>
      <c r="FI84" s="458"/>
      <c r="FJ84" s="458"/>
      <c r="FK84" s="458"/>
      <c r="FL84" s="458"/>
      <c r="FM84" s="176"/>
      <c r="FN84" s="458"/>
      <c r="FO84" s="458"/>
      <c r="FP84" s="176"/>
      <c r="FQ84" s="176"/>
      <c r="FR84" s="176"/>
      <c r="FS84" s="176"/>
      <c r="FT84" s="176"/>
      <c r="FU84" s="463"/>
      <c r="FV84" s="463"/>
      <c r="FW84" s="176"/>
      <c r="FX84" s="176"/>
      <c r="FY84" s="458"/>
      <c r="FZ84" s="176"/>
      <c r="GA84" s="176"/>
      <c r="GB84" s="458"/>
      <c r="GC84" s="458"/>
      <c r="GD84" s="458"/>
      <c r="GE84" s="458"/>
      <c r="GF84" s="458"/>
      <c r="GG84" s="176"/>
      <c r="GH84" s="176"/>
      <c r="GI84" s="176"/>
      <c r="GJ84" s="176"/>
      <c r="GK84" s="176"/>
      <c r="GL84" s="176"/>
      <c r="GM84" s="176"/>
      <c r="GN84" s="176"/>
      <c r="GO84" s="315"/>
      <c r="GP84" s="119"/>
      <c r="GQ84" s="114"/>
      <c r="GR84" s="220"/>
      <c r="GS84" s="114"/>
      <c r="GT84" s="120"/>
      <c r="GU84" s="120"/>
      <c r="GV84" s="233"/>
    </row>
    <row r="85" spans="1:205" ht="67.5" customHeight="1" thickBot="1" x14ac:dyDescent="0.35">
      <c r="A85" s="1313" t="s">
        <v>65</v>
      </c>
      <c r="B85" s="1314"/>
      <c r="C85" s="404" t="str">
        <f>C6</f>
        <v>декабрь</v>
      </c>
      <c r="D85" s="510" t="str">
        <f>D6</f>
        <v>январь</v>
      </c>
      <c r="E85" s="312" t="str">
        <f>E6</f>
        <v>февраль</v>
      </c>
      <c r="F85" s="195" t="str">
        <f>F6</f>
        <v>март</v>
      </c>
      <c r="G85" s="418" t="s">
        <v>88</v>
      </c>
      <c r="H85" s="171" t="s">
        <v>69</v>
      </c>
      <c r="I85" s="172" t="s">
        <v>93</v>
      </c>
      <c r="J85" s="67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265"/>
      <c r="BC85" s="265"/>
      <c r="BD85" s="265"/>
      <c r="BE85" s="265"/>
      <c r="BF85" s="265"/>
      <c r="BG85" s="265"/>
      <c r="BH85" s="265"/>
      <c r="BI85" s="265"/>
      <c r="BJ85" s="251"/>
      <c r="BK85" s="67"/>
      <c r="BL85" s="265"/>
      <c r="BM85" s="265"/>
      <c r="BN85" s="265"/>
      <c r="BO85" s="265"/>
      <c r="BP85" s="265"/>
      <c r="BQ85" s="265"/>
      <c r="BR85" s="265"/>
      <c r="BS85" s="265"/>
      <c r="BT85" s="265"/>
      <c r="BU85" s="265"/>
      <c r="BV85" s="265"/>
      <c r="BW85" s="265"/>
      <c r="BX85" s="265"/>
      <c r="BY85" s="265"/>
      <c r="BZ85" s="265"/>
      <c r="CA85" s="265"/>
      <c r="CB85" s="265"/>
      <c r="CC85" s="265"/>
      <c r="CD85" s="265"/>
      <c r="CE85" s="265"/>
      <c r="CF85" s="265"/>
      <c r="CG85" s="265"/>
      <c r="CH85" s="265"/>
      <c r="CI85" s="265"/>
      <c r="CJ85" s="265"/>
      <c r="CK85" s="265"/>
      <c r="CL85" s="265"/>
      <c r="CM85" s="265"/>
      <c r="CN85" s="265"/>
      <c r="CO85" s="265"/>
      <c r="CP85" s="265"/>
      <c r="CQ85" s="265"/>
      <c r="CR85" s="265"/>
      <c r="CS85" s="122"/>
      <c r="CT85" s="122"/>
      <c r="CU85" s="122"/>
      <c r="CV85" s="122"/>
      <c r="CW85" s="265"/>
      <c r="CX85" s="265"/>
      <c r="CY85" s="265"/>
      <c r="CZ85" s="265"/>
      <c r="DA85" s="265"/>
      <c r="DB85" s="265"/>
      <c r="DC85" s="265"/>
      <c r="DD85" s="265"/>
      <c r="DE85" s="265"/>
      <c r="DF85" s="265"/>
      <c r="DG85" s="265"/>
      <c r="DH85" s="265"/>
      <c r="DI85" s="265"/>
      <c r="DJ85" s="265"/>
      <c r="DK85" s="265"/>
      <c r="DL85" s="265"/>
      <c r="DM85" s="265"/>
      <c r="DN85" s="265"/>
      <c r="DO85" s="265"/>
      <c r="DP85" s="265"/>
      <c r="DQ85" s="265"/>
      <c r="DR85" s="265"/>
      <c r="DS85" s="417"/>
      <c r="DT85" s="67"/>
      <c r="DU85" s="265"/>
      <c r="DV85" s="265"/>
      <c r="DW85" s="265"/>
      <c r="DX85" s="265"/>
      <c r="DY85" s="265"/>
      <c r="DZ85" s="265"/>
      <c r="EA85" s="265"/>
      <c r="EB85" s="265"/>
      <c r="EC85" s="265"/>
      <c r="ED85" s="265"/>
      <c r="EE85" s="265"/>
      <c r="EF85" s="265"/>
      <c r="EG85" s="265"/>
      <c r="EH85" s="265"/>
      <c r="EI85" s="265"/>
      <c r="EJ85" s="265"/>
      <c r="EK85" s="265"/>
      <c r="EL85" s="265"/>
      <c r="EM85" s="265"/>
      <c r="EN85" s="265"/>
      <c r="EO85" s="265"/>
      <c r="EP85" s="265"/>
      <c r="EQ85" s="265"/>
      <c r="ER85" s="265"/>
      <c r="ES85" s="265"/>
      <c r="ET85" s="265"/>
      <c r="EU85" s="265"/>
      <c r="EV85" s="265"/>
      <c r="EW85" s="265"/>
      <c r="EX85" s="265"/>
      <c r="EY85" s="265"/>
      <c r="EZ85" s="122"/>
      <c r="FA85" s="122"/>
      <c r="FB85" s="265"/>
      <c r="FC85" s="265"/>
      <c r="FD85" s="265"/>
      <c r="FE85" s="265"/>
      <c r="FF85" s="265"/>
      <c r="FG85" s="265"/>
      <c r="FH85" s="265"/>
      <c r="FI85" s="265"/>
      <c r="FJ85" s="265"/>
      <c r="FK85" s="265"/>
      <c r="FL85" s="265"/>
      <c r="FM85" s="265"/>
      <c r="FN85" s="265"/>
      <c r="FO85" s="265"/>
      <c r="FP85" s="265"/>
      <c r="FQ85" s="265"/>
      <c r="FR85" s="265"/>
      <c r="FS85" s="265"/>
      <c r="FT85" s="265"/>
      <c r="FU85" s="417"/>
      <c r="FV85" s="425"/>
      <c r="FW85" s="984"/>
      <c r="FX85" s="265"/>
      <c r="FY85" s="265"/>
      <c r="FZ85" s="265"/>
      <c r="GA85" s="265"/>
      <c r="GB85" s="265"/>
      <c r="GC85" s="265"/>
      <c r="GD85" s="265"/>
      <c r="GE85" s="265"/>
      <c r="GF85" s="265"/>
      <c r="GG85" s="265"/>
      <c r="GH85" s="261"/>
      <c r="GI85" s="152"/>
      <c r="GJ85" s="265"/>
      <c r="GK85" s="122"/>
      <c r="GL85" s="122"/>
      <c r="GM85" s="122"/>
      <c r="GN85" s="261"/>
      <c r="GO85" s="495"/>
      <c r="GP85" s="222" t="s">
        <v>44</v>
      </c>
      <c r="GQ85" s="223" t="s">
        <v>68</v>
      </c>
      <c r="GR85" s="442" t="s">
        <v>516</v>
      </c>
      <c r="GS85" s="1160" t="str">
        <f>GS5</f>
        <v>СРЕДНЕМЕСЯЧНЫЙ РАСХОД   за текущий квартал</v>
      </c>
      <c r="GT85" s="395" t="s">
        <v>83</v>
      </c>
      <c r="GU85" s="289"/>
      <c r="GV85" s="390"/>
    </row>
    <row r="86" spans="1:205" ht="28.8" x14ac:dyDescent="0.3">
      <c r="A86" s="405" t="s">
        <v>428</v>
      </c>
      <c r="B86" s="406" t="s">
        <v>71</v>
      </c>
      <c r="C86" s="296">
        <v>604</v>
      </c>
      <c r="D86" s="613">
        <v>376</v>
      </c>
      <c r="E86" s="295">
        <v>544</v>
      </c>
      <c r="F86" s="296">
        <v>508</v>
      </c>
      <c r="G86" s="107">
        <f>ROUND(AVERAGE(D86:F86),0)</f>
        <v>476</v>
      </c>
      <c r="H86" s="351">
        <v>7594</v>
      </c>
      <c r="I86" s="657">
        <f>H86-FU86</f>
        <v>7086</v>
      </c>
      <c r="J86" s="37"/>
      <c r="K86" s="381"/>
      <c r="L86" s="381"/>
      <c r="M86" s="381"/>
      <c r="N86" s="381"/>
      <c r="O86" s="381">
        <f>O8/0.025</f>
        <v>32</v>
      </c>
      <c r="P86" s="381"/>
      <c r="Q86" s="381"/>
      <c r="R86" s="381"/>
      <c r="S86" s="381"/>
      <c r="T86" s="381">
        <f>T8/0.025</f>
        <v>40</v>
      </c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81">
        <f>AE8/0.025</f>
        <v>47.999999999999993</v>
      </c>
      <c r="AF86" s="381"/>
      <c r="AG86" s="381"/>
      <c r="AH86" s="381"/>
      <c r="AI86" s="381"/>
      <c r="AJ86" s="381"/>
      <c r="AK86" s="381"/>
      <c r="AL86" s="381"/>
      <c r="AM86" s="381"/>
      <c r="AN86" s="381"/>
      <c r="AO86" s="381"/>
      <c r="AP86" s="381">
        <f>AP8/0.025</f>
        <v>52</v>
      </c>
      <c r="AQ86" s="381"/>
      <c r="AR86" s="381"/>
      <c r="AS86" s="381"/>
      <c r="AT86" s="381">
        <f>AT8/0.025</f>
        <v>40</v>
      </c>
      <c r="AU86" s="381"/>
      <c r="AV86" s="381">
        <f>AV8/0.025</f>
        <v>40</v>
      </c>
      <c r="AW86" s="381"/>
      <c r="AX86" s="381"/>
      <c r="AY86" s="381">
        <f>AY8/0.025</f>
        <v>60</v>
      </c>
      <c r="AZ86" s="381"/>
      <c r="BA86" s="381"/>
      <c r="BB86" s="381"/>
      <c r="BC86" s="381"/>
      <c r="BD86" s="381">
        <f>BD8/0.025</f>
        <v>40</v>
      </c>
      <c r="BE86" s="381"/>
      <c r="BF86" s="381"/>
      <c r="BG86" s="381"/>
      <c r="BH86" s="381">
        <f>BH$8/0.025</f>
        <v>23.999999999999996</v>
      </c>
      <c r="BI86" s="381"/>
      <c r="BJ86" s="158">
        <f>SUM(K86:BI86)</f>
        <v>376</v>
      </c>
      <c r="BK86" s="37"/>
      <c r="BL86" s="954"/>
      <c r="BM86" s="954"/>
      <c r="BN86" s="389">
        <f>BN8/0.025</f>
        <v>60</v>
      </c>
      <c r="BO86" s="954"/>
      <c r="BP86" s="389">
        <f>BP8/0.025</f>
        <v>40</v>
      </c>
      <c r="BQ86" s="954"/>
      <c r="BR86" s="954"/>
      <c r="BS86" s="954"/>
      <c r="BT86" s="954"/>
      <c r="BU86" s="954"/>
      <c r="BV86" s="954"/>
      <c r="BW86" s="954"/>
      <c r="BX86" s="954"/>
      <c r="BY86" s="954"/>
      <c r="BZ86" s="389">
        <f>BZ8/0.025</f>
        <v>40</v>
      </c>
      <c r="CA86" s="954"/>
      <c r="CB86" s="954"/>
      <c r="CC86" s="954"/>
      <c r="CD86" s="954"/>
      <c r="CE86" s="389">
        <f>CE8/0.025</f>
        <v>40</v>
      </c>
      <c r="CF86" s="954"/>
      <c r="CG86" s="389">
        <f>CG8/0.025</f>
        <v>11.999999999999998</v>
      </c>
      <c r="CH86" s="954"/>
      <c r="CI86" s="954"/>
      <c r="CJ86" s="954"/>
      <c r="CK86" s="954"/>
      <c r="CL86" s="954"/>
      <c r="CM86" s="954"/>
      <c r="CN86" s="954"/>
      <c r="CO86" s="954"/>
      <c r="CP86" s="389">
        <f>CP8/0.025</f>
        <v>11.999999999999998</v>
      </c>
      <c r="CQ86" s="954"/>
      <c r="CR86" s="389">
        <f>CR8/0.025</f>
        <v>40</v>
      </c>
      <c r="CS86" s="955"/>
      <c r="CT86" s="956"/>
      <c r="CU86" s="968">
        <f>CU8/0.025</f>
        <v>160</v>
      </c>
      <c r="CV86" s="957"/>
      <c r="CW86" s="954"/>
      <c r="CX86" s="954"/>
      <c r="CY86" s="954"/>
      <c r="CZ86" s="954"/>
      <c r="DA86" s="389">
        <f>DA8/0.025</f>
        <v>60</v>
      </c>
      <c r="DB86" s="954"/>
      <c r="DC86" s="954"/>
      <c r="DD86" s="954"/>
      <c r="DE86" s="954"/>
      <c r="DF86" s="954"/>
      <c r="DG86" s="389">
        <f>DG8/0.025</f>
        <v>40</v>
      </c>
      <c r="DH86" s="954"/>
      <c r="DI86" s="954"/>
      <c r="DJ86" s="954"/>
      <c r="DK86" s="954"/>
      <c r="DL86" s="954"/>
      <c r="DM86" s="954"/>
      <c r="DN86" s="389">
        <f>DN8/0.025</f>
        <v>40</v>
      </c>
      <c r="DO86" s="954"/>
      <c r="DP86" s="954"/>
      <c r="DQ86" s="954"/>
      <c r="DR86" s="954"/>
      <c r="DS86" s="419">
        <f>SUM(BL86:DR86)</f>
        <v>544</v>
      </c>
      <c r="DT86" s="37"/>
      <c r="DU86" s="381"/>
      <c r="DV86" s="954"/>
      <c r="DW86" s="954"/>
      <c r="DX86" s="1012"/>
      <c r="DY86" s="68">
        <f>DY$8/0.025</f>
        <v>52</v>
      </c>
      <c r="DZ86" s="68"/>
      <c r="EA86" s="68"/>
      <c r="EB86" s="181"/>
      <c r="EC86" s="68">
        <f>EC$8/0.025</f>
        <v>40</v>
      </c>
      <c r="ED86" s="68"/>
      <c r="EE86" s="181"/>
      <c r="EF86" s="68"/>
      <c r="EG86" s="68"/>
      <c r="EH86" s="68"/>
      <c r="EI86" s="68">
        <f>EI$8/0.025</f>
        <v>32</v>
      </c>
      <c r="EJ86" s="68"/>
      <c r="EK86" s="181"/>
      <c r="EL86" s="381"/>
      <c r="EM86" s="68"/>
      <c r="EN86" s="954"/>
      <c r="EO86" s="389">
        <f>EO8/0.025</f>
        <v>200</v>
      </c>
      <c r="EP86" s="954"/>
      <c r="EQ86" s="68"/>
      <c r="ER86" s="68"/>
      <c r="ES86" s="954"/>
      <c r="ET86" s="68"/>
      <c r="EU86" s="68"/>
      <c r="EV86" s="954"/>
      <c r="EW86" s="954"/>
      <c r="EX86" s="954"/>
      <c r="EY86" s="389">
        <f>EY8/0.025</f>
        <v>80</v>
      </c>
      <c r="EZ86" s="68"/>
      <c r="FA86" s="263"/>
      <c r="FB86" s="954"/>
      <c r="FC86" s="954"/>
      <c r="FD86" s="954"/>
      <c r="FE86" s="954"/>
      <c r="FF86" s="954"/>
      <c r="FG86" s="954"/>
      <c r="FH86" s="381">
        <f>FH8/0.025</f>
        <v>4</v>
      </c>
      <c r="FI86" s="954"/>
      <c r="FJ86" s="181"/>
      <c r="FK86" s="954"/>
      <c r="FL86" s="68">
        <f>FL$8/0.025</f>
        <v>27.999999999999996</v>
      </c>
      <c r="FM86" s="68">
        <f>FM$8/0.025</f>
        <v>40</v>
      </c>
      <c r="FN86" s="954"/>
      <c r="FO86" s="181"/>
      <c r="FP86" s="954"/>
      <c r="FQ86" s="954"/>
      <c r="FR86" s="68">
        <f>FR$8/0.025</f>
        <v>32</v>
      </c>
      <c r="FS86" s="381"/>
      <c r="FT86" s="68"/>
      <c r="FU86" s="275">
        <f>SUM(DU86:FT86)</f>
        <v>508</v>
      </c>
      <c r="FV86" s="428"/>
      <c r="FW86" s="709"/>
      <c r="FX86" s="68"/>
      <c r="FY86" s="1012"/>
      <c r="FZ86" s="381"/>
      <c r="GA86" s="954"/>
      <c r="GB86" s="954"/>
      <c r="GC86" s="381"/>
      <c r="GD86" s="68"/>
      <c r="GE86" s="1012"/>
      <c r="GF86" s="68"/>
      <c r="GG86" s="954"/>
      <c r="GH86" s="1013"/>
      <c r="GI86" s="264"/>
      <c r="GJ86" s="68"/>
      <c r="GK86" s="68"/>
      <c r="GL86" s="263"/>
      <c r="GM86" s="382"/>
      <c r="GN86" s="266"/>
      <c r="GO86" s="494"/>
      <c r="GP86" s="221">
        <f>SUM(FV86:GO86)</f>
        <v>0</v>
      </c>
      <c r="GQ86" s="452">
        <f>I86-GP86</f>
        <v>7086</v>
      </c>
      <c r="GR86" s="443">
        <f>H86</f>
        <v>7594</v>
      </c>
      <c r="GS86" s="214">
        <f>G86</f>
        <v>476</v>
      </c>
      <c r="GT86" s="163">
        <f>D86</f>
        <v>376</v>
      </c>
      <c r="GU86" s="864"/>
      <c r="GV86" s="520"/>
    </row>
    <row r="87" spans="1:205" ht="28.8" x14ac:dyDescent="0.3">
      <c r="A87" s="73" t="s">
        <v>431</v>
      </c>
      <c r="B87" s="407" t="s">
        <v>72</v>
      </c>
      <c r="C87" s="203">
        <v>982</v>
      </c>
      <c r="D87" s="614">
        <v>768</v>
      </c>
      <c r="E87" s="196">
        <v>876</v>
      </c>
      <c r="F87" s="203">
        <v>712</v>
      </c>
      <c r="G87" s="156">
        <f>ROUND(AVERAGE(D87:F87),0)</f>
        <v>785</v>
      </c>
      <c r="H87" s="352">
        <v>2144</v>
      </c>
      <c r="I87" s="411">
        <f>H87-FU87</f>
        <v>1432</v>
      </c>
      <c r="J87" s="37"/>
      <c r="K87" s="379"/>
      <c r="L87" s="379"/>
      <c r="M87" s="379"/>
      <c r="N87" s="379"/>
      <c r="O87" s="379"/>
      <c r="P87" s="379">
        <f>P8/0.025</f>
        <v>40</v>
      </c>
      <c r="Q87" s="379"/>
      <c r="R87" s="379">
        <f>R8/0.025</f>
        <v>120</v>
      </c>
      <c r="S87" s="379"/>
      <c r="T87" s="379"/>
      <c r="U87" s="379"/>
      <c r="V87" s="379">
        <f>V8/0.025</f>
        <v>160</v>
      </c>
      <c r="W87" s="379"/>
      <c r="X87" s="379"/>
      <c r="Y87" s="379"/>
      <c r="Z87" s="379"/>
      <c r="AA87" s="379">
        <f>AA8/0.025</f>
        <v>160</v>
      </c>
      <c r="AB87" s="379"/>
      <c r="AC87" s="379"/>
      <c r="AD87" s="379"/>
      <c r="AE87" s="379"/>
      <c r="AF87" s="379">
        <f>AF8/0.025</f>
        <v>32</v>
      </c>
      <c r="AG87" s="379"/>
      <c r="AH87" s="379"/>
      <c r="AI87" s="379"/>
      <c r="AJ87" s="379"/>
      <c r="AK87" s="379"/>
      <c r="AL87" s="379"/>
      <c r="AM87" s="379"/>
      <c r="AN87" s="379">
        <f>AN8/0.025</f>
        <v>40</v>
      </c>
      <c r="AO87" s="379"/>
      <c r="AP87" s="379"/>
      <c r="AQ87" s="379">
        <f>AQ8/0.025</f>
        <v>36</v>
      </c>
      <c r="AR87" s="379">
        <f>AR8/0.025</f>
        <v>16</v>
      </c>
      <c r="AS87" s="379"/>
      <c r="AT87" s="379"/>
      <c r="AU87" s="379">
        <f>AU8/0.025</f>
        <v>40</v>
      </c>
      <c r="AV87" s="379"/>
      <c r="AW87" s="379"/>
      <c r="AX87" s="379"/>
      <c r="AY87" s="379"/>
      <c r="AZ87" s="379">
        <f>AZ8/0.025</f>
        <v>80</v>
      </c>
      <c r="BA87" s="379"/>
      <c r="BB87" s="379"/>
      <c r="BC87" s="379"/>
      <c r="BD87" s="379"/>
      <c r="BE87" s="379"/>
      <c r="BF87" s="379"/>
      <c r="BG87" s="379"/>
      <c r="BH87" s="379"/>
      <c r="BI87" s="381">
        <f>BI$8/0.025</f>
        <v>44</v>
      </c>
      <c r="BJ87" s="158">
        <f>SUM(K87:BI87)</f>
        <v>768</v>
      </c>
      <c r="BK87" s="37"/>
      <c r="BL87" s="958"/>
      <c r="BM87" s="958"/>
      <c r="BN87" s="958"/>
      <c r="BO87" s="958"/>
      <c r="BP87" s="958"/>
      <c r="BQ87" s="958"/>
      <c r="BR87" s="958"/>
      <c r="BS87" s="958"/>
      <c r="BT87" s="958"/>
      <c r="BU87" s="958"/>
      <c r="BV87" s="379">
        <f>BV8/0.025</f>
        <v>20</v>
      </c>
      <c r="BW87" s="379">
        <f>BW8/0.025</f>
        <v>11.999999999999998</v>
      </c>
      <c r="BX87" s="958"/>
      <c r="BY87" s="958"/>
      <c r="BZ87" s="958"/>
      <c r="CA87" s="379">
        <f>CA8/0.025</f>
        <v>160</v>
      </c>
      <c r="CB87" s="958"/>
      <c r="CC87" s="958"/>
      <c r="CD87" s="379">
        <f>CD8/0.025</f>
        <v>160</v>
      </c>
      <c r="CE87" s="958"/>
      <c r="CF87" s="958"/>
      <c r="CG87" s="958"/>
      <c r="CH87" s="379">
        <f>CH8/0.025</f>
        <v>23.999999999999996</v>
      </c>
      <c r="CI87" s="958"/>
      <c r="CJ87" s="958"/>
      <c r="CK87" s="254"/>
      <c r="CL87" s="255">
        <f>CL8/0.025</f>
        <v>36</v>
      </c>
      <c r="CM87" s="958"/>
      <c r="CN87" s="958"/>
      <c r="CO87" s="958"/>
      <c r="CP87" s="958"/>
      <c r="CQ87" s="958"/>
      <c r="CR87" s="958"/>
      <c r="CS87" s="959"/>
      <c r="CT87" s="960"/>
      <c r="CU87" s="961"/>
      <c r="CV87" s="255">
        <f>CV8/0.025</f>
        <v>200</v>
      </c>
      <c r="CW87" s="958"/>
      <c r="CX87" s="958"/>
      <c r="CY87" s="958"/>
      <c r="CZ87" s="958"/>
      <c r="DA87" s="958"/>
      <c r="DB87" s="958"/>
      <c r="DC87" s="958"/>
      <c r="DD87" s="958"/>
      <c r="DE87" s="379">
        <f>DE8/0.025</f>
        <v>40</v>
      </c>
      <c r="DF87" s="255">
        <f>DF8/0.025</f>
        <v>23.999999999999996</v>
      </c>
      <c r="DG87" s="958"/>
      <c r="DH87" s="379">
        <f>DH8/0.025</f>
        <v>40</v>
      </c>
      <c r="DI87" s="958"/>
      <c r="DJ87" s="958"/>
      <c r="DK87" s="958"/>
      <c r="DL87" s="958"/>
      <c r="DM87" s="958"/>
      <c r="DN87" s="958"/>
      <c r="DO87" s="379">
        <f>DO8/0.025</f>
        <v>160</v>
      </c>
      <c r="DP87" s="958"/>
      <c r="DQ87" s="958"/>
      <c r="DR87" s="958"/>
      <c r="DS87" s="419">
        <f>SUM(BL87:DR87)</f>
        <v>876</v>
      </c>
      <c r="DT87" s="37"/>
      <c r="DU87" s="379"/>
      <c r="DV87" s="958"/>
      <c r="DW87" s="379">
        <f>DW8/0.025</f>
        <v>11.999999999999998</v>
      </c>
      <c r="DX87" s="254"/>
      <c r="DY87" s="255"/>
      <c r="DZ87" s="255"/>
      <c r="EA87" s="382">
        <f>EA$8/0.025</f>
        <v>144</v>
      </c>
      <c r="EB87" s="382"/>
      <c r="EC87" s="379"/>
      <c r="ED87" s="29">
        <f>ED$8/0.025</f>
        <v>23.999999999999996</v>
      </c>
      <c r="EE87" s="382"/>
      <c r="EF87" s="379"/>
      <c r="EG87" s="29">
        <f>EG$8/0.025</f>
        <v>23.999999999999996</v>
      </c>
      <c r="EH87" s="379"/>
      <c r="EI87" s="255"/>
      <c r="EJ87" s="29">
        <f>EJ$8/0.025</f>
        <v>60</v>
      </c>
      <c r="EK87" s="382">
        <f>EK$8/0.025</f>
        <v>40</v>
      </c>
      <c r="EL87" s="379">
        <f>EL8/0.025</f>
        <v>40</v>
      </c>
      <c r="EM87" s="379"/>
      <c r="EN87" s="958"/>
      <c r="EO87" s="958"/>
      <c r="EP87" s="379">
        <f>EP8/0.025</f>
        <v>80</v>
      </c>
      <c r="EQ87" s="379"/>
      <c r="ER87" s="499"/>
      <c r="ES87" s="379">
        <f>ES8/0.025</f>
        <v>120</v>
      </c>
      <c r="ET87" s="379"/>
      <c r="EU87" s="379">
        <f>EU8/0.025</f>
        <v>36</v>
      </c>
      <c r="EV87" s="379">
        <f>EV8/0.025</f>
        <v>20</v>
      </c>
      <c r="EW87" s="958"/>
      <c r="EX87" s="958"/>
      <c r="EY87" s="958"/>
      <c r="EZ87" s="25"/>
      <c r="FA87" s="29"/>
      <c r="FB87" s="379">
        <f>FB8/0.025</f>
        <v>47.999999999999993</v>
      </c>
      <c r="FC87" s="254"/>
      <c r="FD87" s="958"/>
      <c r="FE87" s="254"/>
      <c r="FF87" s="958"/>
      <c r="FG87" s="254"/>
      <c r="FH87" s="74"/>
      <c r="FI87" s="958"/>
      <c r="FJ87" s="382"/>
      <c r="FK87" s="958"/>
      <c r="FL87" s="255"/>
      <c r="FM87" s="379"/>
      <c r="FN87" s="958"/>
      <c r="FO87" s="958"/>
      <c r="FP87" s="958"/>
      <c r="FQ87" s="958"/>
      <c r="FR87" s="958"/>
      <c r="FS87" s="379">
        <f>FS8/0.025</f>
        <v>40</v>
      </c>
      <c r="FT87" s="29">
        <f>FT$8/0.025</f>
        <v>23.999999999999996</v>
      </c>
      <c r="FU87" s="275">
        <f>SUM(DU87:FT87)</f>
        <v>712</v>
      </c>
      <c r="FV87" s="428"/>
      <c r="FW87" s="1014"/>
      <c r="FX87" s="499"/>
      <c r="FY87" s="1127"/>
      <c r="FZ87" s="379"/>
      <c r="GA87" s="958"/>
      <c r="GB87" s="958"/>
      <c r="GC87" s="379"/>
      <c r="GD87" s="255"/>
      <c r="GE87" s="254"/>
      <c r="GF87" s="958"/>
      <c r="GG87" s="958"/>
      <c r="GH87" s="277"/>
      <c r="GI87" s="184"/>
      <c r="GJ87" s="499"/>
      <c r="GK87" s="25"/>
      <c r="GL87" s="29"/>
      <c r="GM87" s="25"/>
      <c r="GN87" s="75"/>
      <c r="GO87" s="439"/>
      <c r="GP87" s="72">
        <f>SUM(FV87:GO87)</f>
        <v>0</v>
      </c>
      <c r="GQ87" s="445">
        <f>I87-GP87</f>
        <v>1432</v>
      </c>
      <c r="GR87" s="224">
        <f>H87</f>
        <v>2144</v>
      </c>
      <c r="GS87" s="212">
        <f>G87</f>
        <v>785</v>
      </c>
      <c r="GT87" s="239">
        <f>D87</f>
        <v>768</v>
      </c>
      <c r="GU87" s="865"/>
      <c r="GV87" s="520"/>
    </row>
    <row r="88" spans="1:205" ht="28.8" x14ac:dyDescent="0.3">
      <c r="A88" s="71" t="s">
        <v>64</v>
      </c>
      <c r="B88" s="408" t="s">
        <v>73</v>
      </c>
      <c r="C88" s="201">
        <f>1296+1200</f>
        <v>2496</v>
      </c>
      <c r="D88" s="615">
        <f>900+1052</f>
        <v>1952</v>
      </c>
      <c r="E88" s="197">
        <v>2512</v>
      </c>
      <c r="F88" s="201">
        <v>1996</v>
      </c>
      <c r="G88" s="92">
        <f>ROUND(AVERAGE(D88:F88),0)</f>
        <v>2153</v>
      </c>
      <c r="H88" s="353">
        <v>6436</v>
      </c>
      <c r="I88" s="411">
        <f>H88-FU88</f>
        <v>4440</v>
      </c>
      <c r="J88" s="37"/>
      <c r="K88" s="246">
        <f>K8/0.025</f>
        <v>120</v>
      </c>
      <c r="L88" s="246">
        <f>L8/0.025</f>
        <v>120</v>
      </c>
      <c r="M88" s="246">
        <f>M8/0.025</f>
        <v>320</v>
      </c>
      <c r="N88" s="246">
        <f>N8/0.025</f>
        <v>140</v>
      </c>
      <c r="O88" s="246"/>
      <c r="P88" s="246"/>
      <c r="Q88" s="246"/>
      <c r="R88" s="246"/>
      <c r="S88" s="246"/>
      <c r="T88" s="246"/>
      <c r="U88" s="246"/>
      <c r="V88" s="246"/>
      <c r="W88" s="246">
        <f>W8/0.025</f>
        <v>60</v>
      </c>
      <c r="X88" s="246"/>
      <c r="Y88" s="246">
        <f>Y8/0.025</f>
        <v>120</v>
      </c>
      <c r="Z88" s="246"/>
      <c r="AA88" s="246"/>
      <c r="AB88" s="246"/>
      <c r="AC88" s="246">
        <f>AC8/0.025</f>
        <v>240</v>
      </c>
      <c r="AD88" s="246"/>
      <c r="AE88" s="246"/>
      <c r="AF88" s="246"/>
      <c r="AG88" s="246"/>
      <c r="AH88" s="246"/>
      <c r="AI88" s="246">
        <f>AI8/0.025</f>
        <v>160</v>
      </c>
      <c r="AJ88" s="246">
        <f>AJ8/0.025</f>
        <v>91.999999999999986</v>
      </c>
      <c r="AK88" s="246"/>
      <c r="AL88" s="246"/>
      <c r="AM88" s="246"/>
      <c r="AN88" s="246"/>
      <c r="AO88" s="246"/>
      <c r="AP88" s="246"/>
      <c r="AQ88" s="246"/>
      <c r="AR88" s="246"/>
      <c r="AS88" s="246"/>
      <c r="AT88" s="246"/>
      <c r="AU88" s="246"/>
      <c r="AV88" s="246"/>
      <c r="AW88" s="246">
        <f>AW8/0.025</f>
        <v>120</v>
      </c>
      <c r="AX88" s="246">
        <f>AX8/0.025</f>
        <v>47.999999999999993</v>
      </c>
      <c r="AY88" s="246"/>
      <c r="AZ88" s="246"/>
      <c r="BA88" s="246"/>
      <c r="BB88" s="246"/>
      <c r="BC88" s="246">
        <f>BC8/0.025</f>
        <v>11.999999999999998</v>
      </c>
      <c r="BD88" s="246"/>
      <c r="BE88" s="246"/>
      <c r="BF88" s="246"/>
      <c r="BG88" s="246">
        <f>BG8/0.025</f>
        <v>400</v>
      </c>
      <c r="BH88" s="246"/>
      <c r="BI88" s="246"/>
      <c r="BJ88" s="158">
        <f>SUM(K88:BI88)</f>
        <v>1952</v>
      </c>
      <c r="BK88" s="37"/>
      <c r="BL88" s="246">
        <f>BL8/0.025</f>
        <v>200</v>
      </c>
      <c r="BM88" s="246">
        <f>BM8/0.025</f>
        <v>100</v>
      </c>
      <c r="BN88" s="253"/>
      <c r="BO88" s="246">
        <f>BO8/0.025</f>
        <v>95.999999999999986</v>
      </c>
      <c r="BP88" s="253"/>
      <c r="BQ88" s="246">
        <f>BQ8/0.025</f>
        <v>120</v>
      </c>
      <c r="BR88" s="253"/>
      <c r="BS88" s="253"/>
      <c r="BT88" s="246">
        <f>BT8/0.025</f>
        <v>120</v>
      </c>
      <c r="BU88" s="246">
        <f>BU8/0.025</f>
        <v>75.999999999999986</v>
      </c>
      <c r="BV88" s="253"/>
      <c r="BW88" s="253"/>
      <c r="BX88" s="253"/>
      <c r="BY88" s="253"/>
      <c r="BZ88" s="253"/>
      <c r="CA88" s="253"/>
      <c r="CB88" s="246">
        <f>CB8/0.025</f>
        <v>120</v>
      </c>
      <c r="CC88" s="246">
        <f>CC8/0.025</f>
        <v>120</v>
      </c>
      <c r="CD88" s="253"/>
      <c r="CE88" s="253"/>
      <c r="CF88" s="253"/>
      <c r="CG88" s="253"/>
      <c r="CH88" s="253"/>
      <c r="CI88" s="253"/>
      <c r="CJ88" s="246">
        <f>CJ8/0.025</f>
        <v>120</v>
      </c>
      <c r="CK88" s="253"/>
      <c r="CL88" s="253"/>
      <c r="CM88" s="253"/>
      <c r="CN88" s="246">
        <f>CN8/0.025</f>
        <v>140</v>
      </c>
      <c r="CO88" s="253"/>
      <c r="CP88" s="253"/>
      <c r="CQ88" s="246">
        <f>CQ8/0.025</f>
        <v>120</v>
      </c>
      <c r="CR88" s="253"/>
      <c r="CS88" s="254"/>
      <c r="CT88" s="967">
        <f>CT8/0.025</f>
        <v>360</v>
      </c>
      <c r="CU88" s="960"/>
      <c r="CV88" s="960"/>
      <c r="CW88" s="253"/>
      <c r="CX88" s="246">
        <f>CX8/0.025</f>
        <v>400</v>
      </c>
      <c r="CY88" s="253"/>
      <c r="CZ88" s="253"/>
      <c r="DA88" s="253"/>
      <c r="DB88" s="253"/>
      <c r="DC88" s="246">
        <f>DC8/0.025</f>
        <v>180</v>
      </c>
      <c r="DD88" s="253"/>
      <c r="DE88" s="253"/>
      <c r="DF88" s="253"/>
      <c r="DG88" s="253"/>
      <c r="DH88" s="253"/>
      <c r="DI88" s="253"/>
      <c r="DJ88" s="253"/>
      <c r="DK88" s="253"/>
      <c r="DL88" s="246">
        <f>DL8/0.025</f>
        <v>120</v>
      </c>
      <c r="DM88" s="246">
        <f>DM8/0.025</f>
        <v>120</v>
      </c>
      <c r="DN88" s="253"/>
      <c r="DO88" s="253"/>
      <c r="DP88" s="253"/>
      <c r="DQ88" s="253"/>
      <c r="DR88" s="253"/>
      <c r="DS88" s="419">
        <f>SUM(BL88:DR88)</f>
        <v>2512</v>
      </c>
      <c r="DT88" s="37"/>
      <c r="DU88" s="246">
        <f>DU8/0.025</f>
        <v>95.999999999999986</v>
      </c>
      <c r="DV88" s="246">
        <f>DV8/0.025</f>
        <v>60</v>
      </c>
      <c r="DW88" s="253"/>
      <c r="DX88" s="254"/>
      <c r="DY88" s="255"/>
      <c r="DZ88" s="255"/>
      <c r="EA88" s="255"/>
      <c r="EB88" s="29">
        <f>EB$8/0.025</f>
        <v>400</v>
      </c>
      <c r="EC88" s="246"/>
      <c r="ED88" s="246"/>
      <c r="EE88" s="29"/>
      <c r="EF88" s="246"/>
      <c r="EG88" s="246"/>
      <c r="EH88" s="29">
        <f>EH$8/0.025</f>
        <v>11.999999999999998</v>
      </c>
      <c r="EI88" s="255"/>
      <c r="EJ88" s="255"/>
      <c r="EK88" s="246"/>
      <c r="EL88" s="246"/>
      <c r="EM88" s="246"/>
      <c r="EN88" s="253"/>
      <c r="EO88" s="253"/>
      <c r="EP88" s="253"/>
      <c r="EQ88" s="29">
        <f>EQ$8/0.025</f>
        <v>120</v>
      </c>
      <c r="ER88" s="255"/>
      <c r="ES88" s="253"/>
      <c r="ET88" s="246"/>
      <c r="EU88" s="246"/>
      <c r="EV88" s="253"/>
      <c r="EW88" s="253"/>
      <c r="EX88" s="246">
        <f>EX8/0.025</f>
        <v>200</v>
      </c>
      <c r="EY88" s="253"/>
      <c r="EZ88" s="29"/>
      <c r="FA88" s="184"/>
      <c r="FB88" s="253"/>
      <c r="FC88" s="29">
        <f>FC$8/0.025</f>
        <v>120</v>
      </c>
      <c r="FD88" s="253"/>
      <c r="FE88" s="253"/>
      <c r="FF88" s="246">
        <f>FF8/0.025</f>
        <v>44</v>
      </c>
      <c r="FG88" s="29">
        <f>FG$8/0.025</f>
        <v>160</v>
      </c>
      <c r="FH88" s="75"/>
      <c r="FI88" s="246">
        <f>FI8/0.025</f>
        <v>23.999999999999996</v>
      </c>
      <c r="FJ88" s="29">
        <f>FJ$8/0.025</f>
        <v>400</v>
      </c>
      <c r="FK88" s="246">
        <f>FK8/0.025</f>
        <v>120</v>
      </c>
      <c r="FL88" s="255"/>
      <c r="FM88" s="246"/>
      <c r="FN88" s="246"/>
      <c r="FO88" s="253"/>
      <c r="FP88" s="246">
        <f>FP8/0.025</f>
        <v>120</v>
      </c>
      <c r="FQ88" s="246">
        <f>FQ8/0.025</f>
        <v>120</v>
      </c>
      <c r="FR88" s="246"/>
      <c r="FS88" s="246"/>
      <c r="FT88" s="246"/>
      <c r="FU88" s="275">
        <f>SUM(DU88:FT88)</f>
        <v>1996</v>
      </c>
      <c r="FV88" s="428"/>
      <c r="FW88" s="1014"/>
      <c r="FX88" s="29"/>
      <c r="FY88" s="254"/>
      <c r="FZ88" s="246"/>
      <c r="GA88" s="246"/>
      <c r="GB88" s="246"/>
      <c r="GC88" s="246"/>
      <c r="GD88" s="255"/>
      <c r="GE88" s="254"/>
      <c r="GF88" s="253"/>
      <c r="GG88" s="253"/>
      <c r="GH88" s="277"/>
      <c r="GI88" s="184"/>
      <c r="GJ88" s="255"/>
      <c r="GK88" s="29"/>
      <c r="GL88" s="184"/>
      <c r="GM88" s="29"/>
      <c r="GN88" s="75"/>
      <c r="GO88" s="438"/>
      <c r="GP88" s="65">
        <f>SUM(FV88:GO88)</f>
        <v>0</v>
      </c>
      <c r="GQ88" s="445">
        <f>I88-GP88</f>
        <v>4440</v>
      </c>
      <c r="GR88" s="224">
        <f>H88</f>
        <v>6436</v>
      </c>
      <c r="GS88" s="212">
        <f>G88</f>
        <v>2153</v>
      </c>
      <c r="GT88" s="239">
        <f>D88</f>
        <v>1952</v>
      </c>
      <c r="GU88" s="864"/>
      <c r="GV88" s="520"/>
    </row>
    <row r="89" spans="1:205" ht="43.2" x14ac:dyDescent="0.3">
      <c r="A89" s="643" t="s">
        <v>429</v>
      </c>
      <c r="B89" s="683" t="s">
        <v>430</v>
      </c>
      <c r="C89" s="203">
        <v>892</v>
      </c>
      <c r="D89" s="614">
        <v>312</v>
      </c>
      <c r="E89" s="196">
        <v>776</v>
      </c>
      <c r="F89" s="203">
        <v>464</v>
      </c>
      <c r="G89" s="92">
        <f>ROUND(AVERAGE(D89:F89),0)</f>
        <v>517</v>
      </c>
      <c r="H89" s="352">
        <v>4860</v>
      </c>
      <c r="I89" s="411">
        <f>H89-FU89</f>
        <v>4396</v>
      </c>
      <c r="J89" s="37"/>
      <c r="K89" s="633"/>
      <c r="L89" s="633"/>
      <c r="M89" s="633"/>
      <c r="N89" s="633"/>
      <c r="O89" s="633"/>
      <c r="P89" s="633"/>
      <c r="Q89" s="633"/>
      <c r="R89" s="633"/>
      <c r="S89" s="633">
        <f>S8/0.025</f>
        <v>64</v>
      </c>
      <c r="T89" s="633"/>
      <c r="U89" s="633"/>
      <c r="V89" s="633"/>
      <c r="W89" s="633"/>
      <c r="X89" s="633"/>
      <c r="Y89" s="633"/>
      <c r="Z89" s="633"/>
      <c r="AA89" s="633"/>
      <c r="AB89" s="633"/>
      <c r="AC89" s="633"/>
      <c r="AD89" s="633">
        <f>AD8/0.025</f>
        <v>23.999999999999996</v>
      </c>
      <c r="AE89" s="633"/>
      <c r="AF89" s="633"/>
      <c r="AG89" s="633"/>
      <c r="AH89" s="633"/>
      <c r="AI89" s="633"/>
      <c r="AJ89" s="633"/>
      <c r="AK89" s="633">
        <f>AK8/0.025</f>
        <v>40</v>
      </c>
      <c r="AL89" s="633"/>
      <c r="AM89" s="633">
        <f>AM8/0.025</f>
        <v>32</v>
      </c>
      <c r="AN89" s="633"/>
      <c r="AO89" s="633">
        <f>AO8/0.025</f>
        <v>80</v>
      </c>
      <c r="AP89" s="633"/>
      <c r="AQ89" s="633"/>
      <c r="AR89" s="924"/>
      <c r="AS89" s="924"/>
      <c r="AT89" s="924"/>
      <c r="AU89" s="633"/>
      <c r="AV89" s="924"/>
      <c r="AW89" s="633"/>
      <c r="AX89" s="633"/>
      <c r="AY89" s="633"/>
      <c r="AZ89" s="633"/>
      <c r="BA89" s="633"/>
      <c r="BB89" s="633"/>
      <c r="BC89" s="924"/>
      <c r="BD89" s="633"/>
      <c r="BE89" s="633">
        <f>BE8/0.025</f>
        <v>60</v>
      </c>
      <c r="BF89" s="633">
        <f>BF8/0.025</f>
        <v>11.999999999999998</v>
      </c>
      <c r="BG89" s="633"/>
      <c r="BH89" s="633"/>
      <c r="BI89" s="633"/>
      <c r="BJ89" s="158">
        <f>SUM(K89:BI89)</f>
        <v>312</v>
      </c>
      <c r="BK89" s="37"/>
      <c r="BL89" s="924"/>
      <c r="BM89" s="633"/>
      <c r="BN89" s="924"/>
      <c r="BO89" s="924"/>
      <c r="BP89" s="924"/>
      <c r="BQ89" s="924"/>
      <c r="BR89" s="633">
        <f>BR8/0.025</f>
        <v>200</v>
      </c>
      <c r="BS89" s="924"/>
      <c r="BT89" s="924"/>
      <c r="BU89" s="924"/>
      <c r="BV89" s="924"/>
      <c r="BW89" s="924"/>
      <c r="BX89" s="924"/>
      <c r="BY89" s="924"/>
      <c r="BZ89" s="924"/>
      <c r="CA89" s="924"/>
      <c r="CB89" s="924"/>
      <c r="CC89" s="924"/>
      <c r="CD89" s="924"/>
      <c r="CE89" s="924"/>
      <c r="CF89" s="924"/>
      <c r="CG89" s="924"/>
      <c r="CH89" s="924"/>
      <c r="CI89" s="924"/>
      <c r="CJ89" s="924"/>
      <c r="CK89" s="862">
        <f>CK8/0.025</f>
        <v>36</v>
      </c>
      <c r="CL89" s="924"/>
      <c r="CM89" s="924"/>
      <c r="CN89" s="924"/>
      <c r="CO89" s="924"/>
      <c r="CP89" s="924"/>
      <c r="CQ89" s="924"/>
      <c r="CR89" s="924"/>
      <c r="CS89" s="862">
        <f>CS8/0.025</f>
        <v>80</v>
      </c>
      <c r="CT89" s="962"/>
      <c r="CU89" s="962"/>
      <c r="CV89" s="962"/>
      <c r="CW89" s="633">
        <f>CW8/0.025</f>
        <v>120</v>
      </c>
      <c r="CX89" s="924"/>
      <c r="CY89" s="633">
        <f>CY8/0.025</f>
        <v>4</v>
      </c>
      <c r="CZ89" s="633">
        <f>CZ8/0.025</f>
        <v>120</v>
      </c>
      <c r="DA89" s="924"/>
      <c r="DB89" s="633">
        <f>DB8/0.025</f>
        <v>80</v>
      </c>
      <c r="DC89" s="924"/>
      <c r="DD89" s="924"/>
      <c r="DE89" s="924"/>
      <c r="DF89" s="924"/>
      <c r="DG89" s="924"/>
      <c r="DH89" s="924"/>
      <c r="DI89" s="924"/>
      <c r="DJ89" s="633">
        <f>DJ8/0.025</f>
        <v>60</v>
      </c>
      <c r="DK89" s="862">
        <f>DK8/0.025</f>
        <v>11.999999999999998</v>
      </c>
      <c r="DL89" s="924"/>
      <c r="DM89" s="924"/>
      <c r="DN89" s="924"/>
      <c r="DO89" s="924"/>
      <c r="DP89" s="924"/>
      <c r="DQ89" s="633">
        <f>DQ8/0.025</f>
        <v>60</v>
      </c>
      <c r="DR89" s="633">
        <f>DR8/0.025</f>
        <v>4</v>
      </c>
      <c r="DS89" s="419">
        <f>SUM(BL89:DR89)</f>
        <v>776</v>
      </c>
      <c r="DT89" s="37"/>
      <c r="DU89" s="633"/>
      <c r="DV89" s="924"/>
      <c r="DW89" s="924"/>
      <c r="DX89" s="255">
        <f>DX$8/0.025</f>
        <v>36</v>
      </c>
      <c r="DY89" s="255"/>
      <c r="DZ89" s="29">
        <f>DZ$8/0.025</f>
        <v>11.999999999999998</v>
      </c>
      <c r="EA89" s="29"/>
      <c r="EB89" s="636"/>
      <c r="EC89" s="924"/>
      <c r="ED89" s="924"/>
      <c r="EE89" s="636"/>
      <c r="EF89" s="924"/>
      <c r="EG89" s="924"/>
      <c r="EH89" s="924"/>
      <c r="EI89" s="255"/>
      <c r="EJ89" s="255"/>
      <c r="EK89" s="636"/>
      <c r="EL89" s="924"/>
      <c r="EM89" s="29">
        <f>EM$8/0.025</f>
        <v>120</v>
      </c>
      <c r="EN89" s="924"/>
      <c r="EO89" s="924"/>
      <c r="EP89" s="924"/>
      <c r="EQ89" s="924"/>
      <c r="ER89" s="862">
        <f>ER8/0.025</f>
        <v>11.999999999999998</v>
      </c>
      <c r="ES89" s="924"/>
      <c r="ET89" s="636"/>
      <c r="EU89" s="636"/>
      <c r="EV89" s="924"/>
      <c r="EW89" s="633">
        <f>EW8/0.025</f>
        <v>80</v>
      </c>
      <c r="EX89" s="924"/>
      <c r="EY89" s="924"/>
      <c r="EZ89" s="635"/>
      <c r="FA89" s="862">
        <f>FA8/0.025</f>
        <v>80</v>
      </c>
      <c r="FB89" s="924"/>
      <c r="FC89" s="633"/>
      <c r="FD89" s="924"/>
      <c r="FE89" s="862">
        <f>FE8/0.025</f>
        <v>100</v>
      </c>
      <c r="FF89" s="924"/>
      <c r="FG89" s="633"/>
      <c r="FH89" s="636"/>
      <c r="FI89" s="924"/>
      <c r="FJ89" s="636"/>
      <c r="FK89" s="924"/>
      <c r="FL89" s="255"/>
      <c r="FM89" s="924"/>
      <c r="FN89" s="29">
        <f>FN$8/0.025</f>
        <v>23.999999999999996</v>
      </c>
      <c r="FO89" s="633"/>
      <c r="FP89" s="924"/>
      <c r="FQ89" s="924"/>
      <c r="FR89" s="924"/>
      <c r="FS89" s="924"/>
      <c r="FT89" s="924"/>
      <c r="FU89" s="275">
        <f>SUM(DU89:FT89)</f>
        <v>464</v>
      </c>
      <c r="FV89" s="428"/>
      <c r="FW89" s="1014"/>
      <c r="FX89" s="1126"/>
      <c r="FY89" s="862"/>
      <c r="FZ89" s="924"/>
      <c r="GA89" s="924"/>
      <c r="GB89" s="924"/>
      <c r="GC89" s="633"/>
      <c r="GD89" s="255"/>
      <c r="GE89" s="255"/>
      <c r="GF89" s="633"/>
      <c r="GG89" s="633"/>
      <c r="GH89" s="277"/>
      <c r="GI89" s="634"/>
      <c r="GJ89" s="862"/>
      <c r="GK89" s="635"/>
      <c r="GL89" s="862"/>
      <c r="GM89" s="635"/>
      <c r="GN89" s="636"/>
      <c r="GO89" s="863"/>
      <c r="GP89" s="65">
        <f>SUM(FV89:GO89)</f>
        <v>0</v>
      </c>
      <c r="GQ89" s="445">
        <f>I89-GP89</f>
        <v>4396</v>
      </c>
      <c r="GR89" s="224">
        <f>H89</f>
        <v>4860</v>
      </c>
      <c r="GS89" s="212">
        <f>G89</f>
        <v>517</v>
      </c>
      <c r="GT89" s="239">
        <f>D89</f>
        <v>312</v>
      </c>
      <c r="GU89" s="865"/>
      <c r="GV89" s="520"/>
    </row>
    <row r="90" spans="1:205" ht="24.75" customHeight="1" thickBot="1" x14ac:dyDescent="0.35">
      <c r="A90" s="644" t="s">
        <v>196</v>
      </c>
      <c r="B90" s="684" t="s">
        <v>213</v>
      </c>
      <c r="C90" s="205">
        <v>1224</v>
      </c>
      <c r="D90" s="616">
        <v>1120</v>
      </c>
      <c r="E90" s="198">
        <v>1244</v>
      </c>
      <c r="F90" s="205">
        <v>648</v>
      </c>
      <c r="G90" s="115">
        <f>ROUND(AVERAGE(D90:F90),0)</f>
        <v>1004</v>
      </c>
      <c r="H90" s="354">
        <v>2440</v>
      </c>
      <c r="I90" s="931">
        <f>H90-FU90</f>
        <v>1792</v>
      </c>
      <c r="J90" s="60"/>
      <c r="K90" s="62"/>
      <c r="L90" s="62"/>
      <c r="M90" s="62"/>
      <c r="N90" s="62"/>
      <c r="O90" s="62"/>
      <c r="P90" s="62"/>
      <c r="Q90" s="62">
        <f>Q8/0.025</f>
        <v>60</v>
      </c>
      <c r="R90" s="62"/>
      <c r="S90" s="62"/>
      <c r="T90" s="62"/>
      <c r="U90" s="62">
        <f>U8/0.025</f>
        <v>60</v>
      </c>
      <c r="V90" s="62"/>
      <c r="W90" s="62"/>
      <c r="X90" s="62">
        <f>X8/0.025</f>
        <v>280</v>
      </c>
      <c r="Y90" s="62"/>
      <c r="Z90" s="62">
        <f>Z8/0.025</f>
        <v>80</v>
      </c>
      <c r="AA90" s="62"/>
      <c r="AB90" s="62">
        <f>AB8/0.025</f>
        <v>320</v>
      </c>
      <c r="AC90" s="62"/>
      <c r="AD90" s="62"/>
      <c r="AE90" s="62"/>
      <c r="AF90" s="62"/>
      <c r="AG90" s="62">
        <f>AG8/0.025</f>
        <v>32</v>
      </c>
      <c r="AH90" s="62">
        <f>AH8/0.025</f>
        <v>120</v>
      </c>
      <c r="AI90" s="62"/>
      <c r="AJ90" s="62"/>
      <c r="AK90" s="62"/>
      <c r="AL90" s="62">
        <f>AL8/0.025</f>
        <v>23.999999999999996</v>
      </c>
      <c r="AM90" s="62"/>
      <c r="AN90" s="62"/>
      <c r="AO90" s="62"/>
      <c r="AP90" s="62"/>
      <c r="AQ90" s="62"/>
      <c r="AR90" s="62"/>
      <c r="AS90" s="62">
        <f>AS8/0.025</f>
        <v>23.999999999999996</v>
      </c>
      <c r="AT90" s="62"/>
      <c r="AU90" s="62"/>
      <c r="AV90" s="62"/>
      <c r="AW90" s="62"/>
      <c r="AX90" s="62"/>
      <c r="AY90" s="62"/>
      <c r="AZ90" s="62"/>
      <c r="BA90" s="62">
        <f>BA8/0.025</f>
        <v>80</v>
      </c>
      <c r="BB90" s="62">
        <f>BB8/0.025</f>
        <v>40</v>
      </c>
      <c r="BC90" s="62"/>
      <c r="BD90" s="62"/>
      <c r="BE90" s="62"/>
      <c r="BF90" s="62"/>
      <c r="BG90" s="62"/>
      <c r="BH90" s="62"/>
      <c r="BI90" s="62"/>
      <c r="BJ90" s="160">
        <f>SUM(K90:BI90)</f>
        <v>1120</v>
      </c>
      <c r="BK90" s="60"/>
      <c r="BL90" s="963"/>
      <c r="BM90" s="963"/>
      <c r="BN90" s="963"/>
      <c r="BO90" s="963"/>
      <c r="BP90" s="963"/>
      <c r="BQ90" s="963"/>
      <c r="BR90" s="963"/>
      <c r="BS90" s="966">
        <f>BS8/0.025</f>
        <v>216</v>
      </c>
      <c r="BT90" s="963"/>
      <c r="BU90" s="963"/>
      <c r="BV90" s="963"/>
      <c r="BW90" s="963"/>
      <c r="BX90" s="966">
        <f>BX8/0.025</f>
        <v>84</v>
      </c>
      <c r="BY90" s="966">
        <f>BY8/0.025</f>
        <v>80</v>
      </c>
      <c r="BZ90" s="963"/>
      <c r="CA90" s="963"/>
      <c r="CB90" s="963"/>
      <c r="CC90" s="963"/>
      <c r="CD90" s="963"/>
      <c r="CE90" s="963"/>
      <c r="CF90" s="966">
        <f>CF8/0.025</f>
        <v>240</v>
      </c>
      <c r="CG90" s="963"/>
      <c r="CH90" s="963"/>
      <c r="CI90" s="966">
        <f>CI8/0.025</f>
        <v>60</v>
      </c>
      <c r="CJ90" s="963"/>
      <c r="CK90" s="963"/>
      <c r="CL90" s="963"/>
      <c r="CM90" s="966">
        <f>CM8/0.025</f>
        <v>23.999999999999996</v>
      </c>
      <c r="CN90" s="963"/>
      <c r="CO90" s="966">
        <f>CO8/0.025</f>
        <v>80</v>
      </c>
      <c r="CP90" s="963"/>
      <c r="CQ90" s="963"/>
      <c r="CR90" s="963"/>
      <c r="CS90" s="964"/>
      <c r="CT90" s="965"/>
      <c r="CU90" s="965"/>
      <c r="CV90" s="965"/>
      <c r="CW90" s="963"/>
      <c r="CX90" s="963"/>
      <c r="CY90" s="963"/>
      <c r="CZ90" s="963"/>
      <c r="DA90" s="963"/>
      <c r="DB90" s="963"/>
      <c r="DC90" s="963"/>
      <c r="DD90" s="966">
        <f>DD8/0.025</f>
        <v>120</v>
      </c>
      <c r="DE90" s="963"/>
      <c r="DF90" s="963"/>
      <c r="DG90" s="963"/>
      <c r="DH90" s="963"/>
      <c r="DI90" s="966">
        <f>DI8/0.025</f>
        <v>40</v>
      </c>
      <c r="DJ90" s="963"/>
      <c r="DK90" s="963"/>
      <c r="DL90" s="963"/>
      <c r="DM90" s="963"/>
      <c r="DN90" s="963"/>
      <c r="DO90" s="963"/>
      <c r="DP90" s="966">
        <f>DP8/0.025</f>
        <v>300</v>
      </c>
      <c r="DQ90" s="963"/>
      <c r="DR90" s="963"/>
      <c r="DS90" s="420">
        <f>SUM(BL90:DR90)</f>
        <v>1244</v>
      </c>
      <c r="DT90" s="60"/>
      <c r="DU90" s="62"/>
      <c r="DV90" s="963"/>
      <c r="DW90" s="963"/>
      <c r="DX90" s="964"/>
      <c r="DY90" s="63"/>
      <c r="DZ90" s="63"/>
      <c r="EA90" s="63"/>
      <c r="EB90" s="62"/>
      <c r="EC90" s="62"/>
      <c r="ED90" s="62"/>
      <c r="EE90" s="63">
        <f>EE$8/0.025</f>
        <v>16</v>
      </c>
      <c r="EF90" s="63">
        <f>EF$8/0.025</f>
        <v>40</v>
      </c>
      <c r="EG90" s="62"/>
      <c r="EH90" s="62"/>
      <c r="EI90" s="63"/>
      <c r="EJ90" s="63"/>
      <c r="EK90" s="62"/>
      <c r="EL90" s="62"/>
      <c r="EM90" s="62"/>
      <c r="EN90" s="966">
        <f>EN8/0.025</f>
        <v>200</v>
      </c>
      <c r="EO90" s="963"/>
      <c r="EP90" s="963"/>
      <c r="EQ90" s="62"/>
      <c r="ER90" s="63"/>
      <c r="ES90" s="963"/>
      <c r="ET90" s="966">
        <f>ET8/0.025</f>
        <v>23.999999999999996</v>
      </c>
      <c r="EU90" s="62"/>
      <c r="EV90" s="963"/>
      <c r="EW90" s="963"/>
      <c r="EX90" s="963"/>
      <c r="EY90" s="963"/>
      <c r="EZ90" s="63">
        <f>EZ8/0.025</f>
        <v>200</v>
      </c>
      <c r="FA90" s="258"/>
      <c r="FB90" s="963"/>
      <c r="FC90" s="963"/>
      <c r="FD90" s="966">
        <f>FD8/0.025</f>
        <v>120</v>
      </c>
      <c r="FE90" s="963"/>
      <c r="FF90" s="963"/>
      <c r="FG90" s="963"/>
      <c r="FH90" s="62"/>
      <c r="FI90" s="963"/>
      <c r="FJ90" s="62"/>
      <c r="FK90" s="963"/>
      <c r="FL90" s="63"/>
      <c r="FM90" s="62"/>
      <c r="FN90" s="963"/>
      <c r="FO90" s="966">
        <f>FO8/0.025</f>
        <v>47.999999999999993</v>
      </c>
      <c r="FP90" s="963"/>
      <c r="FQ90" s="963"/>
      <c r="FR90" s="963"/>
      <c r="FS90" s="62"/>
      <c r="FT90" s="62"/>
      <c r="FU90" s="427">
        <f>SUM(DU90:FT90)</f>
        <v>648</v>
      </c>
      <c r="FV90" s="426"/>
      <c r="FW90" s="183"/>
      <c r="FX90" s="63"/>
      <c r="FY90" s="964"/>
      <c r="FZ90" s="62"/>
      <c r="GA90" s="963"/>
      <c r="GB90" s="963"/>
      <c r="GC90" s="62"/>
      <c r="GD90" s="63"/>
      <c r="GE90" s="964"/>
      <c r="GF90" s="963"/>
      <c r="GG90" s="963"/>
      <c r="GH90" s="1015"/>
      <c r="GI90" s="258"/>
      <c r="GJ90" s="63"/>
      <c r="GK90" s="63"/>
      <c r="GL90" s="258"/>
      <c r="GM90" s="63"/>
      <c r="GN90" s="62"/>
      <c r="GO90" s="440"/>
      <c r="GP90" s="66">
        <f>SUM(FV90:GO90)</f>
        <v>0</v>
      </c>
      <c r="GQ90" s="447">
        <f>I90-GP90</f>
        <v>1792</v>
      </c>
      <c r="GR90" s="225">
        <f>H90</f>
        <v>2440</v>
      </c>
      <c r="GS90" s="362">
        <f>G90</f>
        <v>1004</v>
      </c>
      <c r="GT90" s="240">
        <f>D90</f>
        <v>1120</v>
      </c>
      <c r="GU90" s="866"/>
      <c r="GV90" s="520"/>
    </row>
    <row r="91" spans="1:205" ht="15.75" customHeight="1" thickBot="1" x14ac:dyDescent="0.35">
      <c r="A91" s="1315" t="s">
        <v>75</v>
      </c>
      <c r="B91" s="1315"/>
      <c r="H91" s="322">
        <f>SUM(H86:H90)</f>
        <v>23474</v>
      </c>
      <c r="I91" s="124">
        <f>SUM(I86:I90)</f>
        <v>19146</v>
      </c>
      <c r="CG91" s="18"/>
      <c r="GH91" s="18"/>
      <c r="GI91" s="18"/>
      <c r="GM91" s="18"/>
      <c r="GO91" s="314"/>
      <c r="GP91" s="64"/>
      <c r="GQ91" s="31">
        <f>SUM(GQ86:GQ90)</f>
        <v>19146</v>
      </c>
      <c r="GR91" s="216">
        <f>SUM(GR86:GR90)</f>
        <v>23474</v>
      </c>
      <c r="GS91" s="31">
        <f>SUM(GS86:GS90)</f>
        <v>4935</v>
      </c>
      <c r="GT91" s="31"/>
      <c r="GU91" s="227"/>
      <c r="GV91" s="619"/>
    </row>
    <row r="92" spans="1:205" ht="15.9" customHeight="1" thickBot="1" x14ac:dyDescent="0.35">
      <c r="A92" s="46"/>
      <c r="B92" s="409" t="s">
        <v>427</v>
      </c>
      <c r="C92" s="410"/>
      <c r="D92" s="81">
        <v>78.540000000000006</v>
      </c>
      <c r="E92" s="1185">
        <v>111.5</v>
      </c>
      <c r="F92" s="1185">
        <f>2.5+63</f>
        <v>65.5</v>
      </c>
      <c r="G92" s="667">
        <f>ROUND(AVERAGE(D92:F92),2)</f>
        <v>85.18</v>
      </c>
      <c r="H92" s="323"/>
      <c r="I92" s="125">
        <v>17</v>
      </c>
      <c r="J92" s="867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  <c r="AA92" s="247"/>
      <c r="AB92" s="247"/>
      <c r="AC92" s="247"/>
      <c r="AD92" s="247"/>
      <c r="AE92" s="247"/>
      <c r="AF92" s="247"/>
      <c r="AG92" s="247"/>
      <c r="AH92" s="247"/>
      <c r="AI92" s="247"/>
      <c r="AJ92" s="247"/>
      <c r="AK92" s="247"/>
      <c r="AL92" s="247"/>
      <c r="AM92" s="247"/>
      <c r="AN92" s="247"/>
      <c r="AO92" s="247"/>
      <c r="AP92" s="247"/>
      <c r="AQ92" s="247"/>
      <c r="AR92" s="247"/>
      <c r="AS92" s="247"/>
      <c r="AT92" s="247"/>
      <c r="AU92" s="247"/>
      <c r="AV92" s="247"/>
      <c r="AW92" s="247"/>
      <c r="AX92" s="247"/>
      <c r="AY92" s="247"/>
      <c r="AZ92" s="247"/>
      <c r="BA92" s="247"/>
      <c r="BB92" s="247"/>
      <c r="BC92" s="247"/>
      <c r="BD92" s="247"/>
      <c r="BE92" s="247"/>
      <c r="BF92" s="247"/>
      <c r="BG92" s="247"/>
      <c r="BH92" s="247"/>
      <c r="BI92" s="247"/>
      <c r="BJ92" s="161"/>
      <c r="BK92" s="867"/>
      <c r="BL92" s="247"/>
      <c r="BM92" s="247"/>
      <c r="BN92" s="247"/>
      <c r="BO92" s="247"/>
      <c r="BP92" s="247"/>
      <c r="BQ92" s="247"/>
      <c r="BR92" s="247"/>
      <c r="BS92" s="247"/>
      <c r="BT92" s="247"/>
      <c r="BU92" s="247"/>
      <c r="BV92" s="247"/>
      <c r="BW92" s="247"/>
      <c r="BX92" s="247"/>
      <c r="BY92" s="247"/>
      <c r="BZ92" s="247"/>
      <c r="CA92" s="247"/>
      <c r="CB92" s="247"/>
      <c r="CC92" s="247"/>
      <c r="CD92" s="247"/>
      <c r="CE92" s="247"/>
      <c r="CF92" s="247"/>
      <c r="CG92" s="247"/>
      <c r="CH92" s="247"/>
      <c r="CI92" s="247"/>
      <c r="CJ92" s="247"/>
      <c r="CK92" s="247"/>
      <c r="CL92" s="247"/>
      <c r="CM92" s="247"/>
      <c r="CN92" s="247"/>
      <c r="CO92" s="247"/>
      <c r="CP92" s="247"/>
      <c r="CQ92" s="247"/>
      <c r="CR92" s="247"/>
      <c r="CS92" s="43"/>
      <c r="CT92" s="47"/>
      <c r="CU92" s="43"/>
      <c r="CV92" s="43"/>
      <c r="CW92" s="247"/>
      <c r="CX92" s="247"/>
      <c r="CY92" s="247"/>
      <c r="CZ92" s="247"/>
      <c r="DA92" s="247"/>
      <c r="DB92" s="247"/>
      <c r="DC92" s="247"/>
      <c r="DD92" s="247"/>
      <c r="DE92" s="247"/>
      <c r="DF92" s="247"/>
      <c r="DG92" s="247"/>
      <c r="DH92" s="247"/>
      <c r="DI92" s="247"/>
      <c r="DJ92" s="247"/>
      <c r="DK92" s="247"/>
      <c r="DL92" s="247"/>
      <c r="DM92" s="247"/>
      <c r="DN92" s="247"/>
      <c r="DO92" s="247"/>
      <c r="DP92" s="247"/>
      <c r="DQ92" s="247"/>
      <c r="DR92" s="247"/>
      <c r="DS92" s="521"/>
      <c r="DT92" s="868"/>
      <c r="DU92" s="247"/>
      <c r="DV92" s="247"/>
      <c r="DW92" s="247"/>
      <c r="DX92" s="247"/>
      <c r="DY92" s="247"/>
      <c r="DZ92" s="247"/>
      <c r="EA92" s="247"/>
      <c r="EB92" s="247"/>
      <c r="EC92" s="247"/>
      <c r="ED92" s="247"/>
      <c r="EE92" s="247"/>
      <c r="EF92" s="247"/>
      <c r="EG92" s="247"/>
      <c r="EH92" s="247"/>
      <c r="EI92" s="247"/>
      <c r="EJ92" s="247"/>
      <c r="EK92" s="247"/>
      <c r="EL92" s="247"/>
      <c r="EM92" s="247"/>
      <c r="EN92" s="247"/>
      <c r="EO92" s="247"/>
      <c r="EP92" s="247"/>
      <c r="EQ92" s="247"/>
      <c r="ER92" s="247"/>
      <c r="ES92" s="247"/>
      <c r="ET92" s="247"/>
      <c r="EU92" s="247"/>
      <c r="EV92" s="247"/>
      <c r="EW92" s="247"/>
      <c r="EX92" s="247"/>
      <c r="EY92" s="247"/>
      <c r="EZ92" s="43"/>
      <c r="FA92" s="43"/>
      <c r="FB92" s="247"/>
      <c r="FC92" s="247"/>
      <c r="FD92" s="247"/>
      <c r="FE92" s="247"/>
      <c r="FF92" s="247"/>
      <c r="FG92" s="247"/>
      <c r="FH92" s="247"/>
      <c r="FI92" s="247"/>
      <c r="FJ92" s="247"/>
      <c r="FK92" s="247"/>
      <c r="FL92" s="247"/>
      <c r="FM92" s="247"/>
      <c r="FN92" s="247"/>
      <c r="FO92" s="247"/>
      <c r="FP92" s="247"/>
      <c r="FQ92" s="247"/>
      <c r="FR92" s="247"/>
      <c r="FS92" s="247"/>
      <c r="FT92" s="247"/>
      <c r="FU92" s="423"/>
      <c r="FV92" s="869"/>
      <c r="FW92" s="259"/>
      <c r="FX92" s="247"/>
      <c r="FY92" s="247"/>
      <c r="FZ92" s="247"/>
      <c r="GA92" s="247"/>
      <c r="GB92" s="247"/>
      <c r="GC92" s="247"/>
      <c r="GD92" s="247"/>
      <c r="GE92" s="247"/>
      <c r="GF92" s="247"/>
      <c r="GG92" s="247"/>
      <c r="GH92" s="247"/>
      <c r="GI92" s="78"/>
      <c r="GJ92" s="247"/>
      <c r="GK92" s="43"/>
      <c r="GL92" s="43"/>
      <c r="GM92" s="43"/>
      <c r="GN92" s="44"/>
      <c r="GO92" s="441"/>
      <c r="GP92" s="350">
        <f>SUM(FV92:GO92)</f>
        <v>0</v>
      </c>
      <c r="GQ92" s="349"/>
      <c r="GR92" s="217"/>
      <c r="GS92" s="80"/>
      <c r="GT92" s="163"/>
      <c r="GU92" s="35"/>
      <c r="GV92" s="227"/>
    </row>
    <row r="93" spans="1:205" ht="15.9" customHeight="1" thickBot="1" x14ac:dyDescent="0.35">
      <c r="A93" s="46"/>
      <c r="B93" s="409" t="s">
        <v>563</v>
      </c>
      <c r="C93" s="410"/>
      <c r="D93" s="81"/>
      <c r="E93" s="1185"/>
      <c r="F93" s="1185">
        <v>4.5</v>
      </c>
      <c r="G93" s="667">
        <f>ROUND(AVERAGE(D93:F93),2)</f>
        <v>4.5</v>
      </c>
      <c r="H93" s="323"/>
      <c r="I93" s="125">
        <v>77.5</v>
      </c>
      <c r="J93" s="86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  <c r="AA93" s="247"/>
      <c r="AB93" s="247"/>
      <c r="AC93" s="247"/>
      <c r="AD93" s="247"/>
      <c r="AE93" s="247"/>
      <c r="AF93" s="247"/>
      <c r="AG93" s="247"/>
      <c r="AH93" s="247"/>
      <c r="AI93" s="247"/>
      <c r="AJ93" s="247"/>
      <c r="AK93" s="247"/>
      <c r="AL93" s="247"/>
      <c r="AM93" s="247"/>
      <c r="AN93" s="247"/>
      <c r="AO93" s="247"/>
      <c r="AP93" s="247"/>
      <c r="AQ93" s="247"/>
      <c r="AR93" s="247"/>
      <c r="AS93" s="247"/>
      <c r="AT93" s="247"/>
      <c r="AU93" s="247"/>
      <c r="AV93" s="247"/>
      <c r="AW93" s="247"/>
      <c r="AX93" s="247"/>
      <c r="AY93" s="247"/>
      <c r="AZ93" s="247"/>
      <c r="BA93" s="247"/>
      <c r="BB93" s="247"/>
      <c r="BC93" s="247"/>
      <c r="BD93" s="247"/>
      <c r="BE93" s="247"/>
      <c r="BF93" s="247"/>
      <c r="BG93" s="247"/>
      <c r="BH93" s="247"/>
      <c r="BI93" s="247"/>
      <c r="BJ93" s="161"/>
      <c r="BK93" s="867"/>
      <c r="BL93" s="247"/>
      <c r="BM93" s="247"/>
      <c r="BN93" s="247"/>
      <c r="BO93" s="247"/>
      <c r="BP93" s="247"/>
      <c r="BQ93" s="247"/>
      <c r="BR93" s="247"/>
      <c r="BS93" s="247"/>
      <c r="BT93" s="247"/>
      <c r="BU93" s="247"/>
      <c r="BV93" s="247"/>
      <c r="BW93" s="247"/>
      <c r="BX93" s="247"/>
      <c r="BY93" s="247"/>
      <c r="BZ93" s="247"/>
      <c r="CA93" s="247"/>
      <c r="CB93" s="247"/>
      <c r="CC93" s="247"/>
      <c r="CD93" s="247"/>
      <c r="CE93" s="247"/>
      <c r="CF93" s="247"/>
      <c r="CG93" s="247"/>
      <c r="CH93" s="247"/>
      <c r="CI93" s="247"/>
      <c r="CJ93" s="247"/>
      <c r="CK93" s="247"/>
      <c r="CL93" s="247"/>
      <c r="CM93" s="247"/>
      <c r="CN93" s="247"/>
      <c r="CO93" s="247"/>
      <c r="CP93" s="247"/>
      <c r="CQ93" s="247"/>
      <c r="CR93" s="247"/>
      <c r="CS93" s="43"/>
      <c r="CT93" s="47"/>
      <c r="CU93" s="43"/>
      <c r="CV93" s="43"/>
      <c r="CW93" s="247"/>
      <c r="CX93" s="247"/>
      <c r="CY93" s="247"/>
      <c r="CZ93" s="247"/>
      <c r="DA93" s="247"/>
      <c r="DB93" s="247"/>
      <c r="DC93" s="247"/>
      <c r="DD93" s="247"/>
      <c r="DE93" s="247"/>
      <c r="DF93" s="247"/>
      <c r="DG93" s="247"/>
      <c r="DH93" s="247"/>
      <c r="DI93" s="247"/>
      <c r="DJ93" s="247"/>
      <c r="DK93" s="247"/>
      <c r="DL93" s="247"/>
      <c r="DM93" s="247"/>
      <c r="DN93" s="247"/>
      <c r="DO93" s="247"/>
      <c r="DP93" s="247"/>
      <c r="DQ93" s="247"/>
      <c r="DR93" s="247"/>
      <c r="DS93" s="521"/>
      <c r="DT93" s="868"/>
      <c r="DU93" s="247"/>
      <c r="DV93" s="247"/>
      <c r="DW93" s="247"/>
      <c r="DX93" s="247"/>
      <c r="DY93" s="247"/>
      <c r="DZ93" s="247"/>
      <c r="EA93" s="247"/>
      <c r="EB93" s="247"/>
      <c r="EC93" s="247"/>
      <c r="ED93" s="247"/>
      <c r="EE93" s="247"/>
      <c r="EF93" s="247"/>
      <c r="EG93" s="247"/>
      <c r="EH93" s="247"/>
      <c r="EI93" s="247"/>
      <c r="EJ93" s="247"/>
      <c r="EK93" s="247"/>
      <c r="EL93" s="247"/>
      <c r="EM93" s="247"/>
      <c r="EN93" s="247"/>
      <c r="EO93" s="247"/>
      <c r="EP93" s="247"/>
      <c r="EQ93" s="247"/>
      <c r="ER93" s="247"/>
      <c r="ES93" s="247"/>
      <c r="ET93" s="247"/>
      <c r="EU93" s="247"/>
      <c r="EV93" s="247"/>
      <c r="EW93" s="247"/>
      <c r="EX93" s="247"/>
      <c r="EY93" s="247"/>
      <c r="EZ93" s="43"/>
      <c r="FA93" s="43"/>
      <c r="FB93" s="247"/>
      <c r="FC93" s="247"/>
      <c r="FD93" s="247"/>
      <c r="FE93" s="247"/>
      <c r="FF93" s="247"/>
      <c r="FG93" s="247"/>
      <c r="FH93" s="247"/>
      <c r="FI93" s="247"/>
      <c r="FJ93" s="247"/>
      <c r="FK93" s="247"/>
      <c r="FL93" s="247"/>
      <c r="FM93" s="247"/>
      <c r="FN93" s="247"/>
      <c r="FO93" s="247"/>
      <c r="FP93" s="247"/>
      <c r="FQ93" s="247"/>
      <c r="FR93" s="247"/>
      <c r="FS93" s="247"/>
      <c r="FT93" s="247"/>
      <c r="FU93" s="423"/>
      <c r="FV93" s="869"/>
      <c r="FW93" s="259"/>
      <c r="FX93" s="247"/>
      <c r="FY93" s="247"/>
      <c r="FZ93" s="247"/>
      <c r="GA93" s="247"/>
      <c r="GB93" s="247"/>
      <c r="GC93" s="247"/>
      <c r="GD93" s="247"/>
      <c r="GE93" s="247"/>
      <c r="GF93" s="247"/>
      <c r="GG93" s="247"/>
      <c r="GH93" s="247"/>
      <c r="GI93" s="78"/>
      <c r="GJ93" s="247"/>
      <c r="GK93" s="43"/>
      <c r="GL93" s="43"/>
      <c r="GM93" s="43"/>
      <c r="GN93" s="44"/>
      <c r="GO93" s="441"/>
      <c r="GP93" s="350">
        <f>SUM(FV93:GO93)</f>
        <v>0</v>
      </c>
      <c r="GQ93" s="349"/>
      <c r="GR93" s="217"/>
      <c r="GS93" s="80"/>
      <c r="GT93" s="163"/>
      <c r="GU93" s="35"/>
      <c r="GV93" s="227"/>
    </row>
    <row r="94" spans="1:205" customFormat="1" x14ac:dyDescent="0.3">
      <c r="CR94" s="169"/>
      <c r="DF94" s="169"/>
      <c r="GW94" s="951"/>
    </row>
    <row r="95" spans="1:205" customFormat="1" ht="15" thickBot="1" x14ac:dyDescent="0.35">
      <c r="C95" s="1337">
        <f>H7</f>
        <v>46082</v>
      </c>
      <c r="D95" s="1338"/>
      <c r="E95" s="1338"/>
      <c r="F95" s="1338"/>
      <c r="CR95" s="169"/>
      <c r="DF95" s="169"/>
      <c r="GW95" s="951"/>
    </row>
    <row r="96" spans="1:205" customFormat="1" ht="29.25" customHeight="1" thickBot="1" x14ac:dyDescent="0.35">
      <c r="B96" s="874" t="s">
        <v>439</v>
      </c>
      <c r="C96" s="872" t="s">
        <v>67</v>
      </c>
      <c r="D96" s="873" t="s">
        <v>168</v>
      </c>
      <c r="E96" s="873" t="s">
        <v>169</v>
      </c>
      <c r="F96" s="873" t="s">
        <v>436</v>
      </c>
      <c r="G96" s="918" t="s">
        <v>44</v>
      </c>
      <c r="H96" s="921"/>
      <c r="I96" s="921"/>
      <c r="CR96" s="169"/>
      <c r="DF96" s="169"/>
      <c r="GW96" s="951"/>
    </row>
    <row r="97" spans="1:205" customFormat="1" ht="18" customHeight="1" x14ac:dyDescent="0.3">
      <c r="A97" s="1335" t="s">
        <v>438</v>
      </c>
      <c r="B97" s="927" t="s">
        <v>432</v>
      </c>
      <c r="C97" s="880">
        <v>0</v>
      </c>
      <c r="D97" s="880"/>
      <c r="E97" s="880"/>
      <c r="F97" s="908"/>
      <c r="G97" s="917">
        <f>SUM(C97:F97)</f>
        <v>0</v>
      </c>
      <c r="H97" s="921"/>
      <c r="I97" s="921"/>
      <c r="CR97" s="169"/>
      <c r="DF97" s="169"/>
      <c r="GW97" s="951"/>
    </row>
    <row r="98" spans="1:205" customFormat="1" ht="18" customHeight="1" x14ac:dyDescent="0.3">
      <c r="A98" s="1336"/>
      <c r="B98" s="870" t="s">
        <v>433</v>
      </c>
      <c r="C98" s="881">
        <v>0</v>
      </c>
      <c r="D98" s="881"/>
      <c r="E98" s="881"/>
      <c r="F98" s="909"/>
      <c r="G98" s="912">
        <f t="shared" ref="G98:G104" si="60">SUM(C98:F98)</f>
        <v>0</v>
      </c>
      <c r="H98" s="921"/>
      <c r="I98" s="921"/>
      <c r="CR98" s="169"/>
      <c r="DF98" s="169"/>
      <c r="GW98" s="951"/>
    </row>
    <row r="99" spans="1:205" customFormat="1" ht="18" customHeight="1" x14ac:dyDescent="0.3">
      <c r="A99" s="1336"/>
      <c r="B99" s="871" t="s">
        <v>434</v>
      </c>
      <c r="C99" s="881">
        <v>0</v>
      </c>
      <c r="D99" s="881"/>
      <c r="E99" s="881"/>
      <c r="F99" s="909">
        <v>27850</v>
      </c>
      <c r="G99" s="912">
        <f t="shared" si="60"/>
        <v>27850</v>
      </c>
      <c r="H99" s="921"/>
      <c r="I99" s="921"/>
      <c r="CR99" s="169"/>
      <c r="DF99" s="169"/>
      <c r="GW99" s="951"/>
    </row>
    <row r="100" spans="1:205" customFormat="1" ht="18" customHeight="1" x14ac:dyDescent="0.3">
      <c r="A100" s="1336"/>
      <c r="B100" s="925" t="s">
        <v>435</v>
      </c>
      <c r="C100" s="881">
        <v>0</v>
      </c>
      <c r="D100" s="981">
        <v>6415</v>
      </c>
      <c r="E100" s="881">
        <f>700+5821</f>
        <v>6521</v>
      </c>
      <c r="F100" s="909">
        <v>40000</v>
      </c>
      <c r="G100" s="912">
        <f t="shared" si="60"/>
        <v>52936</v>
      </c>
      <c r="H100" s="921"/>
      <c r="I100" s="921"/>
      <c r="CR100" s="169"/>
      <c r="DF100" s="169"/>
      <c r="GW100" s="951"/>
    </row>
    <row r="101" spans="1:205" customFormat="1" ht="18" customHeight="1" x14ac:dyDescent="0.3">
      <c r="A101" s="1336"/>
      <c r="B101" s="926" t="s">
        <v>196</v>
      </c>
      <c r="C101" s="881">
        <v>0</v>
      </c>
      <c r="D101" s="981"/>
      <c r="E101" s="881"/>
      <c r="F101" s="909"/>
      <c r="G101" s="912">
        <f t="shared" si="60"/>
        <v>0</v>
      </c>
      <c r="H101" s="921"/>
      <c r="I101" s="921"/>
      <c r="CR101" s="169"/>
      <c r="DF101" s="169"/>
      <c r="GW101" s="951"/>
    </row>
    <row r="102" spans="1:205" customFormat="1" ht="18" customHeight="1" x14ac:dyDescent="0.3">
      <c r="A102" s="1336"/>
      <c r="B102" s="925" t="s">
        <v>448</v>
      </c>
      <c r="C102" s="881">
        <v>0</v>
      </c>
      <c r="D102" s="982"/>
      <c r="E102" s="906">
        <f>4+162+29</f>
        <v>195</v>
      </c>
      <c r="F102" s="910"/>
      <c r="G102" s="912">
        <f t="shared" si="60"/>
        <v>195</v>
      </c>
      <c r="H102" s="921"/>
      <c r="I102" s="921"/>
      <c r="CR102" s="169"/>
      <c r="DF102" s="169"/>
      <c r="GW102" s="951"/>
    </row>
    <row r="103" spans="1:205" customFormat="1" ht="18" customHeight="1" thickBot="1" x14ac:dyDescent="0.35">
      <c r="A103" s="1336"/>
      <c r="B103" s="905" t="s">
        <v>437</v>
      </c>
      <c r="C103" s="911">
        <v>5000</v>
      </c>
      <c r="D103" s="982">
        <v>5969</v>
      </c>
      <c r="E103" s="906">
        <v>2896</v>
      </c>
      <c r="F103" s="910">
        <v>40000</v>
      </c>
      <c r="G103" s="919">
        <f t="shared" si="60"/>
        <v>53865</v>
      </c>
      <c r="H103" s="921"/>
      <c r="I103" s="921"/>
      <c r="CR103" s="169"/>
      <c r="DF103" s="169"/>
      <c r="GW103" s="951"/>
    </row>
    <row r="104" spans="1:205" customFormat="1" ht="15" thickBot="1" x14ac:dyDescent="0.35">
      <c r="A104" s="914"/>
      <c r="B104" s="915" t="s">
        <v>447</v>
      </c>
      <c r="C104" s="913">
        <v>0</v>
      </c>
      <c r="D104" s="983">
        <v>0</v>
      </c>
      <c r="E104" s="907">
        <v>0</v>
      </c>
      <c r="F104" s="907"/>
      <c r="G104" s="920">
        <f t="shared" si="60"/>
        <v>0</v>
      </c>
      <c r="H104" s="921"/>
      <c r="I104" s="921"/>
      <c r="CR104" s="169"/>
      <c r="DF104" s="169"/>
      <c r="GW104" s="951"/>
    </row>
    <row r="105" spans="1:205" customFormat="1" x14ac:dyDescent="0.3">
      <c r="H105" s="921"/>
      <c r="I105" s="921"/>
      <c r="CR105" s="169"/>
      <c r="DF105" s="169"/>
      <c r="GW105" s="951"/>
    </row>
    <row r="106" spans="1:205" customFormat="1" x14ac:dyDescent="0.3">
      <c r="H106" s="921"/>
      <c r="I106" s="921"/>
      <c r="CR106" s="169"/>
      <c r="DF106" s="169"/>
      <c r="GW106" s="951"/>
    </row>
    <row r="107" spans="1:205" customFormat="1" x14ac:dyDescent="0.3">
      <c r="CN107" s="169"/>
      <c r="CP107" s="169"/>
      <c r="CQ107" s="169"/>
      <c r="CR107" s="169"/>
      <c r="DF107" s="169"/>
      <c r="GW107" s="951"/>
    </row>
    <row r="108" spans="1:205" customFormat="1" x14ac:dyDescent="0.3">
      <c r="CN108" s="169"/>
      <c r="CP108" s="169"/>
      <c r="CQ108" s="169"/>
      <c r="CR108" s="169"/>
      <c r="DF108" s="169"/>
      <c r="GW108" s="951"/>
    </row>
    <row r="109" spans="1:205" customFormat="1" x14ac:dyDescent="0.3">
      <c r="CN109" s="169"/>
      <c r="CP109" s="169"/>
      <c r="CQ109" s="169"/>
      <c r="CR109" s="169"/>
      <c r="DF109" s="169"/>
      <c r="GW109" s="951"/>
    </row>
    <row r="110" spans="1:205" customFormat="1" x14ac:dyDescent="0.3">
      <c r="CN110" s="169"/>
      <c r="CP110" s="169"/>
      <c r="CQ110" s="169"/>
      <c r="CR110" s="169"/>
      <c r="DF110" s="169"/>
      <c r="GW110" s="951"/>
    </row>
    <row r="111" spans="1:205" customFormat="1" x14ac:dyDescent="0.3">
      <c r="CN111" s="169"/>
      <c r="DF111" s="169"/>
      <c r="GW111" s="951"/>
    </row>
    <row r="112" spans="1:205" customFormat="1" x14ac:dyDescent="0.3">
      <c r="CN112" s="169"/>
      <c r="DF112" s="169"/>
      <c r="GW112" s="951"/>
    </row>
    <row r="113" spans="84:205" customFormat="1" x14ac:dyDescent="0.3">
      <c r="CN113" s="169"/>
      <c r="DF113" s="169"/>
      <c r="GW113" s="951"/>
    </row>
    <row r="114" spans="84:205" customFormat="1" x14ac:dyDescent="0.3">
      <c r="CN114" s="169"/>
      <c r="DF114" s="169"/>
      <c r="GW114" s="951"/>
    </row>
    <row r="115" spans="84:205" customFormat="1" x14ac:dyDescent="0.3">
      <c r="CN115" s="169"/>
      <c r="DF115" s="169"/>
      <c r="GW115" s="951"/>
    </row>
    <row r="116" spans="84:205" customFormat="1" x14ac:dyDescent="0.3">
      <c r="CN116" s="169"/>
      <c r="DF116" s="169"/>
      <c r="GW116" s="951"/>
    </row>
    <row r="117" spans="84:205" customFormat="1" x14ac:dyDescent="0.3">
      <c r="CN117" s="169"/>
      <c r="DF117" s="169"/>
      <c r="GW117" s="951"/>
    </row>
    <row r="118" spans="84:205" customFormat="1" x14ac:dyDescent="0.3">
      <c r="CN118" s="169"/>
      <c r="DF118" s="169"/>
      <c r="GW118" s="951"/>
    </row>
    <row r="119" spans="84:205" customFormat="1" x14ac:dyDescent="0.3">
      <c r="CN119" s="169"/>
      <c r="DF119" s="169"/>
      <c r="GW119" s="951"/>
    </row>
    <row r="120" spans="84:205" customFormat="1" x14ac:dyDescent="0.3">
      <c r="CN120" s="169"/>
      <c r="CX120" s="169"/>
      <c r="DF120" s="169"/>
      <c r="GW120" s="951"/>
    </row>
    <row r="121" spans="84:205" customFormat="1" x14ac:dyDescent="0.3">
      <c r="CN121" s="169"/>
      <c r="CX121" s="169"/>
      <c r="DF121" s="169"/>
      <c r="GW121" s="951"/>
    </row>
    <row r="122" spans="84:205" customFormat="1" x14ac:dyDescent="0.3">
      <c r="CF122" s="169"/>
      <c r="CG122" s="169"/>
      <c r="CH122" s="169"/>
      <c r="CI122" s="169"/>
      <c r="CJ122" s="169"/>
      <c r="CN122" s="169"/>
      <c r="CX122" s="169"/>
      <c r="DF122" s="169"/>
      <c r="FB122" s="169"/>
      <c r="GW122" s="951"/>
    </row>
    <row r="123" spans="84:205" customFormat="1" x14ac:dyDescent="0.3">
      <c r="CF123" s="169"/>
      <c r="CG123" s="169"/>
      <c r="CH123" s="169"/>
      <c r="CI123" s="169"/>
      <c r="CJ123" s="169"/>
      <c r="CN123" s="169"/>
      <c r="CX123" s="169"/>
      <c r="DF123" s="169"/>
      <c r="FB123" s="169"/>
      <c r="GW123" s="951"/>
    </row>
    <row r="124" spans="84:205" customFormat="1" x14ac:dyDescent="0.3">
      <c r="CF124" s="169"/>
      <c r="CG124" s="169"/>
      <c r="CH124" s="169"/>
      <c r="CI124" s="169"/>
      <c r="CJ124" s="169"/>
      <c r="CN124" s="169"/>
      <c r="CX124" s="169"/>
      <c r="DF124" s="169"/>
      <c r="FB124" s="169"/>
      <c r="GW124" s="951"/>
    </row>
    <row r="125" spans="84:205" customFormat="1" x14ac:dyDescent="0.3">
      <c r="CF125" s="169"/>
      <c r="CG125" s="169"/>
      <c r="CH125" s="169"/>
      <c r="CI125" s="169"/>
      <c r="CJ125" s="169"/>
      <c r="CN125" s="169"/>
      <c r="CX125" s="169"/>
      <c r="DF125" s="169"/>
      <c r="FB125" s="169"/>
      <c r="GW125" s="951"/>
    </row>
    <row r="126" spans="84:205" customFormat="1" x14ac:dyDescent="0.3">
      <c r="CF126" s="169"/>
      <c r="CG126" s="169"/>
      <c r="CH126" s="169"/>
      <c r="CI126" s="169"/>
      <c r="CJ126" s="169"/>
      <c r="CN126" s="169"/>
      <c r="CX126" s="169"/>
      <c r="DF126" s="169"/>
      <c r="FB126" s="169"/>
      <c r="GW126" s="951"/>
    </row>
    <row r="127" spans="84:205" customFormat="1" x14ac:dyDescent="0.3">
      <c r="CF127" s="169"/>
      <c r="CG127" s="169"/>
      <c r="CH127" s="169"/>
      <c r="CI127" s="169"/>
      <c r="CJ127" s="169"/>
      <c r="CN127" s="169"/>
      <c r="CX127" s="169"/>
      <c r="DF127" s="169"/>
      <c r="FB127" s="169"/>
      <c r="GW127" s="951"/>
    </row>
    <row r="128" spans="84:205" customFormat="1" x14ac:dyDescent="0.3">
      <c r="CF128" s="169"/>
      <c r="CG128" s="169"/>
      <c r="CH128" s="169"/>
      <c r="CI128" s="169"/>
      <c r="CJ128" s="169"/>
      <c r="CN128" s="169"/>
      <c r="CX128" s="169"/>
      <c r="DF128" s="169"/>
      <c r="FB128" s="169"/>
      <c r="GW128" s="951"/>
    </row>
    <row r="129" spans="84:205" customFormat="1" x14ac:dyDescent="0.3">
      <c r="CF129" s="169"/>
      <c r="CG129" s="169"/>
      <c r="CH129" s="169"/>
      <c r="CI129" s="169"/>
      <c r="CJ129" s="169"/>
      <c r="CN129" s="169"/>
      <c r="CX129" s="169"/>
      <c r="DF129" s="169"/>
      <c r="FB129" s="169"/>
      <c r="GW129" s="951"/>
    </row>
    <row r="130" spans="84:205" customFormat="1" x14ac:dyDescent="0.3">
      <c r="CF130" s="169"/>
      <c r="CG130" s="169"/>
      <c r="CH130" s="169"/>
      <c r="CI130" s="169"/>
      <c r="CJ130" s="169"/>
      <c r="CN130" s="169"/>
      <c r="CX130" s="169"/>
      <c r="FB130" s="169"/>
      <c r="GW130" s="951"/>
    </row>
    <row r="131" spans="84:205" customFormat="1" x14ac:dyDescent="0.3">
      <c r="CF131" s="169"/>
      <c r="CG131" s="169"/>
      <c r="CH131" s="169"/>
      <c r="CI131" s="169"/>
      <c r="CJ131" s="169"/>
      <c r="CN131" s="169"/>
      <c r="CX131" s="169"/>
      <c r="FB131" s="169"/>
      <c r="GW131" s="951"/>
    </row>
    <row r="132" spans="84:205" customFormat="1" x14ac:dyDescent="0.3">
      <c r="CF132" s="169"/>
      <c r="CG132" s="169"/>
      <c r="CH132" s="169"/>
      <c r="CI132" s="169"/>
      <c r="CJ132" s="169"/>
      <c r="CN132" s="169"/>
      <c r="CX132" s="169"/>
      <c r="FB132" s="169"/>
      <c r="GW132" s="951"/>
    </row>
    <row r="133" spans="84:205" customFormat="1" x14ac:dyDescent="0.3">
      <c r="CF133" s="169"/>
      <c r="CG133" s="169"/>
      <c r="CH133" s="169"/>
      <c r="CI133" s="169"/>
      <c r="CJ133" s="169"/>
      <c r="CN133" s="169"/>
      <c r="CX133" s="169"/>
      <c r="FB133" s="169"/>
      <c r="GW133" s="951"/>
    </row>
    <row r="134" spans="84:205" customFormat="1" x14ac:dyDescent="0.3">
      <c r="CF134" s="169"/>
      <c r="CG134" s="169"/>
      <c r="CH134" s="169"/>
      <c r="CI134" s="169"/>
      <c r="CJ134" s="169"/>
      <c r="CN134" s="169"/>
      <c r="CX134" s="169"/>
      <c r="FB134" s="169"/>
      <c r="GW134" s="951"/>
    </row>
    <row r="135" spans="84:205" customFormat="1" x14ac:dyDescent="0.3">
      <c r="CF135" s="169"/>
      <c r="CG135" s="169"/>
      <c r="CH135" s="169"/>
      <c r="CI135" s="169"/>
      <c r="CJ135" s="169"/>
      <c r="CN135" s="169"/>
      <c r="CX135" s="169"/>
      <c r="FB135" s="169"/>
      <c r="GW135" s="951"/>
    </row>
    <row r="136" spans="84:205" customFormat="1" x14ac:dyDescent="0.3">
      <c r="CF136" s="169"/>
      <c r="CG136" s="169"/>
      <c r="CH136" s="169"/>
      <c r="CI136" s="169"/>
      <c r="CJ136" s="169"/>
      <c r="CN136" s="169"/>
      <c r="CX136" s="169"/>
      <c r="FB136" s="169"/>
      <c r="GW136" s="951"/>
    </row>
    <row r="137" spans="84:205" customFormat="1" x14ac:dyDescent="0.3">
      <c r="CF137" s="169"/>
      <c r="CG137" s="169"/>
      <c r="CH137" s="169"/>
      <c r="CI137" s="169"/>
      <c r="CJ137" s="169"/>
      <c r="CN137" s="169"/>
      <c r="CX137" s="169"/>
      <c r="FB137" s="169"/>
      <c r="GW137" s="951"/>
    </row>
    <row r="138" spans="84:205" customFormat="1" x14ac:dyDescent="0.3">
      <c r="CF138" s="169"/>
      <c r="CG138" s="169"/>
      <c r="CH138" s="169"/>
      <c r="CI138" s="169"/>
      <c r="CJ138" s="169"/>
      <c r="CN138" s="169"/>
      <c r="CX138" s="169"/>
      <c r="FB138" s="169"/>
      <c r="GW138" s="951"/>
    </row>
    <row r="139" spans="84:205" customFormat="1" x14ac:dyDescent="0.3">
      <c r="CF139" s="169"/>
      <c r="CG139" s="169"/>
      <c r="CH139" s="169"/>
      <c r="CI139" s="169"/>
      <c r="CJ139" s="169"/>
      <c r="CN139" s="169"/>
      <c r="CX139" s="169"/>
      <c r="FB139" s="169"/>
      <c r="GW139" s="951"/>
    </row>
    <row r="140" spans="84:205" customFormat="1" x14ac:dyDescent="0.3">
      <c r="CF140" s="169"/>
      <c r="CG140" s="169"/>
      <c r="CH140" s="169"/>
      <c r="CI140" s="169"/>
      <c r="CJ140" s="169"/>
      <c r="CM140" s="169"/>
      <c r="CN140" s="169"/>
      <c r="CX140" s="169"/>
      <c r="FB140" s="169"/>
      <c r="GW140" s="951"/>
    </row>
    <row r="141" spans="84:205" customFormat="1" x14ac:dyDescent="0.3">
      <c r="CF141" s="169"/>
      <c r="CG141" s="169"/>
      <c r="CH141" s="169"/>
      <c r="CI141" s="169"/>
      <c r="CJ141" s="169"/>
      <c r="CM141" s="169"/>
      <c r="CN141" s="169"/>
      <c r="CX141" s="169"/>
      <c r="DB141" s="169"/>
      <c r="FB141" s="169"/>
      <c r="GW141" s="951"/>
    </row>
    <row r="142" spans="84:205" customFormat="1" x14ac:dyDescent="0.3">
      <c r="CF142" s="169"/>
      <c r="CG142" s="169"/>
      <c r="CH142" s="169"/>
      <c r="CI142" s="169"/>
      <c r="CJ142" s="169"/>
      <c r="CM142" s="169"/>
      <c r="CN142" s="169"/>
      <c r="CX142" s="169"/>
      <c r="DB142" s="169"/>
      <c r="FB142" s="169"/>
      <c r="GW142" s="951"/>
    </row>
    <row r="143" spans="84:205" customFormat="1" x14ac:dyDescent="0.3">
      <c r="CF143" s="169"/>
      <c r="CG143" s="169"/>
      <c r="CH143" s="169"/>
      <c r="CI143" s="169"/>
      <c r="CJ143" s="169"/>
      <c r="CM143" s="169"/>
      <c r="CN143" s="169"/>
      <c r="CX143" s="169"/>
      <c r="DB143" s="169"/>
      <c r="FB143" s="169"/>
      <c r="GW143" s="951"/>
    </row>
    <row r="144" spans="84:205" customFormat="1" x14ac:dyDescent="0.3">
      <c r="CF144" s="169"/>
      <c r="CG144" s="169"/>
      <c r="CH144" s="169"/>
      <c r="CI144" s="169"/>
      <c r="CJ144" s="169"/>
      <c r="CM144" s="169"/>
      <c r="CN144" s="169"/>
      <c r="CX144" s="169"/>
      <c r="DB144" s="169"/>
      <c r="FB144" s="169"/>
      <c r="GW144" s="951"/>
    </row>
    <row r="145" spans="84:205" customFormat="1" x14ac:dyDescent="0.3">
      <c r="CF145" s="169"/>
      <c r="CG145" s="169"/>
      <c r="CH145" s="169"/>
      <c r="CI145" s="169"/>
      <c r="CJ145" s="169"/>
      <c r="CM145" s="169"/>
      <c r="CN145" s="169"/>
      <c r="CX145" s="169"/>
      <c r="DB145" s="169"/>
      <c r="FB145" s="169"/>
      <c r="GW145" s="951"/>
    </row>
    <row r="146" spans="84:205" customFormat="1" x14ac:dyDescent="0.3">
      <c r="CF146" s="169"/>
      <c r="CG146" s="169"/>
      <c r="CH146" s="169"/>
      <c r="CI146" s="169"/>
      <c r="CJ146" s="169"/>
      <c r="CM146" s="169"/>
      <c r="CN146" s="169"/>
      <c r="CX146" s="169"/>
      <c r="DB146" s="169"/>
      <c r="FB146" s="169"/>
      <c r="GW146" s="951"/>
    </row>
    <row r="147" spans="84:205" customFormat="1" x14ac:dyDescent="0.3">
      <c r="CF147" s="169"/>
      <c r="CG147" s="169"/>
      <c r="CH147" s="169"/>
      <c r="CI147" s="169"/>
      <c r="CJ147" s="169"/>
      <c r="CK147" s="169"/>
      <c r="CL147" s="169"/>
      <c r="CM147" s="169"/>
      <c r="CN147" s="169"/>
      <c r="CX147" s="169"/>
      <c r="CY147" s="169"/>
      <c r="DA147" s="169"/>
      <c r="DB147" s="169"/>
      <c r="DC147" s="169"/>
      <c r="DX147" s="169"/>
      <c r="EX147" s="169"/>
      <c r="FB147" s="169"/>
      <c r="GE147" s="169"/>
      <c r="GW147" s="951"/>
    </row>
    <row r="148" spans="84:205" customFormat="1" x14ac:dyDescent="0.3">
      <c r="CF148" s="169"/>
      <c r="CG148" s="169"/>
      <c r="CH148" s="169"/>
      <c r="CI148" s="169"/>
      <c r="CJ148" s="169"/>
      <c r="CK148" s="169"/>
      <c r="CL148" s="169"/>
      <c r="CM148" s="169"/>
      <c r="CN148" s="169"/>
      <c r="CX148" s="169"/>
      <c r="CY148" s="169"/>
      <c r="DA148" s="169"/>
      <c r="DB148" s="169"/>
      <c r="DC148" s="169"/>
      <c r="DX148" s="169"/>
      <c r="EX148" s="169"/>
      <c r="FB148" s="169"/>
      <c r="GE148" s="169"/>
      <c r="GW148" s="951"/>
    </row>
    <row r="149" spans="84:205" customFormat="1" x14ac:dyDescent="0.3">
      <c r="CF149" s="169"/>
      <c r="CG149" s="169"/>
      <c r="CH149" s="169"/>
      <c r="CI149" s="169"/>
      <c r="CJ149" s="169"/>
      <c r="CK149" s="169"/>
      <c r="CL149" s="169"/>
      <c r="CM149" s="169"/>
      <c r="CN149" s="169"/>
      <c r="CX149" s="169"/>
      <c r="CY149" s="169"/>
      <c r="DA149" s="169"/>
      <c r="DB149" s="169"/>
      <c r="DC149" s="169"/>
      <c r="DX149" s="169"/>
      <c r="EX149" s="169"/>
      <c r="FB149" s="169"/>
      <c r="GE149" s="169"/>
      <c r="GW149" s="951"/>
    </row>
    <row r="150" spans="84:205" customFormat="1" x14ac:dyDescent="0.3">
      <c r="CF150" s="169"/>
      <c r="CG150" s="169"/>
      <c r="CH150" s="169"/>
      <c r="CI150" s="169"/>
      <c r="CJ150" s="169"/>
      <c r="CK150" s="169"/>
      <c r="CL150" s="169"/>
      <c r="CM150" s="169"/>
      <c r="CN150" s="169"/>
      <c r="CX150" s="169"/>
      <c r="CY150" s="169"/>
      <c r="DA150" s="169"/>
      <c r="DB150" s="169"/>
      <c r="DC150" s="169"/>
      <c r="DX150" s="169"/>
      <c r="EX150" s="169"/>
      <c r="FB150" s="169"/>
      <c r="GE150" s="169"/>
      <c r="GW150" s="951"/>
    </row>
    <row r="151" spans="84:205" customFormat="1" x14ac:dyDescent="0.3">
      <c r="CF151" s="169"/>
      <c r="CG151" s="169"/>
      <c r="CH151" s="169"/>
      <c r="CI151" s="169"/>
      <c r="CJ151" s="169"/>
      <c r="CK151" s="169"/>
      <c r="CL151" s="169"/>
      <c r="CM151" s="169"/>
      <c r="CN151" s="169"/>
      <c r="CX151" s="169"/>
      <c r="CY151" s="169"/>
      <c r="DA151" s="169"/>
      <c r="DB151" s="169"/>
      <c r="DC151" s="169"/>
      <c r="DX151" s="169"/>
      <c r="EX151" s="169"/>
      <c r="FB151" s="169"/>
      <c r="GE151" s="169"/>
      <c r="GW151" s="951"/>
    </row>
    <row r="152" spans="84:205" customFormat="1" x14ac:dyDescent="0.3">
      <c r="CF152" s="169"/>
      <c r="CG152" s="169"/>
      <c r="CH152" s="169"/>
      <c r="CI152" s="169"/>
      <c r="CJ152" s="169"/>
      <c r="CK152" s="169"/>
      <c r="CL152" s="169"/>
      <c r="CM152" s="169"/>
      <c r="CN152" s="169"/>
      <c r="CX152" s="169"/>
      <c r="CY152" s="169"/>
      <c r="DA152" s="169"/>
      <c r="DB152" s="169"/>
      <c r="DC152" s="169"/>
      <c r="DX152" s="169"/>
      <c r="EX152" s="169"/>
      <c r="FB152" s="169"/>
      <c r="GE152" s="169"/>
      <c r="GW152" s="951"/>
    </row>
    <row r="153" spans="84:205" customFormat="1" x14ac:dyDescent="0.3">
      <c r="CF153" s="169"/>
      <c r="CG153" s="169"/>
      <c r="CH153" s="169"/>
      <c r="CI153" s="169"/>
      <c r="CJ153" s="169"/>
      <c r="CK153" s="169"/>
      <c r="CL153" s="169"/>
      <c r="CM153" s="169"/>
      <c r="CN153" s="169"/>
      <c r="CX153" s="169"/>
      <c r="CY153" s="169"/>
      <c r="DA153" s="169"/>
      <c r="DB153" s="169"/>
      <c r="DC153" s="169"/>
      <c r="DX153" s="169"/>
      <c r="EX153" s="169"/>
      <c r="FB153" s="169"/>
      <c r="GE153" s="169"/>
      <c r="GW153" s="951"/>
    </row>
    <row r="154" spans="84:205" customFormat="1" x14ac:dyDescent="0.3">
      <c r="CF154" s="169"/>
      <c r="CG154" s="169"/>
      <c r="CH154" s="169"/>
      <c r="CI154" s="169"/>
      <c r="CJ154" s="169"/>
      <c r="CK154" s="169"/>
      <c r="CL154" s="169"/>
      <c r="CM154" s="169"/>
      <c r="CN154" s="169"/>
      <c r="CX154" s="169"/>
      <c r="CY154" s="169"/>
      <c r="DA154" s="169"/>
      <c r="DB154" s="169"/>
      <c r="DC154" s="169"/>
      <c r="DX154" s="169"/>
      <c r="EX154" s="169"/>
      <c r="FB154" s="169"/>
      <c r="GE154" s="169"/>
      <c r="GW154" s="951"/>
    </row>
    <row r="155" spans="84:205" customFormat="1" x14ac:dyDescent="0.3">
      <c r="CF155" s="169"/>
      <c r="CG155" s="169"/>
      <c r="CH155" s="169"/>
      <c r="CI155" s="169"/>
      <c r="CK155" s="169"/>
      <c r="CL155" s="169"/>
      <c r="CM155" s="169"/>
      <c r="CN155" s="169"/>
      <c r="CX155" s="169"/>
      <c r="CY155" s="169"/>
      <c r="DA155" s="169"/>
      <c r="DB155" s="169"/>
      <c r="DC155" s="169"/>
      <c r="DX155" s="169"/>
      <c r="FB155" s="169"/>
      <c r="GE155" s="169"/>
      <c r="GW155" s="951"/>
    </row>
    <row r="156" spans="84:205" customFormat="1" x14ac:dyDescent="0.3">
      <c r="CF156" s="169"/>
      <c r="CG156" s="169"/>
      <c r="CH156" s="169"/>
      <c r="CI156" s="169"/>
      <c r="CK156" s="169"/>
      <c r="CL156" s="169"/>
      <c r="CM156" s="169"/>
      <c r="CN156" s="169"/>
      <c r="CX156" s="169"/>
      <c r="CY156" s="169"/>
      <c r="DA156" s="169"/>
      <c r="DB156" s="169"/>
      <c r="DC156" s="169"/>
      <c r="DX156" s="169"/>
      <c r="FB156" s="169"/>
      <c r="GE156" s="169"/>
      <c r="GW156" s="951"/>
    </row>
    <row r="157" spans="84:205" customFormat="1" x14ac:dyDescent="0.3">
      <c r="CF157" s="169"/>
      <c r="CG157" s="169"/>
      <c r="CH157" s="169"/>
      <c r="CI157" s="169"/>
      <c r="CK157" s="169"/>
      <c r="CL157" s="169"/>
      <c r="CM157" s="169"/>
      <c r="CN157" s="169"/>
      <c r="CX157" s="169"/>
      <c r="CY157" s="169"/>
      <c r="DA157" s="169"/>
      <c r="DB157" s="169"/>
      <c r="DC157" s="169"/>
      <c r="DX157" s="169"/>
      <c r="FB157" s="169"/>
      <c r="GE157" s="169"/>
      <c r="GW157" s="951"/>
    </row>
    <row r="158" spans="84:205" customFormat="1" x14ac:dyDescent="0.3">
      <c r="CF158" s="169"/>
      <c r="CG158" s="169"/>
      <c r="CH158" s="169"/>
      <c r="CI158" s="169"/>
      <c r="CK158" s="169"/>
      <c r="CL158" s="169"/>
      <c r="CM158" s="169"/>
      <c r="CN158" s="169"/>
      <c r="CX158" s="169"/>
      <c r="CY158" s="169"/>
      <c r="DA158" s="169"/>
      <c r="DB158" s="169"/>
      <c r="DC158" s="169"/>
      <c r="DX158" s="169"/>
      <c r="FB158" s="169"/>
      <c r="GE158" s="169"/>
      <c r="GW158" s="951"/>
    </row>
    <row r="159" spans="84:205" customFormat="1" x14ac:dyDescent="0.3">
      <c r="CF159" s="169"/>
      <c r="CG159" s="169"/>
      <c r="CH159" s="169"/>
      <c r="CI159" s="169"/>
      <c r="CK159" s="169"/>
      <c r="CL159" s="169"/>
      <c r="CM159" s="169"/>
      <c r="CN159" s="169"/>
      <c r="CX159" s="169"/>
      <c r="CY159" s="169"/>
      <c r="DA159" s="169"/>
      <c r="DB159" s="169"/>
      <c r="DC159" s="169"/>
      <c r="DX159" s="169"/>
      <c r="FB159" s="169"/>
      <c r="GE159" s="169"/>
      <c r="GW159" s="951"/>
    </row>
    <row r="160" spans="84:205" customFormat="1" x14ac:dyDescent="0.3">
      <c r="CF160" s="169"/>
      <c r="CG160" s="169"/>
      <c r="CH160" s="169"/>
      <c r="CI160" s="169"/>
      <c r="CK160" s="169"/>
      <c r="CL160" s="169"/>
      <c r="CM160" s="169"/>
      <c r="CN160" s="169"/>
      <c r="CX160" s="169"/>
      <c r="CY160" s="169"/>
      <c r="DA160" s="169"/>
      <c r="DB160" s="169"/>
      <c r="DC160" s="169"/>
      <c r="DX160" s="169"/>
      <c r="FB160" s="169"/>
      <c r="GE160" s="169"/>
      <c r="GW160" s="951"/>
    </row>
    <row r="161" spans="84:205" customFormat="1" x14ac:dyDescent="0.3">
      <c r="CF161" s="169"/>
      <c r="CG161" s="169"/>
      <c r="CH161" s="169"/>
      <c r="CI161" s="169"/>
      <c r="CK161" s="169"/>
      <c r="CL161" s="169"/>
      <c r="CM161" s="169"/>
      <c r="CN161" s="169"/>
      <c r="CX161" s="169"/>
      <c r="CY161" s="169"/>
      <c r="CZ161" s="169"/>
      <c r="DA161" s="169"/>
      <c r="DB161" s="169"/>
      <c r="DC161" s="169"/>
      <c r="DX161" s="169"/>
      <c r="FB161" s="169"/>
      <c r="GE161" s="169"/>
      <c r="GW161" s="951"/>
    </row>
    <row r="162" spans="84:205" customFormat="1" x14ac:dyDescent="0.3">
      <c r="CF162" s="169"/>
      <c r="CG162" s="169"/>
      <c r="CH162" s="169"/>
      <c r="CI162" s="169"/>
      <c r="CK162" s="169"/>
      <c r="CL162" s="169"/>
      <c r="CM162" s="169"/>
      <c r="CN162" s="169"/>
      <c r="CX162" s="169"/>
      <c r="CY162" s="169"/>
      <c r="CZ162" s="169"/>
      <c r="DA162" s="169"/>
      <c r="DB162" s="169"/>
      <c r="DC162" s="169"/>
      <c r="DX162" s="169"/>
      <c r="FB162" s="169"/>
      <c r="GE162" s="169"/>
      <c r="GW162" s="951"/>
    </row>
    <row r="163" spans="84:205" customFormat="1" x14ac:dyDescent="0.3">
      <c r="CK163" s="169"/>
      <c r="CL163" s="169"/>
      <c r="CM163" s="169"/>
      <c r="CN163" s="169"/>
      <c r="CX163" s="169"/>
      <c r="CY163" s="169"/>
      <c r="GW163" s="951"/>
    </row>
    <row r="164" spans="84:205" customFormat="1" x14ac:dyDescent="0.3">
      <c r="CK164" s="169"/>
      <c r="CL164" s="169"/>
      <c r="CM164" s="169"/>
      <c r="CN164" s="169"/>
      <c r="CX164" s="169"/>
      <c r="CY164" s="169"/>
      <c r="GW164" s="951"/>
    </row>
    <row r="165" spans="84:205" customFormat="1" x14ac:dyDescent="0.3">
      <c r="CK165" s="169"/>
      <c r="CL165" s="169"/>
      <c r="CM165" s="169"/>
      <c r="CN165" s="169"/>
      <c r="CX165" s="169"/>
      <c r="CY165" s="169"/>
      <c r="GW165" s="951"/>
    </row>
    <row r="166" spans="84:205" customFormat="1" x14ac:dyDescent="0.3">
      <c r="CK166" s="169"/>
      <c r="CL166" s="169"/>
      <c r="CM166" s="169"/>
      <c r="CN166" s="169"/>
      <c r="CX166" s="169"/>
      <c r="CY166" s="169"/>
      <c r="GW166" s="951"/>
    </row>
    <row r="167" spans="84:205" customFormat="1" x14ac:dyDescent="0.3">
      <c r="CK167" s="169"/>
      <c r="CL167" s="169"/>
      <c r="CM167" s="169"/>
      <c r="CN167" s="169"/>
      <c r="CX167" s="169"/>
      <c r="CY167" s="169"/>
      <c r="GW167" s="951"/>
    </row>
    <row r="168" spans="84:205" customFormat="1" x14ac:dyDescent="0.3">
      <c r="CK168" s="169"/>
      <c r="CL168" s="169"/>
      <c r="CM168" s="169"/>
      <c r="CN168" s="169"/>
      <c r="CX168" s="169"/>
      <c r="CY168" s="169"/>
      <c r="DM168" s="169"/>
      <c r="DN168" s="169"/>
      <c r="DZ168" s="169"/>
      <c r="EA168" s="169"/>
      <c r="EB168" s="169"/>
      <c r="EK168" s="169"/>
      <c r="EL168" s="169"/>
      <c r="EM168" s="169"/>
      <c r="FA168" s="169"/>
      <c r="FB168" s="169"/>
      <c r="FC168" s="169"/>
      <c r="FD168" s="169"/>
      <c r="FG168" s="169"/>
      <c r="FH168" s="169"/>
      <c r="FI168" s="169"/>
      <c r="FZ168" s="169"/>
      <c r="GA168" s="169"/>
      <c r="GB168" s="169"/>
      <c r="GF168" s="169"/>
      <c r="GW168" s="951"/>
    </row>
    <row r="169" spans="84:205" customFormat="1" x14ac:dyDescent="0.3">
      <c r="CK169" s="169"/>
      <c r="CL169" s="169"/>
      <c r="CM169" s="169"/>
      <c r="CN169" s="169"/>
      <c r="CX169" s="169"/>
      <c r="CY169" s="169"/>
      <c r="DM169" s="169"/>
      <c r="DN169" s="169"/>
      <c r="DZ169" s="169"/>
      <c r="EA169" s="169"/>
      <c r="EB169" s="169"/>
      <c r="EK169" s="169"/>
      <c r="EL169" s="169"/>
      <c r="EM169" s="169"/>
      <c r="FA169" s="169"/>
      <c r="FB169" s="169"/>
      <c r="FC169" s="169"/>
      <c r="FD169" s="169"/>
      <c r="FG169" s="169"/>
      <c r="FH169" s="169"/>
      <c r="FI169" s="169"/>
      <c r="FZ169" s="169"/>
      <c r="GA169" s="169"/>
      <c r="GB169" s="169"/>
      <c r="GC169" s="169"/>
      <c r="GF169" s="169"/>
      <c r="GW169" s="951"/>
    </row>
    <row r="170" spans="84:205" customFormat="1" x14ac:dyDescent="0.3">
      <c r="CK170" s="169"/>
      <c r="CL170" s="169"/>
      <c r="CM170" s="169"/>
      <c r="CN170" s="169"/>
      <c r="CX170" s="169"/>
      <c r="CY170" s="169"/>
      <c r="DM170" s="169"/>
      <c r="DN170" s="169"/>
      <c r="DZ170" s="169"/>
      <c r="EA170" s="169"/>
      <c r="EB170" s="169"/>
      <c r="EK170" s="169"/>
      <c r="EL170" s="169"/>
      <c r="EM170" s="169"/>
      <c r="FA170" s="169"/>
      <c r="FB170" s="169"/>
      <c r="FC170" s="169"/>
      <c r="FD170" s="169"/>
      <c r="FG170" s="169"/>
      <c r="FH170" s="169"/>
      <c r="FI170" s="169"/>
      <c r="FZ170" s="169"/>
      <c r="GA170" s="169"/>
      <c r="GB170" s="169"/>
      <c r="GC170" s="169"/>
      <c r="GF170" s="169"/>
      <c r="GW170" s="951"/>
    </row>
    <row r="171" spans="84:205" customFormat="1" x14ac:dyDescent="0.3">
      <c r="CK171" s="169"/>
      <c r="CL171" s="169"/>
      <c r="CM171" s="169"/>
      <c r="CN171" s="169"/>
      <c r="DM171" s="169"/>
      <c r="DN171" s="169"/>
      <c r="DZ171" s="169"/>
      <c r="EA171" s="169"/>
      <c r="EB171" s="169"/>
      <c r="FA171" s="169"/>
      <c r="FB171" s="169"/>
      <c r="FC171" s="169"/>
      <c r="FD171" s="169"/>
      <c r="FG171" s="169"/>
      <c r="FH171" s="169"/>
      <c r="FI171" s="169"/>
      <c r="FZ171" s="169"/>
      <c r="GA171" s="169"/>
      <c r="GB171" s="169"/>
      <c r="GC171" s="169"/>
      <c r="GF171" s="169"/>
      <c r="GW171" s="951"/>
    </row>
    <row r="172" spans="84:205" customFormat="1" x14ac:dyDescent="0.3">
      <c r="CK172" s="169"/>
      <c r="CL172" s="169"/>
      <c r="CM172" s="169"/>
      <c r="CN172" s="169"/>
      <c r="DM172" s="169"/>
      <c r="DN172" s="169"/>
      <c r="DZ172" s="169"/>
      <c r="EA172" s="169"/>
      <c r="EB172" s="169"/>
      <c r="FA172" s="169"/>
      <c r="FB172" s="169"/>
      <c r="FC172" s="169"/>
      <c r="FD172" s="169"/>
      <c r="FG172" s="169"/>
      <c r="FH172" s="169"/>
      <c r="FI172" s="169"/>
      <c r="FZ172" s="169"/>
      <c r="GA172" s="169"/>
      <c r="GB172" s="169"/>
      <c r="GC172" s="169"/>
      <c r="GF172" s="169"/>
      <c r="GW172" s="951"/>
    </row>
    <row r="173" spans="84:205" customFormat="1" x14ac:dyDescent="0.3">
      <c r="CK173" s="169"/>
      <c r="CL173" s="169"/>
      <c r="CM173" s="169"/>
      <c r="CN173" s="169"/>
      <c r="DM173" s="169"/>
      <c r="DN173" s="169"/>
      <c r="DZ173" s="169"/>
      <c r="EA173" s="169"/>
      <c r="EB173" s="169"/>
      <c r="FA173" s="169"/>
      <c r="FB173" s="169"/>
      <c r="FC173" s="169"/>
      <c r="FD173" s="169"/>
      <c r="FG173" s="169"/>
      <c r="FH173" s="169"/>
      <c r="FI173" s="169"/>
      <c r="FZ173" s="169"/>
      <c r="GA173" s="169"/>
      <c r="GB173" s="169"/>
      <c r="GC173" s="169"/>
      <c r="GF173" s="169"/>
      <c r="GW173" s="951"/>
    </row>
    <row r="174" spans="84:205" customFormat="1" x14ac:dyDescent="0.3">
      <c r="CK174" s="169"/>
      <c r="CL174" s="169"/>
      <c r="CM174" s="169"/>
      <c r="CN174" s="169"/>
      <c r="DM174" s="169"/>
      <c r="DN174" s="169"/>
      <c r="DZ174" s="169"/>
      <c r="EA174" s="169"/>
      <c r="EB174" s="169"/>
      <c r="FA174" s="169"/>
      <c r="FB174" s="169"/>
      <c r="FC174" s="169"/>
      <c r="FD174" s="169"/>
      <c r="FG174" s="169"/>
      <c r="FH174" s="169"/>
      <c r="FI174" s="169"/>
      <c r="FZ174" s="169"/>
      <c r="GA174" s="169"/>
      <c r="GB174" s="169"/>
      <c r="GC174" s="169"/>
      <c r="GF174" s="169"/>
      <c r="GW174" s="951"/>
    </row>
    <row r="175" spans="84:205" customFormat="1" x14ac:dyDescent="0.3">
      <c r="CK175" s="169"/>
      <c r="CL175" s="169"/>
      <c r="CM175" s="169"/>
      <c r="CN175" s="169"/>
      <c r="DM175" s="169"/>
      <c r="DN175" s="169"/>
      <c r="DZ175" s="169"/>
      <c r="EA175" s="169"/>
      <c r="EB175" s="169"/>
      <c r="FA175" s="169"/>
      <c r="FB175" s="169"/>
      <c r="FC175" s="169"/>
      <c r="FD175" s="169"/>
      <c r="FG175" s="169"/>
      <c r="FH175" s="169"/>
      <c r="FI175" s="169"/>
      <c r="FZ175" s="169"/>
      <c r="GA175" s="169"/>
      <c r="GB175" s="169"/>
      <c r="GC175" s="169"/>
      <c r="GF175" s="169"/>
      <c r="GW175" s="951"/>
    </row>
    <row r="176" spans="84:205" customFormat="1" x14ac:dyDescent="0.3">
      <c r="CK176" s="169"/>
      <c r="CL176" s="169"/>
      <c r="CM176" s="169"/>
      <c r="CN176" s="169"/>
      <c r="DM176" s="169"/>
      <c r="DN176" s="169"/>
      <c r="DZ176" s="169"/>
      <c r="EA176" s="169"/>
      <c r="EB176" s="169"/>
      <c r="FA176" s="169"/>
      <c r="FB176" s="169"/>
      <c r="FC176" s="169"/>
      <c r="FD176" s="169"/>
      <c r="FG176" s="169"/>
      <c r="FH176" s="169"/>
      <c r="FI176" s="169"/>
      <c r="FZ176" s="169"/>
      <c r="GA176" s="169"/>
      <c r="GB176" s="169"/>
      <c r="GC176" s="169"/>
      <c r="GF176" s="169"/>
      <c r="GW176" s="951"/>
    </row>
    <row r="177" spans="89:205" customFormat="1" x14ac:dyDescent="0.3">
      <c r="CK177" s="169"/>
      <c r="CL177" s="169"/>
      <c r="CM177" s="169"/>
      <c r="CN177" s="169"/>
      <c r="DM177" s="169"/>
      <c r="DN177" s="169"/>
      <c r="DZ177" s="169"/>
      <c r="EA177" s="169"/>
      <c r="EB177" s="169"/>
      <c r="FG177" s="169"/>
      <c r="FH177" s="169"/>
      <c r="FI177" s="169"/>
      <c r="FZ177" s="169"/>
      <c r="GA177" s="169"/>
      <c r="GB177" s="169"/>
      <c r="GC177" s="169"/>
      <c r="GF177" s="169"/>
      <c r="GW177" s="951"/>
    </row>
    <row r="178" spans="89:205" customFormat="1" x14ac:dyDescent="0.3">
      <c r="CK178" s="169"/>
      <c r="CL178" s="169"/>
      <c r="CM178" s="169"/>
      <c r="CN178" s="169"/>
      <c r="DM178" s="169"/>
      <c r="DN178" s="169"/>
      <c r="DZ178" s="169"/>
      <c r="EA178" s="169"/>
      <c r="EB178" s="169"/>
      <c r="FG178" s="169"/>
      <c r="FH178" s="169"/>
      <c r="FI178" s="169"/>
      <c r="FZ178" s="169"/>
      <c r="GA178" s="169"/>
      <c r="GB178" s="169"/>
      <c r="GC178" s="169"/>
      <c r="GF178" s="169"/>
      <c r="GW178" s="951"/>
    </row>
    <row r="179" spans="89:205" customFormat="1" x14ac:dyDescent="0.3">
      <c r="DZ179" s="169"/>
      <c r="EA179" s="169"/>
      <c r="EB179" s="169"/>
      <c r="FG179" s="169"/>
      <c r="FH179" s="169"/>
      <c r="FI179" s="169"/>
      <c r="FZ179" s="169"/>
      <c r="GA179" s="169"/>
      <c r="GB179" s="169"/>
      <c r="GC179" s="169"/>
      <c r="GD179" s="169"/>
      <c r="GE179" s="169"/>
      <c r="GF179" s="169"/>
      <c r="GW179" s="951"/>
    </row>
    <row r="180" spans="89:205" customFormat="1" x14ac:dyDescent="0.3">
      <c r="DZ180" s="169"/>
      <c r="EA180" s="169"/>
      <c r="EB180" s="169"/>
      <c r="FG180" s="169"/>
      <c r="FH180" s="169"/>
      <c r="FI180" s="169"/>
      <c r="FZ180" s="169"/>
      <c r="GA180" s="169"/>
      <c r="GB180" s="169"/>
      <c r="GC180" s="169"/>
      <c r="GD180" s="169"/>
      <c r="GE180" s="169"/>
      <c r="GF180" s="169"/>
      <c r="GW180" s="951"/>
    </row>
    <row r="181" spans="89:205" customFormat="1" x14ac:dyDescent="0.3">
      <c r="DZ181" s="169"/>
      <c r="EA181" s="169"/>
      <c r="EB181" s="169"/>
      <c r="FG181" s="169"/>
      <c r="FH181" s="169"/>
      <c r="FI181" s="169"/>
      <c r="FZ181" s="169"/>
      <c r="GA181" s="169"/>
      <c r="GB181" s="169"/>
      <c r="GC181" s="169"/>
      <c r="GD181" s="169"/>
      <c r="GE181" s="169"/>
      <c r="GF181" s="169"/>
      <c r="GW181" s="951"/>
    </row>
    <row r="182" spans="89:205" customFormat="1" x14ac:dyDescent="0.3">
      <c r="DZ182" s="169"/>
      <c r="EA182" s="169"/>
      <c r="EB182" s="169"/>
      <c r="FG182" s="169"/>
      <c r="FH182" s="169"/>
      <c r="FI182" s="169"/>
      <c r="FZ182" s="169"/>
      <c r="GA182" s="169"/>
      <c r="GB182" s="169"/>
      <c r="GC182" s="169"/>
      <c r="GD182" s="169"/>
      <c r="GE182" s="169"/>
      <c r="GF182" s="169"/>
      <c r="GW182" s="951"/>
    </row>
    <row r="183" spans="89:205" customFormat="1" x14ac:dyDescent="0.3">
      <c r="DZ183" s="169"/>
      <c r="EA183" s="169"/>
      <c r="EB183" s="169"/>
      <c r="FG183" s="169"/>
      <c r="FH183" s="169"/>
      <c r="FI183" s="169"/>
      <c r="FZ183" s="169"/>
      <c r="GA183" s="169"/>
      <c r="GB183" s="169"/>
      <c r="GC183" s="169"/>
      <c r="GD183" s="169"/>
      <c r="GE183" s="169"/>
      <c r="GF183" s="169"/>
      <c r="GW183" s="951"/>
    </row>
    <row r="184" spans="89:205" customFormat="1" x14ac:dyDescent="0.3">
      <c r="DZ184" s="169"/>
      <c r="EA184" s="169"/>
      <c r="EB184" s="169"/>
      <c r="FG184" s="169"/>
      <c r="FH184" s="169"/>
      <c r="FI184" s="169"/>
      <c r="FZ184" s="169"/>
      <c r="GA184" s="169"/>
      <c r="GB184" s="169"/>
      <c r="GC184" s="169"/>
      <c r="GD184" s="169"/>
      <c r="GE184" s="169"/>
      <c r="GF184" s="169"/>
      <c r="GW184" s="951"/>
    </row>
    <row r="185" spans="89:205" customFormat="1" x14ac:dyDescent="0.3">
      <c r="DZ185" s="169"/>
      <c r="EA185" s="169"/>
      <c r="EB185" s="169"/>
      <c r="FG185" s="169"/>
      <c r="FH185" s="169"/>
      <c r="FI185" s="169"/>
      <c r="FZ185" s="169"/>
      <c r="GA185" s="169"/>
      <c r="GB185" s="169"/>
      <c r="GC185" s="169"/>
      <c r="GD185" s="169"/>
      <c r="GE185" s="169"/>
      <c r="GF185" s="169"/>
      <c r="GW185" s="951"/>
    </row>
    <row r="186" spans="89:205" customFormat="1" x14ac:dyDescent="0.3">
      <c r="DZ186" s="169"/>
      <c r="EA186" s="169"/>
      <c r="EB186" s="169"/>
      <c r="FG186" s="169"/>
      <c r="FH186" s="169"/>
      <c r="FI186" s="169"/>
      <c r="FZ186" s="169"/>
      <c r="GA186" s="169"/>
      <c r="GB186" s="169"/>
      <c r="GC186" s="169"/>
      <c r="GD186" s="169"/>
      <c r="GE186" s="169"/>
      <c r="GF186" s="169"/>
      <c r="GW186" s="951"/>
    </row>
    <row r="187" spans="89:205" customFormat="1" x14ac:dyDescent="0.3">
      <c r="DZ187" s="169"/>
      <c r="EA187" s="169"/>
      <c r="EB187" s="169"/>
      <c r="FG187" s="169"/>
      <c r="FH187" s="169"/>
      <c r="FI187" s="169"/>
      <c r="FZ187" s="169"/>
      <c r="GA187" s="169"/>
      <c r="GB187" s="169"/>
      <c r="GC187" s="169"/>
      <c r="GD187" s="169"/>
      <c r="GE187" s="169"/>
      <c r="GF187" s="169"/>
      <c r="GW187" s="951"/>
    </row>
    <row r="188" spans="89:205" customFormat="1" x14ac:dyDescent="0.3">
      <c r="DZ188" s="169"/>
      <c r="EA188" s="169"/>
      <c r="EB188" s="169"/>
      <c r="FG188" s="169"/>
      <c r="FH188" s="169"/>
      <c r="FI188" s="169"/>
      <c r="FZ188" s="169"/>
      <c r="GA188" s="169"/>
      <c r="GB188" s="169"/>
      <c r="GC188" s="169"/>
      <c r="GD188" s="169"/>
      <c r="GE188" s="169"/>
      <c r="GF188" s="169"/>
      <c r="GG188" s="169"/>
      <c r="GW188" s="951"/>
    </row>
    <row r="189" spans="89:205" customFormat="1" x14ac:dyDescent="0.3">
      <c r="DZ189" s="169"/>
      <c r="EA189" s="169"/>
      <c r="EB189" s="169"/>
      <c r="FG189" s="169"/>
      <c r="FH189" s="169"/>
      <c r="FI189" s="169"/>
      <c r="FZ189" s="169"/>
      <c r="GA189" s="169"/>
      <c r="GB189" s="169"/>
      <c r="GC189" s="169"/>
      <c r="GD189" s="169"/>
      <c r="GE189" s="169"/>
      <c r="GF189" s="169"/>
      <c r="GG189" s="169"/>
      <c r="GW189" s="951"/>
    </row>
    <row r="190" spans="89:205" customFormat="1" x14ac:dyDescent="0.3">
      <c r="DZ190" s="169"/>
      <c r="EA190" s="169"/>
      <c r="EB190" s="169"/>
      <c r="FG190" s="169"/>
      <c r="FH190" s="169"/>
      <c r="FI190" s="169"/>
      <c r="FZ190" s="169"/>
      <c r="GA190" s="169"/>
      <c r="GB190" s="169"/>
      <c r="GC190" s="169"/>
      <c r="GD190" s="169"/>
      <c r="GE190" s="169"/>
      <c r="GF190" s="169"/>
      <c r="GG190" s="169"/>
      <c r="GW190" s="951"/>
    </row>
    <row r="191" spans="89:205" customFormat="1" x14ac:dyDescent="0.3">
      <c r="DZ191" s="169"/>
      <c r="EA191" s="169"/>
      <c r="EB191" s="169"/>
      <c r="FG191" s="169"/>
      <c r="FH191" s="169"/>
      <c r="FI191" s="169"/>
      <c r="FZ191" s="169"/>
      <c r="GA191" s="169"/>
      <c r="GB191" s="169"/>
      <c r="GC191" s="169"/>
      <c r="GD191" s="169"/>
      <c r="GE191" s="169"/>
      <c r="GF191" s="169"/>
      <c r="GG191" s="169"/>
      <c r="GW191" s="951"/>
    </row>
    <row r="192" spans="89:205" customFormat="1" x14ac:dyDescent="0.3">
      <c r="DZ192" s="169"/>
      <c r="EA192" s="169"/>
      <c r="EB192" s="169"/>
      <c r="FG192" s="169"/>
      <c r="FH192" s="169"/>
      <c r="FI192" s="169"/>
      <c r="FZ192" s="169"/>
      <c r="GA192" s="169"/>
      <c r="GB192" s="169"/>
      <c r="GC192" s="169"/>
      <c r="GD192" s="169"/>
      <c r="GE192" s="169"/>
      <c r="GF192" s="169"/>
      <c r="GG192" s="169"/>
      <c r="GW192" s="951"/>
    </row>
    <row r="193" spans="163:205" customFormat="1" x14ac:dyDescent="0.3">
      <c r="FG193" s="169"/>
      <c r="FH193" s="169"/>
      <c r="FI193" s="169"/>
      <c r="FZ193" s="169"/>
      <c r="GA193" s="169"/>
      <c r="GB193" s="169"/>
      <c r="GC193" s="169"/>
      <c r="GD193" s="169"/>
      <c r="GE193" s="169"/>
      <c r="GF193" s="169"/>
      <c r="GG193" s="169"/>
      <c r="GW193" s="951"/>
    </row>
    <row r="194" spans="163:205" customFormat="1" x14ac:dyDescent="0.3">
      <c r="FG194" s="169"/>
      <c r="FH194" s="169"/>
      <c r="FI194" s="169"/>
      <c r="FZ194" s="169"/>
      <c r="GA194" s="169"/>
      <c r="GB194" s="169"/>
      <c r="GC194" s="169"/>
      <c r="GD194" s="169"/>
      <c r="GE194" s="169"/>
      <c r="GF194" s="169"/>
      <c r="GG194" s="169"/>
      <c r="GW194" s="951"/>
    </row>
    <row r="195" spans="163:205" customFormat="1" x14ac:dyDescent="0.3">
      <c r="FG195" s="169"/>
      <c r="FH195" s="169"/>
      <c r="FI195" s="169"/>
      <c r="FZ195" s="169"/>
      <c r="GA195" s="169"/>
      <c r="GB195" s="169"/>
      <c r="GC195" s="169"/>
      <c r="GD195" s="169"/>
      <c r="GE195" s="169"/>
      <c r="GF195" s="169"/>
      <c r="GG195" s="169"/>
      <c r="GW195" s="951"/>
    </row>
    <row r="196" spans="163:205" customFormat="1" x14ac:dyDescent="0.3">
      <c r="FG196" s="169"/>
      <c r="FH196" s="169"/>
      <c r="FI196" s="169"/>
      <c r="FZ196" s="169"/>
      <c r="GA196" s="169"/>
      <c r="GB196" s="169"/>
      <c r="GC196" s="169"/>
      <c r="GD196" s="169"/>
      <c r="GE196" s="169"/>
      <c r="GF196" s="169"/>
      <c r="GG196" s="169"/>
      <c r="GW196" s="951"/>
    </row>
    <row r="197" spans="163:205" customFormat="1" x14ac:dyDescent="0.3">
      <c r="FG197" s="169"/>
      <c r="FH197" s="169"/>
      <c r="FI197" s="169"/>
      <c r="FZ197" s="169"/>
      <c r="GA197" s="169"/>
      <c r="GB197" s="169"/>
      <c r="GC197" s="169"/>
      <c r="GD197" s="169"/>
      <c r="GE197" s="169"/>
      <c r="GF197" s="169"/>
      <c r="GG197" s="169"/>
      <c r="GW197" s="951"/>
    </row>
    <row r="198" spans="163:205" customFormat="1" x14ac:dyDescent="0.3">
      <c r="FG198" s="169"/>
      <c r="FH198" s="169"/>
      <c r="FI198" s="169"/>
      <c r="FZ198" s="169"/>
      <c r="GA198" s="169"/>
      <c r="GB198" s="169"/>
      <c r="GC198" s="169"/>
      <c r="GD198" s="169"/>
      <c r="GE198" s="169"/>
      <c r="GF198" s="169"/>
      <c r="GG198" s="169"/>
      <c r="GW198" s="951"/>
    </row>
    <row r="199" spans="163:205" customFormat="1" x14ac:dyDescent="0.3">
      <c r="FG199" s="169"/>
      <c r="FH199" s="169"/>
      <c r="FI199" s="169"/>
      <c r="FZ199" s="169"/>
      <c r="GA199" s="169"/>
      <c r="GB199" s="169"/>
      <c r="GC199" s="169"/>
      <c r="GD199" s="169"/>
      <c r="GE199" s="169"/>
      <c r="GF199" s="169"/>
      <c r="GG199" s="169"/>
      <c r="GW199" s="951"/>
    </row>
    <row r="200" spans="163:205" customFormat="1" x14ac:dyDescent="0.3">
      <c r="FG200" s="169"/>
      <c r="FH200" s="169"/>
      <c r="FI200" s="169"/>
      <c r="FZ200" s="169"/>
      <c r="GA200" s="169"/>
      <c r="GB200" s="169"/>
      <c r="GC200" s="169"/>
      <c r="GD200" s="169"/>
      <c r="GE200" s="169"/>
      <c r="GF200" s="169"/>
      <c r="GG200" s="169"/>
      <c r="GW200" s="951"/>
    </row>
    <row r="201" spans="163:205" customFormat="1" x14ac:dyDescent="0.3">
      <c r="FG201" s="169"/>
      <c r="FH201" s="169"/>
      <c r="FI201" s="169"/>
      <c r="FZ201" s="169"/>
      <c r="GA201" s="169"/>
      <c r="GB201" s="169"/>
      <c r="GC201" s="169"/>
      <c r="GD201" s="169"/>
      <c r="GE201" s="169"/>
      <c r="GF201" s="169"/>
      <c r="GG201" s="169"/>
      <c r="GW201" s="951"/>
    </row>
    <row r="202" spans="163:205" customFormat="1" x14ac:dyDescent="0.3">
      <c r="FG202" s="169"/>
      <c r="FH202" s="169"/>
      <c r="FI202" s="169"/>
      <c r="FZ202" s="169"/>
      <c r="GA202" s="169"/>
      <c r="GB202" s="169"/>
      <c r="GC202" s="169"/>
      <c r="GD202" s="169"/>
      <c r="GE202" s="169"/>
      <c r="GF202" s="169"/>
      <c r="GG202" s="169"/>
      <c r="GW202" s="951"/>
    </row>
    <row r="203" spans="163:205" customFormat="1" x14ac:dyDescent="0.3">
      <c r="FG203" s="169"/>
      <c r="FH203" s="169"/>
      <c r="FI203" s="169"/>
      <c r="FZ203" s="169"/>
      <c r="GA203" s="169"/>
      <c r="GB203" s="169"/>
      <c r="GC203" s="169"/>
      <c r="GD203" s="169"/>
      <c r="GE203" s="169"/>
      <c r="GF203" s="169"/>
      <c r="GG203" s="169"/>
      <c r="GW203" s="951"/>
    </row>
    <row r="204" spans="163:205" customFormat="1" x14ac:dyDescent="0.3">
      <c r="FG204" s="169"/>
      <c r="FH204" s="169"/>
      <c r="FI204" s="169"/>
      <c r="FZ204" s="169"/>
      <c r="GA204" s="169"/>
      <c r="GB204" s="169"/>
      <c r="GC204" s="169"/>
      <c r="GD204" s="169"/>
      <c r="GE204" s="169"/>
      <c r="GF204" s="169"/>
      <c r="GG204" s="169"/>
      <c r="GW204" s="951"/>
    </row>
    <row r="205" spans="163:205" customFormat="1" x14ac:dyDescent="0.3">
      <c r="FG205" s="169"/>
      <c r="FH205" s="169"/>
      <c r="FI205" s="169"/>
      <c r="FZ205" s="169"/>
      <c r="GA205" s="169"/>
      <c r="GB205" s="169"/>
      <c r="GC205" s="169"/>
      <c r="GD205" s="169"/>
      <c r="GE205" s="169"/>
      <c r="GF205" s="169"/>
      <c r="GG205" s="169"/>
      <c r="GW205" s="951"/>
    </row>
    <row r="206" spans="163:205" customFormat="1" x14ac:dyDescent="0.3">
      <c r="FG206" s="169"/>
      <c r="FH206" s="169"/>
      <c r="FI206" s="169"/>
      <c r="FZ206" s="169"/>
      <c r="GA206" s="169"/>
      <c r="GB206" s="169"/>
      <c r="GC206" s="169"/>
      <c r="GD206" s="169"/>
      <c r="GE206" s="169"/>
      <c r="GF206" s="169"/>
      <c r="GG206" s="169"/>
      <c r="GW206" s="951"/>
    </row>
    <row r="207" spans="163:205" customFormat="1" x14ac:dyDescent="0.3">
      <c r="FG207" s="169"/>
      <c r="FH207" s="169"/>
      <c r="FI207" s="169"/>
      <c r="FZ207" s="169"/>
      <c r="GA207" s="169"/>
      <c r="GB207" s="169"/>
      <c r="GC207" s="169"/>
      <c r="GD207" s="169"/>
      <c r="GE207" s="169"/>
      <c r="GF207" s="169"/>
      <c r="GG207" s="169"/>
      <c r="GW207" s="951"/>
    </row>
    <row r="208" spans="163:205" customFormat="1" x14ac:dyDescent="0.3">
      <c r="FG208" s="169"/>
      <c r="FH208" s="169"/>
      <c r="FI208" s="169"/>
      <c r="FZ208" s="169"/>
      <c r="GA208" s="169"/>
      <c r="GB208" s="169"/>
      <c r="GC208" s="169"/>
      <c r="GD208" s="169"/>
      <c r="GE208" s="169"/>
      <c r="GF208" s="169"/>
      <c r="GG208" s="169"/>
      <c r="GW208" s="951"/>
    </row>
    <row r="209" spans="163:205" customFormat="1" x14ac:dyDescent="0.3">
      <c r="FG209" s="169"/>
      <c r="FH209" s="169"/>
      <c r="FI209" s="169"/>
      <c r="FZ209" s="169"/>
      <c r="GA209" s="169"/>
      <c r="GB209" s="169"/>
      <c r="GC209" s="169"/>
      <c r="GD209" s="169"/>
      <c r="GE209" s="169"/>
      <c r="GF209" s="169"/>
      <c r="GG209" s="169"/>
      <c r="GW209" s="951"/>
    </row>
    <row r="210" spans="163:205" customFormat="1" x14ac:dyDescent="0.3">
      <c r="FG210" s="169"/>
      <c r="FH210" s="169"/>
      <c r="FI210" s="169"/>
      <c r="FZ210" s="169"/>
      <c r="GA210" s="169"/>
      <c r="GB210" s="169"/>
      <c r="GC210" s="169"/>
      <c r="GD210" s="169"/>
      <c r="GE210" s="169"/>
      <c r="GF210" s="169"/>
      <c r="GG210" s="169"/>
      <c r="GW210" s="951"/>
    </row>
    <row r="211" spans="163:205" customFormat="1" x14ac:dyDescent="0.3">
      <c r="FG211" s="169"/>
      <c r="FH211" s="169"/>
      <c r="FI211" s="169"/>
      <c r="FZ211" s="169"/>
      <c r="GA211" s="169"/>
      <c r="GB211" s="169"/>
      <c r="GC211" s="169"/>
      <c r="GD211" s="169"/>
      <c r="GE211" s="169"/>
      <c r="GF211" s="169"/>
      <c r="GG211" s="169"/>
      <c r="GW211" s="951"/>
    </row>
    <row r="212" spans="163:205" customFormat="1" x14ac:dyDescent="0.3">
      <c r="FG212" s="169"/>
      <c r="FH212" s="169"/>
      <c r="FI212" s="169"/>
      <c r="FZ212" s="169"/>
      <c r="GA212" s="169"/>
      <c r="GB212" s="169"/>
      <c r="GC212" s="169"/>
      <c r="GD212" s="169"/>
      <c r="GE212" s="169"/>
      <c r="GF212" s="169"/>
      <c r="GG212" s="169"/>
      <c r="GW212" s="951"/>
    </row>
    <row r="213" spans="163:205" customFormat="1" x14ac:dyDescent="0.3">
      <c r="FG213" s="169"/>
      <c r="FH213" s="169"/>
      <c r="FI213" s="169"/>
      <c r="FZ213" s="169"/>
      <c r="GA213" s="169"/>
      <c r="GB213" s="169"/>
      <c r="GC213" s="169"/>
      <c r="GD213" s="169"/>
      <c r="GE213" s="169"/>
      <c r="GF213" s="169"/>
      <c r="GG213" s="169"/>
      <c r="GW213" s="951"/>
    </row>
    <row r="214" spans="163:205" customFormat="1" x14ac:dyDescent="0.3">
      <c r="FG214" s="169"/>
      <c r="FH214" s="169"/>
      <c r="FI214" s="169"/>
      <c r="FZ214" s="169"/>
      <c r="GA214" s="169"/>
      <c r="GB214" s="169"/>
      <c r="GC214" s="169"/>
      <c r="GD214" s="169"/>
      <c r="GE214" s="169"/>
      <c r="GF214" s="169"/>
      <c r="GG214" s="169"/>
      <c r="GW214" s="951"/>
    </row>
    <row r="215" spans="163:205" customFormat="1" x14ac:dyDescent="0.3">
      <c r="FG215" s="169"/>
      <c r="FH215" s="169"/>
      <c r="FI215" s="169"/>
      <c r="FZ215" s="169"/>
      <c r="GA215" s="169"/>
      <c r="GB215" s="169"/>
      <c r="GC215" s="169"/>
      <c r="GD215" s="169"/>
      <c r="GE215" s="169"/>
      <c r="GF215" s="169"/>
      <c r="GG215" s="169"/>
      <c r="GW215" s="951"/>
    </row>
    <row r="216" spans="163:205" customFormat="1" x14ac:dyDescent="0.3">
      <c r="FG216" s="169"/>
      <c r="FH216" s="169"/>
      <c r="FI216" s="169"/>
      <c r="FZ216" s="169"/>
      <c r="GA216" s="169"/>
      <c r="GB216" s="169"/>
      <c r="GC216" s="169"/>
      <c r="GD216" s="169"/>
      <c r="GE216" s="169"/>
      <c r="GF216" s="169"/>
      <c r="GG216" s="169"/>
      <c r="GW216" s="951"/>
    </row>
    <row r="217" spans="163:205" customFormat="1" x14ac:dyDescent="0.3">
      <c r="FG217" s="169"/>
      <c r="FH217" s="169"/>
      <c r="FI217" s="169"/>
      <c r="FZ217" s="169"/>
      <c r="GA217" s="169"/>
      <c r="GB217" s="169"/>
      <c r="GC217" s="169"/>
      <c r="GD217" s="169"/>
      <c r="GE217" s="169"/>
      <c r="GF217" s="169"/>
      <c r="GG217" s="169"/>
      <c r="GW217" s="951"/>
    </row>
    <row r="218" spans="163:205" customFormat="1" x14ac:dyDescent="0.3">
      <c r="FG218" s="169"/>
      <c r="FH218" s="169"/>
      <c r="FI218" s="169"/>
      <c r="FZ218" s="169"/>
      <c r="GA218" s="169"/>
      <c r="GB218" s="169"/>
      <c r="GC218" s="169"/>
      <c r="GD218" s="169"/>
      <c r="GE218" s="169"/>
      <c r="GF218" s="169"/>
      <c r="GG218" s="169"/>
      <c r="GW218" s="951"/>
    </row>
    <row r="219" spans="163:205" customFormat="1" x14ac:dyDescent="0.3">
      <c r="FZ219" s="169"/>
      <c r="GA219" s="169"/>
      <c r="GB219" s="169"/>
      <c r="GC219" s="169"/>
      <c r="GD219" s="169"/>
      <c r="GE219" s="169"/>
      <c r="GF219" s="169"/>
      <c r="GG219" s="169"/>
      <c r="GW219" s="951"/>
    </row>
    <row r="220" spans="163:205" customFormat="1" x14ac:dyDescent="0.3">
      <c r="FZ220" s="169"/>
      <c r="GA220" s="169"/>
      <c r="GB220" s="169"/>
      <c r="GC220" s="169"/>
      <c r="GD220" s="169"/>
      <c r="GE220" s="169"/>
      <c r="GF220" s="169"/>
      <c r="GG220" s="169"/>
      <c r="GW220" s="951"/>
    </row>
    <row r="221" spans="163:205" customFormat="1" x14ac:dyDescent="0.3">
      <c r="FZ221" s="169"/>
      <c r="GA221" s="169"/>
      <c r="GB221" s="169"/>
      <c r="GC221" s="169"/>
      <c r="GD221" s="169"/>
      <c r="GE221" s="169"/>
      <c r="GF221" s="169"/>
      <c r="GG221" s="169"/>
      <c r="GW221" s="951"/>
    </row>
    <row r="222" spans="163:205" customFormat="1" x14ac:dyDescent="0.3">
      <c r="FZ222" s="169"/>
      <c r="GA222" s="169"/>
      <c r="GB222" s="169"/>
      <c r="GC222" s="169"/>
      <c r="GD222" s="169"/>
      <c r="GE222" s="169"/>
      <c r="GF222" s="169"/>
      <c r="GG222" s="169"/>
      <c r="GW222" s="951"/>
    </row>
    <row r="223" spans="163:205" customFormat="1" x14ac:dyDescent="0.3">
      <c r="FZ223" s="169"/>
      <c r="GA223" s="169"/>
      <c r="GB223" s="169"/>
      <c r="GC223" s="169"/>
      <c r="GD223" s="169"/>
      <c r="GE223" s="169"/>
      <c r="GF223" s="169"/>
      <c r="GG223" s="169"/>
      <c r="GW223" s="951"/>
    </row>
    <row r="224" spans="163:205" customFormat="1" x14ac:dyDescent="0.3">
      <c r="FZ224" s="169"/>
      <c r="GA224" s="169"/>
      <c r="GB224" s="169"/>
      <c r="GC224" s="169"/>
      <c r="GD224" s="169"/>
      <c r="GE224" s="169"/>
      <c r="GF224" s="169"/>
      <c r="GG224" s="169"/>
      <c r="GW224" s="951"/>
    </row>
    <row r="225" spans="182:205" customFormat="1" x14ac:dyDescent="0.3">
      <c r="FZ225" s="169"/>
      <c r="GA225" s="169"/>
      <c r="GB225" s="169"/>
      <c r="GC225" s="169"/>
      <c r="GD225" s="169"/>
      <c r="GE225" s="169"/>
      <c r="GF225" s="169"/>
      <c r="GG225" s="169"/>
      <c r="GW225" s="951"/>
    </row>
    <row r="226" spans="182:205" customFormat="1" x14ac:dyDescent="0.3">
      <c r="FZ226" s="169"/>
      <c r="GA226" s="169"/>
      <c r="GB226" s="169"/>
      <c r="GC226" s="169"/>
      <c r="GD226" s="169"/>
      <c r="GE226" s="169"/>
      <c r="GF226" s="169"/>
      <c r="GG226" s="169"/>
      <c r="GW226" s="951"/>
    </row>
    <row r="227" spans="182:205" customFormat="1" x14ac:dyDescent="0.3">
      <c r="FZ227" s="169"/>
      <c r="GA227" s="169"/>
      <c r="GB227" s="169"/>
      <c r="GC227" s="169"/>
      <c r="GD227" s="169"/>
      <c r="GE227" s="169"/>
      <c r="GF227" s="169"/>
      <c r="GG227" s="169"/>
      <c r="GW227" s="951"/>
    </row>
    <row r="228" spans="182:205" customFormat="1" x14ac:dyDescent="0.3">
      <c r="FZ228" s="169"/>
      <c r="GA228" s="169"/>
      <c r="GB228" s="169"/>
      <c r="GC228" s="169"/>
      <c r="GD228" s="169"/>
      <c r="GE228" s="169"/>
      <c r="GF228" s="169"/>
      <c r="GG228" s="169"/>
      <c r="GW228" s="951"/>
    </row>
    <row r="229" spans="182:205" customFormat="1" x14ac:dyDescent="0.3">
      <c r="FZ229" s="169"/>
      <c r="GA229" s="169"/>
      <c r="GB229" s="169"/>
      <c r="GC229" s="169"/>
      <c r="GD229" s="169"/>
      <c r="GE229" s="169"/>
      <c r="GF229" s="169"/>
      <c r="GG229" s="169"/>
      <c r="GW229" s="951"/>
    </row>
    <row r="230" spans="182:205" customFormat="1" x14ac:dyDescent="0.3">
      <c r="FZ230" s="169"/>
      <c r="GA230" s="169"/>
      <c r="GB230" s="169"/>
      <c r="GC230" s="169"/>
      <c r="GD230" s="169"/>
      <c r="GE230" s="169"/>
      <c r="GF230" s="169"/>
      <c r="GG230" s="169"/>
      <c r="GW230" s="951"/>
    </row>
    <row r="231" spans="182:205" customFormat="1" x14ac:dyDescent="0.3">
      <c r="FZ231" s="169"/>
      <c r="GA231" s="169"/>
      <c r="GB231" s="169"/>
      <c r="GC231" s="169"/>
      <c r="GD231" s="169"/>
      <c r="GE231" s="169"/>
      <c r="GF231" s="169"/>
      <c r="GG231" s="169"/>
      <c r="GW231" s="951"/>
    </row>
    <row r="232" spans="182:205" customFormat="1" x14ac:dyDescent="0.3">
      <c r="FZ232" s="169"/>
      <c r="GA232" s="169"/>
      <c r="GB232" s="169"/>
      <c r="GC232" s="169"/>
      <c r="GD232" s="169"/>
      <c r="GE232" s="169"/>
      <c r="GF232" s="169"/>
      <c r="GG232" s="169"/>
      <c r="GW232" s="951"/>
    </row>
    <row r="233" spans="182:205" customFormat="1" x14ac:dyDescent="0.3">
      <c r="FZ233" s="169"/>
      <c r="GA233" s="169"/>
      <c r="GB233" s="169"/>
      <c r="GC233" s="169"/>
      <c r="GD233" s="169"/>
      <c r="GE233" s="169"/>
      <c r="GF233" s="169"/>
      <c r="GG233" s="169"/>
      <c r="GW233" s="951"/>
    </row>
    <row r="234" spans="182:205" customFormat="1" x14ac:dyDescent="0.3">
      <c r="FZ234" s="169"/>
      <c r="GA234" s="169"/>
      <c r="GB234" s="169"/>
      <c r="GC234" s="169"/>
      <c r="GD234" s="169"/>
      <c r="GE234" s="169"/>
      <c r="GF234" s="169"/>
      <c r="GG234" s="169"/>
      <c r="GW234" s="951"/>
    </row>
    <row r="235" spans="182:205" customFormat="1" x14ac:dyDescent="0.3">
      <c r="FZ235" s="169"/>
      <c r="GA235" s="169"/>
      <c r="GB235" s="169"/>
      <c r="GC235" s="169"/>
      <c r="GD235" s="169"/>
      <c r="GE235" s="169"/>
      <c r="GF235" s="169"/>
      <c r="GG235" s="169"/>
      <c r="GW235" s="951"/>
    </row>
    <row r="236" spans="182:205" customFormat="1" x14ac:dyDescent="0.3">
      <c r="FZ236" s="169"/>
      <c r="GA236" s="169"/>
      <c r="GB236" s="169"/>
      <c r="GC236" s="169"/>
      <c r="GD236" s="169"/>
      <c r="GE236" s="169"/>
      <c r="GF236" s="169"/>
      <c r="GG236" s="169"/>
      <c r="GW236" s="951"/>
    </row>
    <row r="237" spans="182:205" customFormat="1" x14ac:dyDescent="0.3">
      <c r="FZ237" s="169"/>
      <c r="GA237" s="169"/>
      <c r="GB237" s="169"/>
      <c r="GC237" s="169"/>
      <c r="GD237" s="169"/>
      <c r="GE237" s="169"/>
      <c r="GF237" s="169"/>
      <c r="GG237" s="169"/>
      <c r="GW237" s="951"/>
    </row>
    <row r="238" spans="182:205" customFormat="1" x14ac:dyDescent="0.3">
      <c r="FZ238" s="169"/>
      <c r="GA238" s="169"/>
      <c r="GB238" s="169"/>
      <c r="GC238" s="169"/>
      <c r="GD238" s="169"/>
      <c r="GE238" s="169"/>
      <c r="GF238" s="169"/>
      <c r="GG238" s="169"/>
      <c r="GW238" s="951"/>
    </row>
    <row r="239" spans="182:205" customFormat="1" x14ac:dyDescent="0.3">
      <c r="FZ239" s="169"/>
      <c r="GA239" s="169"/>
      <c r="GB239" s="169"/>
      <c r="GC239" s="169"/>
      <c r="GD239" s="169"/>
      <c r="GE239" s="169"/>
      <c r="GF239" s="169"/>
      <c r="GG239" s="169"/>
      <c r="GW239" s="951"/>
    </row>
    <row r="240" spans="182:205" customFormat="1" x14ac:dyDescent="0.3">
      <c r="FZ240" s="169"/>
      <c r="GA240" s="169"/>
      <c r="GB240" s="169"/>
      <c r="GC240" s="169"/>
      <c r="GD240" s="169"/>
      <c r="GE240" s="169"/>
      <c r="GF240" s="169"/>
      <c r="GG240" s="169"/>
      <c r="GW240" s="951"/>
    </row>
    <row r="241" spans="182:205" customFormat="1" x14ac:dyDescent="0.3">
      <c r="FZ241" s="169"/>
      <c r="GA241" s="169"/>
      <c r="GB241" s="169"/>
      <c r="GC241" s="169"/>
      <c r="GD241" s="169"/>
      <c r="GE241" s="169"/>
      <c r="GF241" s="169"/>
      <c r="GG241" s="169"/>
      <c r="GW241" s="951"/>
    </row>
    <row r="242" spans="182:205" customFormat="1" x14ac:dyDescent="0.3">
      <c r="FZ242" s="169"/>
      <c r="GA242" s="169"/>
      <c r="GB242" s="169"/>
      <c r="GC242" s="169"/>
      <c r="GD242" s="169"/>
      <c r="GE242" s="169"/>
      <c r="GF242" s="169"/>
      <c r="GG242" s="169"/>
      <c r="GW242" s="951"/>
    </row>
    <row r="243" spans="182:205" customFormat="1" x14ac:dyDescent="0.3">
      <c r="FZ243" s="169"/>
      <c r="GA243" s="169"/>
      <c r="GB243" s="169"/>
      <c r="GC243" s="169"/>
      <c r="GD243" s="169"/>
      <c r="GE243" s="169"/>
      <c r="GF243" s="169"/>
      <c r="GG243" s="169"/>
      <c r="GW243" s="951"/>
    </row>
    <row r="244" spans="182:205" customFormat="1" x14ac:dyDescent="0.3">
      <c r="FZ244" s="169"/>
      <c r="GA244" s="169"/>
      <c r="GB244" s="169"/>
      <c r="GC244" s="169"/>
      <c r="GD244" s="169"/>
      <c r="GE244" s="169"/>
      <c r="GF244" s="169"/>
      <c r="GG244" s="169"/>
      <c r="GW244" s="951"/>
    </row>
    <row r="245" spans="182:205" customFormat="1" x14ac:dyDescent="0.3">
      <c r="FZ245" s="169"/>
      <c r="GA245" s="169"/>
      <c r="GB245" s="169"/>
      <c r="GC245" s="169"/>
      <c r="GD245" s="169"/>
      <c r="GE245" s="169"/>
      <c r="GF245" s="169"/>
      <c r="GG245" s="169"/>
      <c r="GW245" s="951"/>
    </row>
    <row r="246" spans="182:205" customFormat="1" x14ac:dyDescent="0.3">
      <c r="FZ246" s="169"/>
      <c r="GA246" s="169"/>
      <c r="GB246" s="169"/>
      <c r="GC246" s="169"/>
      <c r="GD246" s="169"/>
      <c r="GE246" s="169"/>
      <c r="GF246" s="169"/>
      <c r="GG246" s="169"/>
      <c r="GW246" s="951"/>
    </row>
    <row r="247" spans="182:205" customFormat="1" x14ac:dyDescent="0.3">
      <c r="FZ247" s="169"/>
      <c r="GA247" s="169"/>
      <c r="GB247" s="169"/>
      <c r="GC247" s="169"/>
      <c r="GD247" s="169"/>
      <c r="GE247" s="169"/>
      <c r="GF247" s="169"/>
      <c r="GG247" s="169"/>
      <c r="GW247" s="951"/>
    </row>
    <row r="248" spans="182:205" customFormat="1" x14ac:dyDescent="0.3">
      <c r="FZ248" s="169"/>
      <c r="GA248" s="169"/>
      <c r="GB248" s="169"/>
      <c r="GC248" s="169"/>
      <c r="GD248" s="169"/>
      <c r="GE248" s="169"/>
      <c r="GF248" s="169"/>
      <c r="GG248" s="169"/>
      <c r="GW248" s="951"/>
    </row>
    <row r="249" spans="182:205" customFormat="1" x14ac:dyDescent="0.3">
      <c r="FZ249" s="169"/>
      <c r="GA249" s="169"/>
      <c r="GB249" s="169"/>
      <c r="GC249" s="169"/>
      <c r="GD249" s="169"/>
      <c r="GE249" s="169"/>
      <c r="GF249" s="169"/>
      <c r="GG249" s="169"/>
      <c r="GW249" s="951"/>
    </row>
    <row r="250" spans="182:205" customFormat="1" x14ac:dyDescent="0.3">
      <c r="FZ250" s="169"/>
      <c r="GA250" s="169"/>
      <c r="GB250" s="169"/>
      <c r="GC250" s="169"/>
      <c r="GD250" s="169"/>
      <c r="GE250" s="169"/>
      <c r="GF250" s="169"/>
      <c r="GG250" s="169"/>
      <c r="GW250" s="951"/>
    </row>
    <row r="251" spans="182:205" customFormat="1" x14ac:dyDescent="0.3">
      <c r="FZ251" s="169"/>
      <c r="GA251" s="169"/>
      <c r="GB251" s="169"/>
      <c r="GC251" s="169"/>
      <c r="GD251" s="169"/>
      <c r="GE251" s="169"/>
      <c r="GF251" s="169"/>
      <c r="GG251" s="169"/>
      <c r="GW251" s="951"/>
    </row>
    <row r="252" spans="182:205" customFormat="1" x14ac:dyDescent="0.3">
      <c r="FZ252" s="169"/>
      <c r="GA252" s="169"/>
      <c r="GB252" s="169"/>
      <c r="GC252" s="169"/>
      <c r="GD252" s="169"/>
      <c r="GE252" s="169"/>
      <c r="GF252" s="169"/>
      <c r="GG252" s="169"/>
      <c r="GW252" s="951"/>
    </row>
    <row r="253" spans="182:205" customFormat="1" x14ac:dyDescent="0.3">
      <c r="FZ253" s="169"/>
      <c r="GA253" s="169"/>
      <c r="GB253" s="169"/>
      <c r="GC253" s="169"/>
      <c r="GD253" s="169"/>
      <c r="GE253" s="169"/>
      <c r="GF253" s="169"/>
      <c r="GG253" s="169"/>
      <c r="GW253" s="951"/>
    </row>
    <row r="254" spans="182:205" customFormat="1" x14ac:dyDescent="0.3">
      <c r="FZ254" s="169"/>
      <c r="GA254" s="169"/>
      <c r="GB254" s="169"/>
      <c r="GC254" s="169"/>
      <c r="GD254" s="169"/>
      <c r="GE254" s="169"/>
      <c r="GF254" s="169"/>
      <c r="GG254" s="169"/>
      <c r="GW254" s="951"/>
    </row>
    <row r="255" spans="182:205" customFormat="1" x14ac:dyDescent="0.3">
      <c r="FZ255" s="169"/>
      <c r="GA255" s="169"/>
      <c r="GB255" s="169"/>
      <c r="GC255" s="169"/>
      <c r="GD255" s="169"/>
      <c r="GE255" s="169"/>
      <c r="GF255" s="169"/>
      <c r="GG255" s="169"/>
      <c r="GW255" s="951"/>
    </row>
    <row r="256" spans="182:205" customFormat="1" x14ac:dyDescent="0.3">
      <c r="FZ256" s="169"/>
      <c r="GA256" s="169"/>
      <c r="GB256" s="169"/>
      <c r="GC256" s="169"/>
      <c r="GD256" s="169"/>
      <c r="GE256" s="169"/>
      <c r="GF256" s="169"/>
      <c r="GG256" s="169"/>
      <c r="GW256" s="951"/>
    </row>
    <row r="257" spans="182:205" customFormat="1" x14ac:dyDescent="0.3">
      <c r="FZ257" s="169"/>
      <c r="GA257" s="169"/>
      <c r="GB257" s="169"/>
      <c r="GC257" s="169"/>
      <c r="GD257" s="169"/>
      <c r="GE257" s="169"/>
      <c r="GF257" s="169"/>
      <c r="GG257" s="169"/>
      <c r="GW257" s="951"/>
    </row>
    <row r="258" spans="182:205" customFormat="1" x14ac:dyDescent="0.3">
      <c r="FZ258" s="169"/>
      <c r="GA258" s="169"/>
      <c r="GB258" s="169"/>
      <c r="GC258" s="169"/>
      <c r="GD258" s="169"/>
      <c r="GE258" s="169"/>
      <c r="GF258" s="169"/>
      <c r="GG258" s="169"/>
      <c r="GW258" s="951"/>
    </row>
    <row r="259" spans="182:205" customFormat="1" x14ac:dyDescent="0.3">
      <c r="FZ259" s="169"/>
      <c r="GA259" s="169"/>
      <c r="GB259" s="169"/>
      <c r="GC259" s="169"/>
      <c r="GD259" s="169"/>
      <c r="GE259" s="169"/>
      <c r="GF259" s="169"/>
      <c r="GG259" s="169"/>
      <c r="GW259" s="951"/>
    </row>
    <row r="260" spans="182:205" customFormat="1" x14ac:dyDescent="0.3">
      <c r="FZ260" s="169"/>
      <c r="GA260" s="169"/>
      <c r="GB260" s="169"/>
      <c r="GC260" s="169"/>
      <c r="GD260" s="169"/>
      <c r="GE260" s="169"/>
      <c r="GF260" s="169"/>
      <c r="GG260" s="169"/>
      <c r="GW260" s="951"/>
    </row>
    <row r="261" spans="182:205" customFormat="1" x14ac:dyDescent="0.3">
      <c r="FZ261" s="169"/>
      <c r="GA261" s="169"/>
      <c r="GB261" s="169"/>
      <c r="GC261" s="169"/>
      <c r="GD261" s="169"/>
      <c r="GE261" s="169"/>
      <c r="GF261" s="169"/>
      <c r="GG261" s="169"/>
      <c r="GW261" s="951"/>
    </row>
    <row r="262" spans="182:205" customFormat="1" x14ac:dyDescent="0.3">
      <c r="FZ262" s="169"/>
      <c r="GA262" s="169"/>
      <c r="GB262" s="169"/>
      <c r="GC262" s="169"/>
      <c r="GD262" s="169"/>
      <c r="GE262" s="169"/>
      <c r="GF262" s="169"/>
      <c r="GG262" s="169"/>
      <c r="GW262" s="951"/>
    </row>
    <row r="263" spans="182:205" customFormat="1" x14ac:dyDescent="0.3">
      <c r="FZ263" s="169"/>
      <c r="GA263" s="169"/>
      <c r="GB263" s="169"/>
      <c r="GC263" s="169"/>
      <c r="GD263" s="169"/>
      <c r="GE263" s="169"/>
      <c r="GF263" s="169"/>
      <c r="GG263" s="169"/>
      <c r="GW263" s="951"/>
    </row>
    <row r="264" spans="182:205" customFormat="1" x14ac:dyDescent="0.3">
      <c r="FZ264" s="169"/>
      <c r="GA264" s="169"/>
      <c r="GB264" s="169"/>
      <c r="GC264" s="169"/>
      <c r="GD264" s="169"/>
      <c r="GE264" s="169"/>
      <c r="GF264" s="169"/>
      <c r="GG264" s="169"/>
      <c r="GW264" s="951"/>
    </row>
    <row r="265" spans="182:205" customFormat="1" x14ac:dyDescent="0.3">
      <c r="FZ265" s="169"/>
      <c r="GA265" s="169"/>
      <c r="GB265" s="169"/>
      <c r="GC265" s="169"/>
      <c r="GD265" s="169"/>
      <c r="GE265" s="169"/>
      <c r="GF265" s="169"/>
      <c r="GG265" s="169"/>
      <c r="GW265" s="951"/>
    </row>
    <row r="266" spans="182:205" customFormat="1" x14ac:dyDescent="0.3">
      <c r="FZ266" s="169"/>
      <c r="GA266" s="169"/>
      <c r="GB266" s="169"/>
      <c r="GC266" s="169"/>
      <c r="GD266" s="169"/>
      <c r="GE266" s="169"/>
      <c r="GF266" s="169"/>
      <c r="GG266" s="169"/>
      <c r="GW266" s="951"/>
    </row>
    <row r="267" spans="182:205" customFormat="1" x14ac:dyDescent="0.3">
      <c r="FZ267" s="169"/>
      <c r="GA267" s="169"/>
      <c r="GB267" s="169"/>
      <c r="GC267" s="169"/>
      <c r="GD267" s="169"/>
      <c r="GE267" s="169"/>
      <c r="GF267" s="169"/>
      <c r="GG267" s="169"/>
      <c r="GW267" s="951"/>
    </row>
    <row r="268" spans="182:205" customFormat="1" x14ac:dyDescent="0.3">
      <c r="FZ268" s="169"/>
      <c r="GA268" s="169"/>
      <c r="GB268" s="169"/>
      <c r="GC268" s="169"/>
      <c r="GD268" s="169"/>
      <c r="GE268" s="169"/>
      <c r="GF268" s="169"/>
      <c r="GG268" s="169"/>
      <c r="GW268" s="951"/>
    </row>
    <row r="269" spans="182:205" customFormat="1" x14ac:dyDescent="0.3">
      <c r="FZ269" s="169"/>
      <c r="GA269" s="169"/>
      <c r="GB269" s="169"/>
      <c r="GC269" s="169"/>
      <c r="GD269" s="169"/>
      <c r="GE269" s="169"/>
      <c r="GF269" s="169"/>
      <c r="GG269" s="169"/>
      <c r="GW269" s="951"/>
    </row>
    <row r="270" spans="182:205" customFormat="1" x14ac:dyDescent="0.3">
      <c r="FZ270" s="169"/>
      <c r="GA270" s="169"/>
      <c r="GB270" s="169"/>
      <c r="GC270" s="169"/>
      <c r="GD270" s="169"/>
      <c r="GE270" s="169"/>
      <c r="GF270" s="169"/>
      <c r="GG270" s="169"/>
      <c r="GW270" s="951"/>
    </row>
    <row r="271" spans="182:205" customFormat="1" x14ac:dyDescent="0.3">
      <c r="FZ271" s="169"/>
      <c r="GA271" s="169"/>
      <c r="GB271" s="169"/>
      <c r="GC271" s="169"/>
      <c r="GD271" s="169"/>
      <c r="GE271" s="169"/>
      <c r="GF271" s="169"/>
      <c r="GG271" s="169"/>
      <c r="GW271" s="951"/>
    </row>
    <row r="272" spans="182:205" customFormat="1" x14ac:dyDescent="0.3">
      <c r="FZ272" s="169"/>
      <c r="GA272" s="169"/>
      <c r="GB272" s="169"/>
      <c r="GC272" s="169"/>
      <c r="GD272" s="169"/>
      <c r="GE272" s="169"/>
      <c r="GF272" s="169"/>
      <c r="GG272" s="169"/>
      <c r="GW272" s="951"/>
    </row>
    <row r="273" spans="182:205" customFormat="1" x14ac:dyDescent="0.3">
      <c r="FZ273" s="169"/>
      <c r="GA273" s="169"/>
      <c r="GB273" s="169"/>
      <c r="GC273" s="169"/>
      <c r="GD273" s="169"/>
      <c r="GE273" s="169"/>
      <c r="GF273" s="169"/>
      <c r="GG273" s="169"/>
      <c r="GW273" s="951"/>
    </row>
    <row r="274" spans="182:205" customFormat="1" x14ac:dyDescent="0.3">
      <c r="FZ274" s="169"/>
      <c r="GA274" s="169"/>
      <c r="GB274" s="169"/>
      <c r="GC274" s="169"/>
      <c r="GD274" s="169"/>
      <c r="GE274" s="169"/>
      <c r="GF274" s="169"/>
      <c r="GG274" s="169"/>
      <c r="GW274" s="951"/>
    </row>
    <row r="275" spans="182:205" customFormat="1" x14ac:dyDescent="0.3">
      <c r="FZ275" s="169"/>
      <c r="GA275" s="169"/>
      <c r="GB275" s="169"/>
      <c r="GC275" s="169"/>
      <c r="GD275" s="169"/>
      <c r="GE275" s="169"/>
      <c r="GF275" s="169"/>
      <c r="GG275" s="169"/>
      <c r="GW275" s="951"/>
    </row>
    <row r="276" spans="182:205" customFormat="1" x14ac:dyDescent="0.3">
      <c r="FZ276" s="169"/>
      <c r="GA276" s="169"/>
      <c r="GB276" s="169"/>
      <c r="GC276" s="169"/>
      <c r="GD276" s="169"/>
      <c r="GE276" s="169"/>
      <c r="GF276" s="169"/>
      <c r="GG276" s="169"/>
      <c r="GW276" s="951"/>
    </row>
    <row r="277" spans="182:205" customFormat="1" x14ac:dyDescent="0.3">
      <c r="FZ277" s="169"/>
      <c r="GA277" s="169"/>
      <c r="GB277" s="169"/>
      <c r="GC277" s="169"/>
      <c r="GD277" s="169"/>
      <c r="GE277" s="169"/>
      <c r="GF277" s="169"/>
      <c r="GG277" s="169"/>
      <c r="GW277" s="951"/>
    </row>
    <row r="278" spans="182:205" customFormat="1" x14ac:dyDescent="0.3">
      <c r="FZ278" s="169"/>
      <c r="GA278" s="169"/>
      <c r="GB278" s="169"/>
      <c r="GC278" s="169"/>
      <c r="GD278" s="169"/>
      <c r="GE278" s="169"/>
      <c r="GF278" s="169"/>
      <c r="GG278" s="169"/>
      <c r="GW278" s="951"/>
    </row>
    <row r="279" spans="182:205" customFormat="1" x14ac:dyDescent="0.3">
      <c r="FZ279" s="169"/>
      <c r="GA279" s="169"/>
      <c r="GB279" s="169"/>
      <c r="GC279" s="169"/>
      <c r="GD279" s="169"/>
      <c r="GE279" s="169"/>
      <c r="GF279" s="169"/>
      <c r="GG279" s="169"/>
      <c r="GW279" s="951"/>
    </row>
    <row r="280" spans="182:205" customFormat="1" x14ac:dyDescent="0.3">
      <c r="FZ280" s="169"/>
      <c r="GA280" s="169"/>
      <c r="GB280" s="169"/>
      <c r="GC280" s="169"/>
      <c r="GD280" s="169"/>
      <c r="GE280" s="169"/>
      <c r="GF280" s="169"/>
      <c r="GG280" s="169"/>
      <c r="GW280" s="951"/>
    </row>
    <row r="281" spans="182:205" customFormat="1" x14ac:dyDescent="0.3">
      <c r="FZ281" s="169"/>
      <c r="GA281" s="169"/>
      <c r="GB281" s="169"/>
      <c r="GC281" s="169"/>
      <c r="GD281" s="169"/>
      <c r="GE281" s="169"/>
      <c r="GF281" s="169"/>
      <c r="GG281" s="169"/>
      <c r="GW281" s="951"/>
    </row>
    <row r="282" spans="182:205" customFormat="1" x14ac:dyDescent="0.3">
      <c r="FZ282" s="169"/>
      <c r="GA282" s="169"/>
      <c r="GB282" s="169"/>
      <c r="GC282" s="169"/>
      <c r="GD282" s="169"/>
      <c r="GE282" s="169"/>
      <c r="GF282" s="169"/>
      <c r="GG282" s="169"/>
      <c r="GW282" s="951"/>
    </row>
    <row r="283" spans="182:205" customFormat="1" x14ac:dyDescent="0.3">
      <c r="FZ283" s="169"/>
      <c r="GA283" s="169"/>
      <c r="GB283" s="169"/>
      <c r="GC283" s="169"/>
      <c r="GD283" s="169"/>
      <c r="GE283" s="169"/>
      <c r="GF283" s="169"/>
      <c r="GG283" s="169"/>
      <c r="GW283" s="951"/>
    </row>
    <row r="284" spans="182:205" customFormat="1" x14ac:dyDescent="0.3">
      <c r="FZ284" s="169"/>
      <c r="GA284" s="169"/>
      <c r="GB284" s="169"/>
      <c r="GC284" s="169"/>
      <c r="GD284" s="169"/>
      <c r="GE284" s="169"/>
      <c r="GF284" s="169"/>
      <c r="GG284" s="169"/>
      <c r="GW284" s="951"/>
    </row>
    <row r="285" spans="182:205" customFormat="1" x14ac:dyDescent="0.3">
      <c r="FZ285" s="169"/>
      <c r="GA285" s="169"/>
      <c r="GB285" s="169"/>
      <c r="GC285" s="169"/>
      <c r="GD285" s="169"/>
      <c r="GE285" s="169"/>
      <c r="GF285" s="169"/>
      <c r="GG285" s="169"/>
      <c r="GW285" s="951"/>
    </row>
    <row r="286" spans="182:205" customFormat="1" x14ac:dyDescent="0.3">
      <c r="FZ286" s="169"/>
      <c r="GA286" s="169"/>
      <c r="GB286" s="169"/>
      <c r="GC286" s="169"/>
      <c r="GD286" s="169"/>
      <c r="GE286" s="169"/>
      <c r="GF286" s="169"/>
      <c r="GG286" s="169"/>
      <c r="GW286" s="951"/>
    </row>
    <row r="287" spans="182:205" customFormat="1" x14ac:dyDescent="0.3">
      <c r="FZ287" s="169"/>
      <c r="GA287" s="169"/>
      <c r="GB287" s="169"/>
      <c r="GC287" s="169"/>
      <c r="GD287" s="169"/>
      <c r="GE287" s="169"/>
      <c r="GF287" s="169"/>
      <c r="GG287" s="169"/>
      <c r="GW287" s="951"/>
    </row>
    <row r="288" spans="182:205" customFormat="1" x14ac:dyDescent="0.3">
      <c r="FZ288" s="169"/>
      <c r="GA288" s="169"/>
      <c r="GB288" s="169"/>
      <c r="GC288" s="169"/>
      <c r="GD288" s="169"/>
      <c r="GE288" s="169"/>
      <c r="GF288" s="169"/>
      <c r="GG288" s="169"/>
      <c r="GW288" s="951"/>
    </row>
    <row r="289" spans="182:205" customFormat="1" x14ac:dyDescent="0.3">
      <c r="FZ289" s="169"/>
      <c r="GA289" s="169"/>
      <c r="GB289" s="169"/>
      <c r="GC289" s="169"/>
      <c r="GD289" s="169"/>
      <c r="GE289" s="169"/>
      <c r="GF289" s="169"/>
      <c r="GG289" s="169"/>
      <c r="GW289" s="951"/>
    </row>
    <row r="290" spans="182:205" customFormat="1" x14ac:dyDescent="0.3">
      <c r="FZ290" s="169"/>
      <c r="GA290" s="169"/>
      <c r="GB290" s="169"/>
      <c r="GC290" s="169"/>
      <c r="GD290" s="169"/>
      <c r="GE290" s="169"/>
      <c r="GF290" s="169"/>
      <c r="GG290" s="169"/>
      <c r="GW290" s="951"/>
    </row>
    <row r="291" spans="182:205" customFormat="1" x14ac:dyDescent="0.3">
      <c r="FZ291" s="169"/>
      <c r="GA291" s="169"/>
      <c r="GB291" s="169"/>
      <c r="GC291" s="169"/>
      <c r="GD291" s="169"/>
      <c r="GE291" s="169"/>
      <c r="GF291" s="169"/>
      <c r="GG291" s="169"/>
      <c r="GW291" s="951"/>
    </row>
    <row r="292" spans="182:205" customFormat="1" x14ac:dyDescent="0.3">
      <c r="FZ292" s="169"/>
      <c r="GA292" s="169"/>
      <c r="GB292" s="169"/>
      <c r="GC292" s="169"/>
      <c r="GD292" s="169"/>
      <c r="GE292" s="169"/>
      <c r="GF292" s="169"/>
      <c r="GG292" s="169"/>
      <c r="GW292" s="951"/>
    </row>
    <row r="293" spans="182:205" customFormat="1" x14ac:dyDescent="0.3">
      <c r="FZ293" s="169"/>
      <c r="GA293" s="169"/>
      <c r="GB293" s="169"/>
      <c r="GC293" s="169"/>
      <c r="GD293" s="169"/>
      <c r="GE293" s="169"/>
      <c r="GF293" s="169"/>
      <c r="GG293" s="169"/>
      <c r="GW293" s="951"/>
    </row>
    <row r="294" spans="182:205" customFormat="1" x14ac:dyDescent="0.3">
      <c r="FZ294" s="169"/>
      <c r="GA294" s="169"/>
      <c r="GB294" s="169"/>
      <c r="GC294" s="169"/>
      <c r="GD294" s="169"/>
      <c r="GE294" s="169"/>
      <c r="GF294" s="169"/>
      <c r="GG294" s="169"/>
      <c r="GW294" s="951"/>
    </row>
    <row r="295" spans="182:205" customFormat="1" x14ac:dyDescent="0.3">
      <c r="FZ295" s="169"/>
      <c r="GA295" s="169"/>
      <c r="GB295" s="169"/>
      <c r="GC295" s="169"/>
      <c r="GD295" s="169"/>
      <c r="GE295" s="169"/>
      <c r="GF295" s="169"/>
      <c r="GG295" s="169"/>
      <c r="GW295" s="951"/>
    </row>
    <row r="296" spans="182:205" customFormat="1" x14ac:dyDescent="0.3">
      <c r="FZ296" s="169"/>
      <c r="GA296" s="169"/>
      <c r="GB296" s="169"/>
      <c r="GC296" s="169"/>
      <c r="GD296" s="169"/>
      <c r="GE296" s="169"/>
      <c r="GF296" s="169"/>
      <c r="GG296" s="169"/>
      <c r="GW296" s="951"/>
    </row>
    <row r="297" spans="182:205" customFormat="1" x14ac:dyDescent="0.3">
      <c r="FZ297" s="169"/>
      <c r="GA297" s="169"/>
      <c r="GB297" s="169"/>
      <c r="GC297" s="169"/>
      <c r="GD297" s="169"/>
      <c r="GE297" s="169"/>
      <c r="GF297" s="169"/>
      <c r="GG297" s="169"/>
      <c r="GW297" s="951"/>
    </row>
    <row r="298" spans="182:205" customFormat="1" x14ac:dyDescent="0.3">
      <c r="FZ298" s="169"/>
      <c r="GA298" s="169"/>
      <c r="GB298" s="169"/>
      <c r="GC298" s="169"/>
      <c r="GD298" s="169"/>
      <c r="GE298" s="169"/>
      <c r="GF298" s="169"/>
      <c r="GG298" s="169"/>
      <c r="GW298" s="951"/>
    </row>
    <row r="299" spans="182:205" customFormat="1" x14ac:dyDescent="0.3">
      <c r="FZ299" s="169"/>
      <c r="GA299" s="169"/>
      <c r="GB299" s="169"/>
      <c r="GC299" s="169"/>
      <c r="GD299" s="169"/>
      <c r="GE299" s="169"/>
      <c r="GF299" s="169"/>
      <c r="GG299" s="169"/>
      <c r="GW299" s="951"/>
    </row>
    <row r="300" spans="182:205" customFormat="1" x14ac:dyDescent="0.3">
      <c r="FZ300" s="169"/>
      <c r="GA300" s="169"/>
      <c r="GB300" s="169"/>
      <c r="GC300" s="169"/>
      <c r="GD300" s="169"/>
      <c r="GE300" s="169"/>
      <c r="GF300" s="169"/>
      <c r="GG300" s="169"/>
      <c r="GW300" s="951"/>
    </row>
    <row r="301" spans="182:205" customFormat="1" x14ac:dyDescent="0.3">
      <c r="FZ301" s="169"/>
      <c r="GA301" s="169"/>
      <c r="GB301" s="169"/>
      <c r="GC301" s="169"/>
      <c r="GD301" s="169"/>
      <c r="GE301" s="169"/>
      <c r="GF301" s="169"/>
      <c r="GG301" s="169"/>
      <c r="GW301" s="951"/>
    </row>
    <row r="302" spans="182:205" customFormat="1" x14ac:dyDescent="0.3">
      <c r="FZ302" s="169"/>
      <c r="GA302" s="169"/>
      <c r="GB302" s="169"/>
      <c r="GC302" s="169"/>
      <c r="GD302" s="169"/>
      <c r="GE302" s="169"/>
      <c r="GF302" s="169"/>
      <c r="GG302" s="169"/>
      <c r="GW302" s="951"/>
    </row>
    <row r="303" spans="182:205" customFormat="1" x14ac:dyDescent="0.3">
      <c r="FZ303" s="169"/>
      <c r="GA303" s="169"/>
      <c r="GB303" s="169"/>
      <c r="GC303" s="169"/>
      <c r="GD303" s="169"/>
      <c r="GE303" s="169"/>
      <c r="GF303" s="169"/>
      <c r="GG303" s="169"/>
      <c r="GW303" s="951"/>
    </row>
    <row r="304" spans="182:205" customFormat="1" x14ac:dyDescent="0.3">
      <c r="FZ304" s="169"/>
      <c r="GA304" s="169"/>
      <c r="GB304" s="169"/>
      <c r="GC304" s="169"/>
      <c r="GD304" s="169"/>
      <c r="GE304" s="169"/>
      <c r="GF304" s="169"/>
      <c r="GG304" s="169"/>
      <c r="GW304" s="951"/>
    </row>
    <row r="305" spans="182:205" customFormat="1" x14ac:dyDescent="0.3">
      <c r="FZ305" s="169"/>
      <c r="GA305" s="169"/>
      <c r="GB305" s="169"/>
      <c r="GC305" s="169"/>
      <c r="GD305" s="169"/>
      <c r="GE305" s="169"/>
      <c r="GF305" s="169"/>
      <c r="GG305" s="169"/>
      <c r="GW305" s="951"/>
    </row>
    <row r="306" spans="182:205" customFormat="1" x14ac:dyDescent="0.3">
      <c r="FZ306" s="169"/>
      <c r="GA306" s="169"/>
      <c r="GB306" s="169"/>
      <c r="GC306" s="169"/>
      <c r="GD306" s="169"/>
      <c r="GE306" s="169"/>
      <c r="GF306" s="169"/>
      <c r="GG306" s="169"/>
      <c r="GW306" s="951"/>
    </row>
    <row r="307" spans="182:205" customFormat="1" x14ac:dyDescent="0.3">
      <c r="FZ307" s="169"/>
      <c r="GA307" s="169"/>
      <c r="GB307" s="169"/>
      <c r="GC307" s="169"/>
      <c r="GD307" s="169"/>
      <c r="GE307" s="169"/>
      <c r="GF307" s="169"/>
      <c r="GG307" s="169"/>
      <c r="GW307" s="951"/>
    </row>
    <row r="308" spans="182:205" customFormat="1" x14ac:dyDescent="0.3">
      <c r="FZ308" s="169"/>
      <c r="GA308" s="169"/>
      <c r="GB308" s="169"/>
      <c r="GC308" s="169"/>
      <c r="GD308" s="169"/>
      <c r="GE308" s="169"/>
      <c r="GF308" s="169"/>
      <c r="GG308" s="169"/>
      <c r="GW308" s="951"/>
    </row>
    <row r="309" spans="182:205" customFormat="1" x14ac:dyDescent="0.3">
      <c r="FZ309" s="169"/>
      <c r="GA309" s="169"/>
      <c r="GB309" s="169"/>
      <c r="GC309" s="169"/>
      <c r="GD309" s="169"/>
      <c r="GE309" s="169"/>
      <c r="GF309" s="169"/>
      <c r="GG309" s="169"/>
      <c r="GW309" s="951"/>
    </row>
    <row r="310" spans="182:205" customFormat="1" x14ac:dyDescent="0.3">
      <c r="FZ310" s="169"/>
      <c r="GA310" s="169"/>
      <c r="GB310" s="169"/>
      <c r="GC310" s="169"/>
      <c r="GD310" s="169"/>
      <c r="GE310" s="169"/>
      <c r="GF310" s="169"/>
      <c r="GG310" s="169"/>
      <c r="GW310" s="951"/>
    </row>
    <row r="311" spans="182:205" customFormat="1" x14ac:dyDescent="0.3">
      <c r="FZ311" s="169"/>
      <c r="GA311" s="169"/>
      <c r="GB311" s="169"/>
      <c r="GC311" s="169"/>
      <c r="GD311" s="169"/>
      <c r="GE311" s="169"/>
      <c r="GF311" s="169"/>
      <c r="GG311" s="169"/>
      <c r="GW311" s="951"/>
    </row>
    <row r="312" spans="182:205" customFormat="1" x14ac:dyDescent="0.3">
      <c r="FZ312" s="169"/>
      <c r="GA312" s="169"/>
      <c r="GB312" s="169"/>
      <c r="GC312" s="169"/>
      <c r="GD312" s="169"/>
      <c r="GE312" s="169"/>
      <c r="GF312" s="169"/>
      <c r="GG312" s="169"/>
      <c r="GW312" s="951"/>
    </row>
    <row r="313" spans="182:205" customFormat="1" x14ac:dyDescent="0.3">
      <c r="FZ313" s="169"/>
      <c r="GA313" s="169"/>
      <c r="GB313" s="169"/>
      <c r="GC313" s="169"/>
      <c r="GD313" s="169"/>
      <c r="GE313" s="169"/>
      <c r="GF313" s="169"/>
      <c r="GG313" s="169"/>
      <c r="GW313" s="951"/>
    </row>
    <row r="314" spans="182:205" customFormat="1" x14ac:dyDescent="0.3">
      <c r="FZ314" s="169"/>
      <c r="GA314" s="169"/>
      <c r="GB314" s="169"/>
      <c r="GC314" s="169"/>
      <c r="GD314" s="169"/>
      <c r="GE314" s="169"/>
      <c r="GF314" s="169"/>
      <c r="GG314" s="169"/>
      <c r="GW314" s="951"/>
    </row>
    <row r="315" spans="182:205" customFormat="1" x14ac:dyDescent="0.3">
      <c r="FZ315" s="169"/>
      <c r="GA315" s="169"/>
      <c r="GB315" s="169"/>
      <c r="GC315" s="169"/>
      <c r="GD315" s="169"/>
      <c r="GE315" s="169"/>
      <c r="GF315" s="169"/>
      <c r="GG315" s="169"/>
      <c r="GW315" s="951"/>
    </row>
    <row r="316" spans="182:205" customFormat="1" x14ac:dyDescent="0.3">
      <c r="FZ316" s="169"/>
      <c r="GA316" s="169"/>
      <c r="GB316" s="169"/>
      <c r="GC316" s="169"/>
      <c r="GD316" s="169"/>
      <c r="GE316" s="169"/>
      <c r="GF316" s="169"/>
      <c r="GG316" s="169"/>
      <c r="GW316" s="951"/>
    </row>
    <row r="317" spans="182:205" customFormat="1" x14ac:dyDescent="0.3">
      <c r="FZ317" s="169"/>
      <c r="GA317" s="169"/>
      <c r="GB317" s="169"/>
      <c r="GC317" s="169"/>
      <c r="GD317" s="169"/>
      <c r="GE317" s="169"/>
      <c r="GF317" s="169"/>
      <c r="GG317" s="169"/>
      <c r="GW317" s="951"/>
    </row>
    <row r="318" spans="182:205" customFormat="1" x14ac:dyDescent="0.3">
      <c r="FZ318" s="169"/>
      <c r="GA318" s="169"/>
      <c r="GB318" s="169"/>
      <c r="GC318" s="169"/>
      <c r="GD318" s="169"/>
      <c r="GE318" s="169"/>
      <c r="GF318" s="169"/>
      <c r="GG318" s="169"/>
      <c r="GW318" s="951"/>
    </row>
    <row r="319" spans="182:205" customFormat="1" x14ac:dyDescent="0.3">
      <c r="FZ319" s="169"/>
      <c r="GA319" s="169"/>
      <c r="GB319" s="169"/>
      <c r="GC319" s="169"/>
      <c r="GD319" s="169"/>
      <c r="GE319" s="169"/>
      <c r="GF319" s="169"/>
      <c r="GG319" s="169"/>
      <c r="GW319" s="951"/>
    </row>
    <row r="320" spans="182:205" customFormat="1" x14ac:dyDescent="0.3">
      <c r="FZ320" s="169"/>
      <c r="GA320" s="169"/>
      <c r="GB320" s="169"/>
      <c r="GC320" s="169"/>
      <c r="GD320" s="169"/>
      <c r="GE320" s="169"/>
      <c r="GF320" s="169"/>
      <c r="GG320" s="169"/>
      <c r="GW320" s="951"/>
    </row>
    <row r="321" spans="182:205" customFormat="1" x14ac:dyDescent="0.3">
      <c r="FZ321" s="169"/>
      <c r="GA321" s="169"/>
      <c r="GB321" s="169"/>
      <c r="GC321" s="169"/>
      <c r="GD321" s="169"/>
      <c r="GE321" s="169"/>
      <c r="GF321" s="169"/>
      <c r="GG321" s="169"/>
      <c r="GW321" s="951"/>
    </row>
    <row r="322" spans="182:205" customFormat="1" x14ac:dyDescent="0.3">
      <c r="FZ322" s="169"/>
      <c r="GA322" s="169"/>
      <c r="GB322" s="169"/>
      <c r="GC322" s="169"/>
      <c r="GD322" s="169"/>
      <c r="GE322" s="169"/>
      <c r="GF322" s="169"/>
      <c r="GG322" s="169"/>
      <c r="GW322" s="951"/>
    </row>
    <row r="323" spans="182:205" customFormat="1" x14ac:dyDescent="0.3">
      <c r="FZ323" s="169"/>
      <c r="GA323" s="169"/>
      <c r="GB323" s="169"/>
      <c r="GC323" s="169"/>
      <c r="GD323" s="169"/>
      <c r="GE323" s="169"/>
      <c r="GF323" s="169"/>
      <c r="GG323" s="169"/>
      <c r="GW323" s="951"/>
    </row>
    <row r="324" spans="182:205" customFormat="1" x14ac:dyDescent="0.3">
      <c r="FZ324" s="169"/>
      <c r="GA324" s="169"/>
      <c r="GB324" s="169"/>
      <c r="GC324" s="169"/>
      <c r="GD324" s="169"/>
      <c r="GE324" s="169"/>
      <c r="GF324" s="169"/>
      <c r="GG324" s="169"/>
      <c r="GW324" s="951"/>
    </row>
    <row r="325" spans="182:205" customFormat="1" x14ac:dyDescent="0.3">
      <c r="FZ325" s="169"/>
      <c r="GA325" s="169"/>
      <c r="GB325" s="169"/>
      <c r="GC325" s="169"/>
      <c r="GD325" s="169"/>
      <c r="GE325" s="169"/>
      <c r="GF325" s="169"/>
      <c r="GG325" s="169"/>
      <c r="GW325" s="951"/>
    </row>
    <row r="326" spans="182:205" customFormat="1" x14ac:dyDescent="0.3">
      <c r="FZ326" s="169"/>
      <c r="GA326" s="169"/>
      <c r="GB326" s="169"/>
      <c r="GC326" s="169"/>
      <c r="GD326" s="169"/>
      <c r="GE326" s="169"/>
      <c r="GF326" s="169"/>
      <c r="GG326" s="169"/>
      <c r="GW326" s="951"/>
    </row>
    <row r="327" spans="182:205" customFormat="1" x14ac:dyDescent="0.3">
      <c r="FZ327" s="169"/>
      <c r="GA327" s="169"/>
      <c r="GB327" s="169"/>
      <c r="GC327" s="169"/>
      <c r="GD327" s="169"/>
      <c r="GE327" s="169"/>
      <c r="GF327" s="169"/>
      <c r="GG327" s="169"/>
      <c r="GW327" s="951"/>
    </row>
    <row r="328" spans="182:205" customFormat="1" x14ac:dyDescent="0.3">
      <c r="FZ328" s="169"/>
      <c r="GA328" s="169"/>
      <c r="GB328" s="169"/>
      <c r="GC328" s="169"/>
      <c r="GD328" s="169"/>
      <c r="GE328" s="169"/>
      <c r="GF328" s="169"/>
      <c r="GG328" s="169"/>
      <c r="GW328" s="951"/>
    </row>
    <row r="329" spans="182:205" customFormat="1" x14ac:dyDescent="0.3">
      <c r="FZ329" s="169"/>
      <c r="GA329" s="169"/>
      <c r="GB329" s="169"/>
      <c r="GC329" s="169"/>
      <c r="GD329" s="169"/>
      <c r="GE329" s="169"/>
      <c r="GF329" s="169"/>
      <c r="GG329" s="169"/>
      <c r="GW329" s="951"/>
    </row>
    <row r="330" spans="182:205" customFormat="1" x14ac:dyDescent="0.3">
      <c r="FZ330" s="169"/>
      <c r="GA330" s="169"/>
      <c r="GB330" s="169"/>
      <c r="GC330" s="169"/>
      <c r="GD330" s="169"/>
      <c r="GE330" s="169"/>
      <c r="GF330" s="169"/>
      <c r="GG330" s="169"/>
      <c r="GW330" s="951"/>
    </row>
    <row r="331" spans="182:205" customFormat="1" x14ac:dyDescent="0.3">
      <c r="FZ331" s="169"/>
      <c r="GA331" s="169"/>
      <c r="GB331" s="169"/>
      <c r="GC331" s="169"/>
      <c r="GD331" s="169"/>
      <c r="GE331" s="169"/>
      <c r="GF331" s="169"/>
      <c r="GG331" s="169"/>
      <c r="GW331" s="951"/>
    </row>
    <row r="332" spans="182:205" customFormat="1" x14ac:dyDescent="0.3">
      <c r="FZ332" s="169"/>
      <c r="GA332" s="169"/>
      <c r="GB332" s="169"/>
      <c r="GC332" s="169"/>
      <c r="GD332" s="169"/>
      <c r="GE332" s="169"/>
      <c r="GF332" s="169"/>
      <c r="GG332" s="169"/>
      <c r="GW332" s="951"/>
    </row>
    <row r="333" spans="182:205" customFormat="1" x14ac:dyDescent="0.3">
      <c r="FZ333" s="169"/>
      <c r="GA333" s="169"/>
      <c r="GB333" s="169"/>
      <c r="GC333" s="169"/>
      <c r="GD333" s="169"/>
      <c r="GE333" s="169"/>
      <c r="GF333" s="169"/>
      <c r="GG333" s="169"/>
      <c r="GW333" s="951"/>
    </row>
    <row r="334" spans="182:205" customFormat="1" x14ac:dyDescent="0.3">
      <c r="FZ334" s="169"/>
      <c r="GA334" s="169"/>
      <c r="GB334" s="169"/>
      <c r="GC334" s="169"/>
      <c r="GD334" s="169"/>
      <c r="GE334" s="169"/>
      <c r="GF334" s="169"/>
      <c r="GG334" s="169"/>
      <c r="GW334" s="951"/>
    </row>
    <row r="335" spans="182:205" customFormat="1" x14ac:dyDescent="0.3">
      <c r="FZ335" s="169"/>
      <c r="GA335" s="169"/>
      <c r="GB335" s="169"/>
      <c r="GC335" s="169"/>
      <c r="GD335" s="169"/>
      <c r="GE335" s="169"/>
      <c r="GF335" s="169"/>
      <c r="GG335" s="169"/>
      <c r="GW335" s="951"/>
    </row>
    <row r="336" spans="182:205" customFormat="1" x14ac:dyDescent="0.3">
      <c r="FZ336" s="169"/>
      <c r="GA336" s="169"/>
      <c r="GB336" s="169"/>
      <c r="GC336" s="169"/>
      <c r="GD336" s="169"/>
      <c r="GE336" s="169"/>
      <c r="GF336" s="169"/>
      <c r="GG336" s="169"/>
      <c r="GW336" s="951"/>
    </row>
    <row r="337" spans="182:205" customFormat="1" x14ac:dyDescent="0.3">
      <c r="FZ337" s="169"/>
      <c r="GA337" s="169"/>
      <c r="GB337" s="169"/>
      <c r="GC337" s="169"/>
      <c r="GD337" s="169"/>
      <c r="GE337" s="169"/>
      <c r="GF337" s="169"/>
      <c r="GG337" s="169"/>
      <c r="GW337" s="951"/>
    </row>
    <row r="338" spans="182:205" customFormat="1" x14ac:dyDescent="0.3">
      <c r="FZ338" s="169"/>
      <c r="GA338" s="169"/>
      <c r="GB338" s="169"/>
      <c r="GC338" s="169"/>
      <c r="GD338" s="169"/>
      <c r="GE338" s="169"/>
      <c r="GF338" s="169"/>
      <c r="GG338" s="169"/>
      <c r="GW338" s="951"/>
    </row>
    <row r="339" spans="182:205" customFormat="1" x14ac:dyDescent="0.3">
      <c r="FZ339" s="169"/>
      <c r="GA339" s="169"/>
      <c r="GB339" s="169"/>
      <c r="GC339" s="169"/>
      <c r="GD339" s="169"/>
      <c r="GE339" s="169"/>
      <c r="GF339" s="169"/>
      <c r="GG339" s="169"/>
      <c r="GW339" s="951"/>
    </row>
    <row r="340" spans="182:205" customFormat="1" x14ac:dyDescent="0.3">
      <c r="FZ340" s="169"/>
      <c r="GA340" s="169"/>
      <c r="GB340" s="169"/>
      <c r="GC340" s="169"/>
      <c r="GD340" s="169"/>
      <c r="GE340" s="169"/>
      <c r="GF340" s="169"/>
      <c r="GG340" s="169"/>
      <c r="GW340" s="951"/>
    </row>
    <row r="341" spans="182:205" customFormat="1" x14ac:dyDescent="0.3">
      <c r="FZ341" s="169"/>
      <c r="GA341" s="169"/>
      <c r="GB341" s="169"/>
      <c r="GC341" s="169"/>
      <c r="GD341" s="169"/>
      <c r="GE341" s="169"/>
      <c r="GF341" s="169"/>
      <c r="GG341" s="169"/>
      <c r="GW341" s="951"/>
    </row>
    <row r="342" spans="182:205" customFormat="1" x14ac:dyDescent="0.3">
      <c r="FZ342" s="169"/>
      <c r="GA342" s="169"/>
      <c r="GB342" s="169"/>
      <c r="GC342" s="169"/>
      <c r="GD342" s="169"/>
      <c r="GE342" s="169"/>
      <c r="GF342" s="169"/>
      <c r="GG342" s="169"/>
      <c r="GW342" s="951"/>
    </row>
    <row r="343" spans="182:205" customFormat="1" x14ac:dyDescent="0.3">
      <c r="FZ343" s="169"/>
      <c r="GA343" s="169"/>
      <c r="GB343" s="169"/>
      <c r="GC343" s="169"/>
      <c r="GD343" s="169"/>
      <c r="GE343" s="169"/>
      <c r="GF343" s="169"/>
      <c r="GG343" s="169"/>
      <c r="GW343" s="951"/>
    </row>
    <row r="344" spans="182:205" customFormat="1" x14ac:dyDescent="0.3">
      <c r="FZ344" s="169"/>
      <c r="GA344" s="169"/>
      <c r="GB344" s="169"/>
      <c r="GC344" s="169"/>
      <c r="GD344" s="169"/>
      <c r="GE344" s="169"/>
      <c r="GF344" s="169"/>
      <c r="GG344" s="169"/>
      <c r="GW344" s="951"/>
    </row>
    <row r="345" spans="182:205" customFormat="1" x14ac:dyDescent="0.3">
      <c r="FZ345" s="169"/>
      <c r="GA345" s="169"/>
      <c r="GB345" s="169"/>
      <c r="GC345" s="169"/>
      <c r="GD345" s="169"/>
      <c r="GE345" s="169"/>
      <c r="GF345" s="169"/>
      <c r="GG345" s="169"/>
      <c r="GW345" s="951"/>
    </row>
    <row r="346" spans="182:205" customFormat="1" x14ac:dyDescent="0.3">
      <c r="FZ346" s="169"/>
      <c r="GA346" s="169"/>
      <c r="GB346" s="169"/>
      <c r="GC346" s="169"/>
      <c r="GD346" s="169"/>
      <c r="GE346" s="169"/>
      <c r="GF346" s="169"/>
      <c r="GG346" s="169"/>
      <c r="GW346" s="951"/>
    </row>
    <row r="347" spans="182:205" customFormat="1" x14ac:dyDescent="0.3">
      <c r="FZ347" s="169"/>
      <c r="GA347" s="169"/>
      <c r="GB347" s="169"/>
      <c r="GC347" s="169"/>
      <c r="GD347" s="169"/>
      <c r="GE347" s="169"/>
      <c r="GF347" s="169"/>
      <c r="GG347" s="169"/>
      <c r="GW347" s="951"/>
    </row>
    <row r="348" spans="182:205" customFormat="1" x14ac:dyDescent="0.3">
      <c r="FZ348" s="169"/>
      <c r="GA348" s="169"/>
      <c r="GB348" s="169"/>
      <c r="GC348" s="169"/>
      <c r="GD348" s="169"/>
      <c r="GE348" s="169"/>
      <c r="GF348" s="169"/>
      <c r="GG348" s="169"/>
      <c r="GW348" s="951"/>
    </row>
    <row r="349" spans="182:205" customFormat="1" x14ac:dyDescent="0.3">
      <c r="FZ349" s="169"/>
      <c r="GA349" s="169"/>
      <c r="GB349" s="169"/>
      <c r="GC349" s="169"/>
      <c r="GD349" s="169"/>
      <c r="GE349" s="169"/>
      <c r="GF349" s="169"/>
      <c r="GG349" s="169"/>
      <c r="GW349" s="951"/>
    </row>
    <row r="350" spans="182:205" customFormat="1" x14ac:dyDescent="0.3">
      <c r="FZ350" s="169"/>
      <c r="GA350" s="169"/>
      <c r="GB350" s="169"/>
      <c r="GC350" s="169"/>
      <c r="GD350" s="169"/>
      <c r="GE350" s="169"/>
      <c r="GF350" s="169"/>
      <c r="GG350" s="169"/>
      <c r="GW350" s="951"/>
    </row>
    <row r="351" spans="182:205" customFormat="1" x14ac:dyDescent="0.3">
      <c r="FZ351" s="169"/>
      <c r="GA351" s="169"/>
      <c r="GB351" s="169"/>
      <c r="GC351" s="169"/>
      <c r="GD351" s="169"/>
      <c r="GE351" s="169"/>
      <c r="GF351" s="169"/>
      <c r="GG351" s="169"/>
      <c r="GW351" s="951"/>
    </row>
    <row r="352" spans="182:205" customFormat="1" x14ac:dyDescent="0.3">
      <c r="FZ352" s="169"/>
      <c r="GA352" s="169"/>
      <c r="GB352" s="169"/>
      <c r="GC352" s="169"/>
      <c r="GD352" s="169"/>
      <c r="GE352" s="169"/>
      <c r="GF352" s="169"/>
      <c r="GG352" s="169"/>
      <c r="GW352" s="951"/>
    </row>
    <row r="353" spans="182:205" customFormat="1" x14ac:dyDescent="0.3">
      <c r="FZ353" s="169"/>
      <c r="GA353" s="169"/>
      <c r="GB353" s="169"/>
      <c r="GC353" s="169"/>
      <c r="GD353" s="169"/>
      <c r="GE353" s="169"/>
      <c r="GF353" s="169"/>
      <c r="GG353" s="169"/>
      <c r="GW353" s="951"/>
    </row>
    <row r="354" spans="182:205" customFormat="1" x14ac:dyDescent="0.3">
      <c r="FZ354" s="169"/>
      <c r="GA354" s="169"/>
      <c r="GB354" s="169"/>
      <c r="GC354" s="169"/>
      <c r="GD354" s="169"/>
      <c r="GE354" s="169"/>
      <c r="GF354" s="169"/>
      <c r="GG354" s="169"/>
      <c r="GW354" s="951"/>
    </row>
    <row r="355" spans="182:205" customFormat="1" x14ac:dyDescent="0.3">
      <c r="FZ355" s="169"/>
      <c r="GA355" s="169"/>
      <c r="GB355" s="169"/>
      <c r="GC355" s="169"/>
      <c r="GD355" s="169"/>
      <c r="GE355" s="169"/>
      <c r="GF355" s="169"/>
      <c r="GG355" s="169"/>
      <c r="GW355" s="951"/>
    </row>
    <row r="356" spans="182:205" customFormat="1" x14ac:dyDescent="0.3">
      <c r="FZ356" s="169"/>
      <c r="GA356" s="169"/>
      <c r="GB356" s="169"/>
      <c r="GC356" s="169"/>
      <c r="GD356" s="169"/>
      <c r="GE356" s="169"/>
      <c r="GF356" s="169"/>
      <c r="GG356" s="169"/>
      <c r="GW356" s="951"/>
    </row>
    <row r="357" spans="182:205" customFormat="1" x14ac:dyDescent="0.3">
      <c r="FZ357" s="169"/>
      <c r="GA357" s="169"/>
      <c r="GB357" s="169"/>
      <c r="GC357" s="169"/>
      <c r="GD357" s="169"/>
      <c r="GE357" s="169"/>
      <c r="GF357" s="169"/>
      <c r="GG357" s="169"/>
      <c r="GW357" s="951"/>
    </row>
    <row r="358" spans="182:205" customFormat="1" x14ac:dyDescent="0.3">
      <c r="FZ358" s="169"/>
      <c r="GA358" s="169"/>
      <c r="GB358" s="169"/>
      <c r="GC358" s="169"/>
      <c r="GD358" s="169"/>
      <c r="GE358" s="169"/>
      <c r="GF358" s="169"/>
      <c r="GG358" s="169"/>
      <c r="GW358" s="951"/>
    </row>
    <row r="359" spans="182:205" customFormat="1" x14ac:dyDescent="0.3">
      <c r="FZ359" s="169"/>
      <c r="GA359" s="169"/>
      <c r="GB359" s="169"/>
      <c r="GC359" s="169"/>
      <c r="GD359" s="169"/>
      <c r="GE359" s="169"/>
      <c r="GF359" s="169"/>
      <c r="GG359" s="169"/>
      <c r="GW359" s="951"/>
    </row>
    <row r="360" spans="182:205" customFormat="1" x14ac:dyDescent="0.3">
      <c r="FZ360" s="169"/>
      <c r="GA360" s="169"/>
      <c r="GB360" s="169"/>
      <c r="GC360" s="169"/>
      <c r="GD360" s="169"/>
      <c r="GE360" s="169"/>
      <c r="GF360" s="169"/>
      <c r="GG360" s="169"/>
      <c r="GW360" s="951"/>
    </row>
    <row r="361" spans="182:205" customFormat="1" x14ac:dyDescent="0.3">
      <c r="FZ361" s="169"/>
      <c r="GA361" s="169"/>
      <c r="GB361" s="169"/>
      <c r="GC361" s="169"/>
      <c r="GD361" s="169"/>
      <c r="GE361" s="169"/>
      <c r="GF361" s="169"/>
      <c r="GG361" s="169"/>
      <c r="GW361" s="951"/>
    </row>
    <row r="362" spans="182:205" customFormat="1" x14ac:dyDescent="0.3">
      <c r="FZ362" s="169"/>
      <c r="GA362" s="169"/>
      <c r="GB362" s="169"/>
      <c r="GC362" s="169"/>
      <c r="GD362" s="169"/>
      <c r="GE362" s="169"/>
      <c r="GF362" s="169"/>
      <c r="GG362" s="169"/>
      <c r="GW362" s="951"/>
    </row>
    <row r="363" spans="182:205" customFormat="1" x14ac:dyDescent="0.3">
      <c r="FZ363" s="169"/>
      <c r="GA363" s="169"/>
      <c r="GB363" s="169"/>
      <c r="GC363" s="169"/>
      <c r="GD363" s="169"/>
      <c r="GE363" s="169"/>
      <c r="GF363" s="169"/>
      <c r="GG363" s="169"/>
      <c r="GW363" s="951"/>
    </row>
    <row r="364" spans="182:205" customFormat="1" x14ac:dyDescent="0.3">
      <c r="FZ364" s="169"/>
      <c r="GA364" s="169"/>
      <c r="GB364" s="169"/>
      <c r="GC364" s="169"/>
      <c r="GD364" s="169"/>
      <c r="GE364" s="169"/>
      <c r="GF364" s="169"/>
      <c r="GG364" s="169"/>
      <c r="GW364" s="951"/>
    </row>
    <row r="365" spans="182:205" customFormat="1" x14ac:dyDescent="0.3">
      <c r="FZ365" s="169"/>
      <c r="GA365" s="169"/>
      <c r="GB365" s="169"/>
      <c r="GC365" s="169"/>
      <c r="GD365" s="169"/>
      <c r="GE365" s="169"/>
      <c r="GF365" s="169"/>
      <c r="GG365" s="169"/>
      <c r="GW365" s="951"/>
    </row>
    <row r="366" spans="182:205" customFormat="1" x14ac:dyDescent="0.3">
      <c r="FZ366" s="169"/>
      <c r="GA366" s="169"/>
      <c r="GB366" s="169"/>
      <c r="GC366" s="169"/>
      <c r="GD366" s="169"/>
      <c r="GE366" s="169"/>
      <c r="GF366" s="169"/>
      <c r="GG366" s="169"/>
      <c r="GW366" s="951"/>
    </row>
    <row r="367" spans="182:205" customFormat="1" x14ac:dyDescent="0.3">
      <c r="FZ367" s="169"/>
      <c r="GA367" s="169"/>
      <c r="GB367" s="169"/>
      <c r="GC367" s="169"/>
      <c r="GD367" s="169"/>
      <c r="GE367" s="169"/>
      <c r="GF367" s="169"/>
      <c r="GG367" s="169"/>
      <c r="GW367" s="951"/>
    </row>
    <row r="368" spans="182:205" customFormat="1" x14ac:dyDescent="0.3">
      <c r="FZ368" s="169"/>
      <c r="GA368" s="169"/>
      <c r="GB368" s="169"/>
      <c r="GC368" s="169"/>
      <c r="GD368" s="169"/>
      <c r="GE368" s="169"/>
      <c r="GF368" s="169"/>
      <c r="GG368" s="169"/>
      <c r="GW368" s="951"/>
    </row>
    <row r="369" spans="182:205" customFormat="1" x14ac:dyDescent="0.3">
      <c r="FZ369" s="169"/>
      <c r="GA369" s="169"/>
      <c r="GB369" s="169"/>
      <c r="GC369" s="169"/>
      <c r="GD369" s="169"/>
      <c r="GE369" s="169"/>
      <c r="GF369" s="169"/>
      <c r="GG369" s="169"/>
      <c r="GW369" s="951"/>
    </row>
    <row r="370" spans="182:205" customFormat="1" x14ac:dyDescent="0.3">
      <c r="FZ370" s="169"/>
      <c r="GA370" s="169"/>
      <c r="GB370" s="169"/>
      <c r="GC370" s="169"/>
      <c r="GD370" s="169"/>
      <c r="GE370" s="169"/>
      <c r="GF370" s="169"/>
      <c r="GG370" s="169"/>
      <c r="GW370" s="951"/>
    </row>
    <row r="371" spans="182:205" customFormat="1" x14ac:dyDescent="0.3">
      <c r="FZ371" s="169"/>
      <c r="GA371" s="169"/>
      <c r="GB371" s="169"/>
      <c r="GC371" s="169"/>
      <c r="GD371" s="169"/>
      <c r="GE371" s="169"/>
      <c r="GF371" s="169"/>
      <c r="GG371" s="169"/>
      <c r="GW371" s="951"/>
    </row>
    <row r="372" spans="182:205" customFormat="1" x14ac:dyDescent="0.3">
      <c r="FZ372" s="169"/>
      <c r="GA372" s="169"/>
      <c r="GB372" s="169"/>
      <c r="GC372" s="169"/>
      <c r="GD372" s="169"/>
      <c r="GE372" s="169"/>
      <c r="GF372" s="169"/>
      <c r="GG372" s="169"/>
      <c r="GW372" s="951"/>
    </row>
    <row r="373" spans="182:205" customFormat="1" x14ac:dyDescent="0.3">
      <c r="FZ373" s="169"/>
      <c r="GA373" s="169"/>
      <c r="GB373" s="169"/>
      <c r="GC373" s="169"/>
      <c r="GD373" s="169"/>
      <c r="GE373" s="169"/>
      <c r="GF373" s="169"/>
      <c r="GG373" s="169"/>
      <c r="GW373" s="951"/>
    </row>
    <row r="374" spans="182:205" customFormat="1" x14ac:dyDescent="0.3">
      <c r="FZ374" s="169"/>
      <c r="GA374" s="169"/>
      <c r="GB374" s="169"/>
      <c r="GC374" s="169"/>
      <c r="GD374" s="169"/>
      <c r="GE374" s="169"/>
      <c r="GF374" s="169"/>
      <c r="GG374" s="169"/>
      <c r="GW374" s="951"/>
    </row>
    <row r="375" spans="182:205" customFormat="1" x14ac:dyDescent="0.3">
      <c r="FZ375" s="169"/>
      <c r="GA375" s="169"/>
      <c r="GB375" s="169"/>
      <c r="GC375" s="169"/>
      <c r="GD375" s="169"/>
      <c r="GE375" s="169"/>
      <c r="GF375" s="169"/>
      <c r="GG375" s="169"/>
      <c r="GW375" s="951"/>
    </row>
    <row r="376" spans="182:205" customFormat="1" x14ac:dyDescent="0.3">
      <c r="FZ376" s="169"/>
      <c r="GA376" s="169"/>
      <c r="GB376" s="169"/>
      <c r="GC376" s="169"/>
      <c r="GD376" s="169"/>
      <c r="GE376" s="169"/>
      <c r="GF376" s="169"/>
      <c r="GG376" s="169"/>
      <c r="GW376" s="951"/>
    </row>
    <row r="377" spans="182:205" customFormat="1" x14ac:dyDescent="0.3">
      <c r="FZ377" s="169"/>
      <c r="GA377" s="169"/>
      <c r="GB377" s="169"/>
      <c r="GC377" s="169"/>
      <c r="GD377" s="169"/>
      <c r="GE377" s="169"/>
      <c r="GF377" s="169"/>
      <c r="GG377" s="169"/>
      <c r="GW377" s="951"/>
    </row>
    <row r="378" spans="182:205" customFormat="1" x14ac:dyDescent="0.3">
      <c r="FZ378" s="169"/>
      <c r="GA378" s="169"/>
      <c r="GB378" s="169"/>
      <c r="GC378" s="169"/>
      <c r="GD378" s="169"/>
      <c r="GE378" s="169"/>
      <c r="GF378" s="169"/>
      <c r="GG378" s="169"/>
      <c r="GW378" s="951"/>
    </row>
    <row r="379" spans="182:205" customFormat="1" x14ac:dyDescent="0.3">
      <c r="FZ379" s="169"/>
      <c r="GA379" s="169"/>
      <c r="GB379" s="169"/>
      <c r="GC379" s="169"/>
      <c r="GD379" s="169"/>
      <c r="GE379" s="169"/>
      <c r="GF379" s="169"/>
      <c r="GG379" s="169"/>
      <c r="GW379" s="951"/>
    </row>
    <row r="380" spans="182:205" customFormat="1" x14ac:dyDescent="0.3">
      <c r="FZ380" s="169"/>
      <c r="GA380" s="169"/>
      <c r="GB380" s="169"/>
      <c r="GC380" s="169"/>
      <c r="GD380" s="169"/>
      <c r="GE380" s="169"/>
      <c r="GF380" s="169"/>
      <c r="GG380" s="169"/>
      <c r="GW380" s="951"/>
    </row>
    <row r="381" spans="182:205" customFormat="1" x14ac:dyDescent="0.3">
      <c r="FZ381" s="169"/>
      <c r="GA381" s="169"/>
      <c r="GB381" s="169"/>
      <c r="GC381" s="169"/>
      <c r="GD381" s="169"/>
      <c r="GE381" s="169"/>
      <c r="GF381" s="169"/>
      <c r="GG381" s="169"/>
      <c r="GW381" s="951"/>
    </row>
    <row r="382" spans="182:205" customFormat="1" x14ac:dyDescent="0.3">
      <c r="FZ382" s="169"/>
      <c r="GA382" s="169"/>
      <c r="GB382" s="169"/>
      <c r="GC382" s="169"/>
      <c r="GD382" s="169"/>
      <c r="GE382" s="169"/>
      <c r="GF382" s="169"/>
      <c r="GG382" s="169"/>
      <c r="GW382" s="951"/>
    </row>
    <row r="383" spans="182:205" customFormat="1" x14ac:dyDescent="0.3">
      <c r="FZ383" s="169"/>
      <c r="GA383" s="169"/>
      <c r="GB383" s="169"/>
      <c r="GC383" s="169"/>
      <c r="GD383" s="169"/>
      <c r="GE383" s="169"/>
      <c r="GF383" s="169"/>
      <c r="GG383" s="169"/>
      <c r="GW383" s="951"/>
    </row>
    <row r="384" spans="182:205" customFormat="1" x14ac:dyDescent="0.3">
      <c r="FZ384" s="169"/>
      <c r="GA384" s="169"/>
      <c r="GB384" s="169"/>
      <c r="GC384" s="169"/>
      <c r="GD384" s="169"/>
      <c r="GE384" s="169"/>
      <c r="GF384" s="169"/>
      <c r="GG384" s="169"/>
      <c r="GW384" s="951"/>
    </row>
    <row r="385" spans="182:205" customFormat="1" x14ac:dyDescent="0.3">
      <c r="FZ385" s="169"/>
      <c r="GA385" s="169"/>
      <c r="GB385" s="169"/>
      <c r="GC385" s="169"/>
      <c r="GD385" s="169"/>
      <c r="GE385" s="169"/>
      <c r="GF385" s="169"/>
      <c r="GG385" s="169"/>
      <c r="GW385" s="951"/>
    </row>
    <row r="386" spans="182:205" customFormat="1" x14ac:dyDescent="0.3">
      <c r="FZ386" s="169"/>
      <c r="GA386" s="169"/>
      <c r="GB386" s="169"/>
      <c r="GC386" s="169"/>
      <c r="GD386" s="169"/>
      <c r="GE386" s="169"/>
      <c r="GF386" s="169"/>
      <c r="GG386" s="169"/>
      <c r="GW386" s="951"/>
    </row>
    <row r="387" spans="182:205" customFormat="1" x14ac:dyDescent="0.3">
      <c r="FZ387" s="169"/>
      <c r="GA387" s="169"/>
      <c r="GB387" s="169"/>
      <c r="GC387" s="169"/>
      <c r="GD387" s="169"/>
      <c r="GE387" s="169"/>
      <c r="GF387" s="169"/>
      <c r="GG387" s="169"/>
      <c r="GW387" s="951"/>
    </row>
    <row r="388" spans="182:205" customFormat="1" x14ac:dyDescent="0.3">
      <c r="FZ388" s="169"/>
      <c r="GA388" s="169"/>
      <c r="GB388" s="169"/>
      <c r="GC388" s="169"/>
      <c r="GD388" s="169"/>
      <c r="GE388" s="169"/>
      <c r="GF388" s="169"/>
      <c r="GG388" s="169"/>
      <c r="GW388" s="951"/>
    </row>
    <row r="389" spans="182:205" customFormat="1" x14ac:dyDescent="0.3">
      <c r="FZ389" s="169"/>
      <c r="GA389" s="169"/>
      <c r="GB389" s="169"/>
      <c r="GC389" s="169"/>
      <c r="GD389" s="169"/>
      <c r="GE389" s="169"/>
      <c r="GF389" s="169"/>
      <c r="GG389" s="169"/>
      <c r="GW389" s="951"/>
    </row>
    <row r="390" spans="182:205" customFormat="1" x14ac:dyDescent="0.3">
      <c r="FZ390" s="169"/>
      <c r="GA390" s="169"/>
      <c r="GB390" s="169"/>
      <c r="GC390" s="169"/>
      <c r="GD390" s="169"/>
      <c r="GE390" s="169"/>
      <c r="GF390" s="169"/>
      <c r="GG390" s="169"/>
      <c r="GW390" s="951"/>
    </row>
    <row r="391" spans="182:205" customFormat="1" x14ac:dyDescent="0.3">
      <c r="FZ391" s="169"/>
      <c r="GA391" s="169"/>
      <c r="GB391" s="169"/>
      <c r="GC391" s="169"/>
      <c r="GD391" s="169"/>
      <c r="GE391" s="169"/>
      <c r="GF391" s="169"/>
      <c r="GG391" s="169"/>
      <c r="GW391" s="951"/>
    </row>
    <row r="392" spans="182:205" customFormat="1" x14ac:dyDescent="0.3">
      <c r="FZ392" s="169"/>
      <c r="GA392" s="169"/>
      <c r="GB392" s="169"/>
      <c r="GC392" s="169"/>
      <c r="GD392" s="169"/>
      <c r="GE392" s="169"/>
      <c r="GF392" s="169"/>
      <c r="GG392" s="169"/>
      <c r="GW392" s="951"/>
    </row>
    <row r="393" spans="182:205" customFormat="1" x14ac:dyDescent="0.3">
      <c r="FZ393" s="169"/>
      <c r="GA393" s="169"/>
      <c r="GB393" s="169"/>
      <c r="GC393" s="169"/>
      <c r="GD393" s="169"/>
      <c r="GE393" s="169"/>
      <c r="GF393" s="169"/>
      <c r="GG393" s="169"/>
      <c r="GW393" s="951"/>
    </row>
    <row r="394" spans="182:205" customFormat="1" x14ac:dyDescent="0.3">
      <c r="FZ394" s="169"/>
      <c r="GA394" s="169"/>
      <c r="GB394" s="169"/>
      <c r="GC394" s="169"/>
      <c r="GD394" s="169"/>
      <c r="GE394" s="169"/>
      <c r="GF394" s="169"/>
      <c r="GG394" s="169"/>
      <c r="GW394" s="951"/>
    </row>
    <row r="395" spans="182:205" customFormat="1" x14ac:dyDescent="0.3">
      <c r="FZ395" s="169"/>
      <c r="GA395" s="169"/>
      <c r="GB395" s="169"/>
      <c r="GC395" s="169"/>
      <c r="GD395" s="169"/>
      <c r="GE395" s="169"/>
      <c r="GF395" s="169"/>
      <c r="GG395" s="169"/>
      <c r="GW395" s="951"/>
    </row>
    <row r="396" spans="182:205" customFormat="1" x14ac:dyDescent="0.3">
      <c r="FZ396" s="169"/>
      <c r="GA396" s="169"/>
      <c r="GB396" s="169"/>
      <c r="GC396" s="169"/>
      <c r="GD396" s="169"/>
      <c r="GE396" s="169"/>
      <c r="GF396" s="169"/>
      <c r="GG396" s="169"/>
      <c r="GW396" s="951"/>
    </row>
    <row r="397" spans="182:205" customFormat="1" x14ac:dyDescent="0.3">
      <c r="FZ397" s="169"/>
      <c r="GA397" s="169"/>
      <c r="GB397" s="169"/>
      <c r="GC397" s="169"/>
      <c r="GD397" s="169"/>
      <c r="GE397" s="169"/>
      <c r="GF397" s="169"/>
      <c r="GG397" s="169"/>
      <c r="GW397" s="951"/>
    </row>
    <row r="398" spans="182:205" customFormat="1" x14ac:dyDescent="0.3">
      <c r="FZ398" s="169"/>
      <c r="GA398" s="169"/>
      <c r="GB398" s="169"/>
      <c r="GC398" s="169"/>
      <c r="GD398" s="169"/>
      <c r="GE398" s="169"/>
      <c r="GF398" s="169"/>
      <c r="GG398" s="169"/>
      <c r="GW398" s="951"/>
    </row>
    <row r="399" spans="182:205" customFormat="1" x14ac:dyDescent="0.3">
      <c r="FZ399" s="169"/>
      <c r="GA399" s="169"/>
      <c r="GB399" s="169"/>
      <c r="GC399" s="169"/>
      <c r="GD399" s="169"/>
      <c r="GE399" s="169"/>
      <c r="GF399" s="169"/>
      <c r="GG399" s="169"/>
      <c r="GW399" s="951"/>
    </row>
    <row r="400" spans="182:205" customFormat="1" x14ac:dyDescent="0.3">
      <c r="FZ400" s="169"/>
      <c r="GA400" s="169"/>
      <c r="GB400" s="169"/>
      <c r="GC400" s="169"/>
      <c r="GD400" s="169"/>
      <c r="GE400" s="169"/>
      <c r="GF400" s="169"/>
      <c r="GG400" s="169"/>
      <c r="GW400" s="951"/>
    </row>
    <row r="401" spans="182:205" customFormat="1" x14ac:dyDescent="0.3">
      <c r="FZ401" s="169"/>
      <c r="GA401" s="169"/>
      <c r="GB401" s="169"/>
      <c r="GC401" s="169"/>
      <c r="GD401" s="169"/>
      <c r="GE401" s="169"/>
      <c r="GF401" s="169"/>
      <c r="GG401" s="169"/>
      <c r="GW401" s="951"/>
    </row>
    <row r="402" spans="182:205" customFormat="1" x14ac:dyDescent="0.3">
      <c r="FZ402" s="169"/>
      <c r="GA402" s="169"/>
      <c r="GB402" s="169"/>
      <c r="GC402" s="169"/>
      <c r="GD402" s="169"/>
      <c r="GE402" s="169"/>
      <c r="GF402" s="169"/>
      <c r="GG402" s="169"/>
      <c r="GW402" s="951"/>
    </row>
    <row r="403" spans="182:205" customFormat="1" x14ac:dyDescent="0.3">
      <c r="FZ403" s="169"/>
      <c r="GA403" s="169"/>
      <c r="GB403" s="169"/>
      <c r="GC403" s="169"/>
      <c r="GD403" s="169"/>
      <c r="GE403" s="169"/>
      <c r="GF403" s="169"/>
      <c r="GG403" s="169"/>
      <c r="GW403" s="951"/>
    </row>
    <row r="404" spans="182:205" customFormat="1" x14ac:dyDescent="0.3">
      <c r="FZ404" s="169"/>
      <c r="GA404" s="169"/>
      <c r="GB404" s="169"/>
      <c r="GC404" s="169"/>
      <c r="GD404" s="169"/>
      <c r="GE404" s="169"/>
      <c r="GF404" s="169"/>
      <c r="GG404" s="169"/>
      <c r="GW404" s="951"/>
    </row>
    <row r="405" spans="182:205" customFormat="1" x14ac:dyDescent="0.3">
      <c r="FZ405" s="169"/>
      <c r="GA405" s="169"/>
      <c r="GB405" s="169"/>
      <c r="GC405" s="169"/>
      <c r="GD405" s="169"/>
      <c r="GE405" s="169"/>
      <c r="GF405" s="169"/>
      <c r="GG405" s="169"/>
      <c r="GW405" s="951"/>
    </row>
    <row r="406" spans="182:205" customFormat="1" x14ac:dyDescent="0.3">
      <c r="FZ406" s="169"/>
      <c r="GA406" s="169"/>
      <c r="GB406" s="169"/>
      <c r="GC406" s="169"/>
      <c r="GD406" s="169"/>
      <c r="GE406" s="169"/>
      <c r="GF406" s="169"/>
      <c r="GG406" s="169"/>
      <c r="GW406" s="951"/>
    </row>
    <row r="407" spans="182:205" customFormat="1" x14ac:dyDescent="0.3">
      <c r="FZ407" s="169"/>
      <c r="GA407" s="169"/>
      <c r="GB407" s="169"/>
      <c r="GC407" s="169"/>
      <c r="GD407" s="169"/>
      <c r="GE407" s="169"/>
      <c r="GF407" s="169"/>
      <c r="GG407" s="169"/>
      <c r="GW407" s="951"/>
    </row>
    <row r="408" spans="182:205" customFormat="1" x14ac:dyDescent="0.3">
      <c r="FZ408" s="169"/>
      <c r="GA408" s="169"/>
      <c r="GB408" s="169"/>
      <c r="GC408" s="169"/>
      <c r="GD408" s="169"/>
      <c r="GE408" s="169"/>
      <c r="GF408" s="169"/>
      <c r="GG408" s="169"/>
      <c r="GW408" s="951"/>
    </row>
    <row r="409" spans="182:205" customFormat="1" x14ac:dyDescent="0.3">
      <c r="FZ409" s="169"/>
      <c r="GA409" s="169"/>
      <c r="GB409" s="169"/>
      <c r="GC409" s="169"/>
      <c r="GD409" s="169"/>
      <c r="GE409" s="169"/>
      <c r="GF409" s="169"/>
      <c r="GG409" s="169"/>
      <c r="GW409" s="951"/>
    </row>
    <row r="410" spans="182:205" customFormat="1" x14ac:dyDescent="0.3">
      <c r="FZ410" s="169"/>
      <c r="GA410" s="169"/>
      <c r="GB410" s="169"/>
      <c r="GC410" s="169"/>
      <c r="GD410" s="169"/>
      <c r="GE410" s="169"/>
      <c r="GF410" s="169"/>
      <c r="GG410" s="169"/>
      <c r="GW410" s="951"/>
    </row>
    <row r="411" spans="182:205" customFormat="1" x14ac:dyDescent="0.3">
      <c r="FZ411" s="169"/>
      <c r="GA411" s="169"/>
      <c r="GB411" s="169"/>
      <c r="GC411" s="169"/>
      <c r="GD411" s="169"/>
      <c r="GE411" s="169"/>
      <c r="GF411" s="169"/>
      <c r="GG411" s="169"/>
      <c r="GW411" s="951"/>
    </row>
    <row r="412" spans="182:205" customFormat="1" x14ac:dyDescent="0.3">
      <c r="FZ412" s="169"/>
      <c r="GA412" s="169"/>
      <c r="GB412" s="169"/>
      <c r="GC412" s="169"/>
      <c r="GD412" s="169"/>
      <c r="GE412" s="169"/>
      <c r="GF412" s="169"/>
      <c r="GG412" s="169"/>
      <c r="GW412" s="951"/>
    </row>
    <row r="413" spans="182:205" customFormat="1" x14ac:dyDescent="0.3">
      <c r="FZ413" s="169"/>
      <c r="GA413" s="169"/>
      <c r="GB413" s="169"/>
      <c r="GC413" s="169"/>
      <c r="GD413" s="169"/>
      <c r="GE413" s="169"/>
      <c r="GF413" s="169"/>
      <c r="GG413" s="169"/>
      <c r="GW413" s="951"/>
    </row>
    <row r="414" spans="182:205" customFormat="1" x14ac:dyDescent="0.3">
      <c r="FZ414" s="169"/>
      <c r="GA414" s="169"/>
      <c r="GB414" s="169"/>
      <c r="GC414" s="169"/>
      <c r="GD414" s="169"/>
      <c r="GE414" s="169"/>
      <c r="GF414" s="169"/>
      <c r="GG414" s="169"/>
      <c r="GW414" s="951"/>
    </row>
    <row r="415" spans="182:205" customFormat="1" x14ac:dyDescent="0.3">
      <c r="FZ415" s="169"/>
      <c r="GA415" s="169"/>
      <c r="GB415" s="169"/>
      <c r="GC415" s="169"/>
      <c r="GD415" s="169"/>
      <c r="GE415" s="169"/>
      <c r="GF415" s="169"/>
      <c r="GG415" s="169"/>
      <c r="GW415" s="951"/>
    </row>
    <row r="416" spans="182:205" customFormat="1" x14ac:dyDescent="0.3">
      <c r="FZ416" s="169"/>
      <c r="GA416" s="169"/>
      <c r="GB416" s="169"/>
      <c r="GC416" s="169"/>
      <c r="GD416" s="169"/>
      <c r="GE416" s="169"/>
      <c r="GF416" s="169"/>
      <c r="GG416" s="169"/>
      <c r="GW416" s="951"/>
    </row>
    <row r="417" spans="182:205" customFormat="1" x14ac:dyDescent="0.3">
      <c r="FZ417" s="169"/>
      <c r="GA417" s="169"/>
      <c r="GB417" s="169"/>
      <c r="GC417" s="169"/>
      <c r="GD417" s="169"/>
      <c r="GE417" s="169"/>
      <c r="GF417" s="169"/>
      <c r="GG417" s="169"/>
      <c r="GW417" s="951"/>
    </row>
    <row r="418" spans="182:205" customFormat="1" x14ac:dyDescent="0.3">
      <c r="FZ418" s="169"/>
      <c r="GA418" s="169"/>
      <c r="GB418" s="169"/>
      <c r="GC418" s="169"/>
      <c r="GD418" s="169"/>
      <c r="GE418" s="169"/>
      <c r="GF418" s="169"/>
      <c r="GG418" s="169"/>
      <c r="GW418" s="951"/>
    </row>
    <row r="419" spans="182:205" customFormat="1" x14ac:dyDescent="0.3">
      <c r="FZ419" s="169"/>
      <c r="GA419" s="169"/>
      <c r="GB419" s="169"/>
      <c r="GC419" s="169"/>
      <c r="GD419" s="169"/>
      <c r="GE419" s="169"/>
      <c r="GF419" s="169"/>
      <c r="GG419" s="169"/>
      <c r="GW419" s="951"/>
    </row>
    <row r="420" spans="182:205" customFormat="1" x14ac:dyDescent="0.3">
      <c r="FZ420" s="169"/>
      <c r="GA420" s="169"/>
      <c r="GB420" s="169"/>
      <c r="GC420" s="169"/>
      <c r="GD420" s="169"/>
      <c r="GE420" s="169"/>
      <c r="GF420" s="169"/>
      <c r="GG420" s="169"/>
      <c r="GW420" s="951"/>
    </row>
    <row r="421" spans="182:205" customFormat="1" x14ac:dyDescent="0.3">
      <c r="FZ421" s="169"/>
      <c r="GA421" s="169"/>
      <c r="GB421" s="169"/>
      <c r="GC421" s="169"/>
      <c r="GD421" s="169"/>
      <c r="GE421" s="169"/>
      <c r="GF421" s="169"/>
      <c r="GG421" s="169"/>
      <c r="GW421" s="951"/>
    </row>
    <row r="422" spans="182:205" customFormat="1" x14ac:dyDescent="0.3">
      <c r="FZ422" s="169"/>
      <c r="GA422" s="169"/>
      <c r="GB422" s="169"/>
      <c r="GC422" s="169"/>
      <c r="GD422" s="169"/>
      <c r="GE422" s="169"/>
      <c r="GF422" s="169"/>
      <c r="GG422" s="169"/>
      <c r="GW422" s="951"/>
    </row>
    <row r="423" spans="182:205" customFormat="1" x14ac:dyDescent="0.3">
      <c r="FZ423" s="169"/>
      <c r="GA423" s="169"/>
      <c r="GB423" s="169"/>
      <c r="GC423" s="169"/>
      <c r="GD423" s="169"/>
      <c r="GE423" s="169"/>
      <c r="GF423" s="169"/>
      <c r="GG423" s="169"/>
      <c r="GW423" s="951"/>
    </row>
    <row r="424" spans="182:205" customFormat="1" x14ac:dyDescent="0.3">
      <c r="FZ424" s="169"/>
      <c r="GA424" s="169"/>
      <c r="GB424" s="169"/>
      <c r="GC424" s="169"/>
      <c r="GD424" s="169"/>
      <c r="GE424" s="169"/>
      <c r="GF424" s="169"/>
      <c r="GG424" s="169"/>
      <c r="GW424" s="951"/>
    </row>
    <row r="425" spans="182:205" customFormat="1" x14ac:dyDescent="0.3">
      <c r="FZ425" s="169"/>
      <c r="GA425" s="169"/>
      <c r="GB425" s="169"/>
      <c r="GC425" s="169"/>
      <c r="GD425" s="169"/>
      <c r="GE425" s="169"/>
      <c r="GF425" s="169"/>
      <c r="GG425" s="169"/>
      <c r="GW425" s="951"/>
    </row>
    <row r="426" spans="182:205" customFormat="1" x14ac:dyDescent="0.3">
      <c r="FZ426" s="169"/>
      <c r="GA426" s="169"/>
      <c r="GB426" s="169"/>
      <c r="GC426" s="169"/>
      <c r="GD426" s="169"/>
      <c r="GE426" s="169"/>
      <c r="GF426" s="169"/>
      <c r="GG426" s="169"/>
      <c r="GW426" s="951"/>
    </row>
    <row r="427" spans="182:205" customFormat="1" x14ac:dyDescent="0.3">
      <c r="FZ427" s="169"/>
      <c r="GA427" s="169"/>
      <c r="GB427" s="169"/>
      <c r="GC427" s="169"/>
      <c r="GD427" s="169"/>
      <c r="GE427" s="169"/>
      <c r="GF427" s="169"/>
      <c r="GG427" s="169"/>
      <c r="GW427" s="951"/>
    </row>
    <row r="428" spans="182:205" customFormat="1" x14ac:dyDescent="0.3">
      <c r="FZ428" s="169"/>
      <c r="GA428" s="169"/>
      <c r="GB428" s="169"/>
      <c r="GC428" s="169"/>
      <c r="GD428" s="169"/>
      <c r="GE428" s="169"/>
      <c r="GF428" s="169"/>
      <c r="GG428" s="169"/>
      <c r="GW428" s="951"/>
    </row>
    <row r="429" spans="182:205" customFormat="1" x14ac:dyDescent="0.3">
      <c r="FZ429" s="169"/>
      <c r="GA429" s="169"/>
      <c r="GB429" s="169"/>
      <c r="GC429" s="169"/>
      <c r="GD429" s="169"/>
      <c r="GE429" s="169"/>
      <c r="GF429" s="169"/>
      <c r="GG429" s="169"/>
      <c r="GW429" s="951"/>
    </row>
    <row r="430" spans="182:205" customFormat="1" x14ac:dyDescent="0.3">
      <c r="FZ430" s="169"/>
      <c r="GA430" s="169"/>
      <c r="GB430" s="169"/>
      <c r="GC430" s="169"/>
      <c r="GD430" s="169"/>
      <c r="GE430" s="169"/>
      <c r="GF430" s="169"/>
      <c r="GG430" s="169"/>
      <c r="GW430" s="951"/>
    </row>
    <row r="431" spans="182:205" customFormat="1" x14ac:dyDescent="0.3">
      <c r="FZ431" s="169"/>
      <c r="GA431" s="169"/>
      <c r="GB431" s="169"/>
      <c r="GC431" s="169"/>
      <c r="GD431" s="169"/>
      <c r="GE431" s="169"/>
      <c r="GF431" s="169"/>
      <c r="GG431" s="169"/>
      <c r="GW431" s="951"/>
    </row>
    <row r="432" spans="182:205" customFormat="1" x14ac:dyDescent="0.3">
      <c r="FZ432" s="169"/>
      <c r="GA432" s="169"/>
      <c r="GB432" s="169"/>
      <c r="GC432" s="169"/>
      <c r="GD432" s="169"/>
      <c r="GE432" s="169"/>
      <c r="GF432" s="169"/>
      <c r="GG432" s="169"/>
      <c r="GW432" s="951"/>
    </row>
    <row r="433" spans="182:205" customFormat="1" x14ac:dyDescent="0.3">
      <c r="FZ433" s="169"/>
      <c r="GA433" s="169"/>
      <c r="GB433" s="169"/>
      <c r="GC433" s="169"/>
      <c r="GD433" s="169"/>
      <c r="GE433" s="169"/>
      <c r="GF433" s="169"/>
      <c r="GG433" s="169"/>
      <c r="GW433" s="951"/>
    </row>
    <row r="434" spans="182:205" customFormat="1" x14ac:dyDescent="0.3">
      <c r="FZ434" s="169"/>
      <c r="GA434" s="169"/>
      <c r="GB434" s="169"/>
      <c r="GC434" s="169"/>
      <c r="GD434" s="169"/>
      <c r="GE434" s="169"/>
      <c r="GF434" s="169"/>
      <c r="GG434" s="169"/>
      <c r="GW434" s="951"/>
    </row>
    <row r="435" spans="182:205" customFormat="1" x14ac:dyDescent="0.3">
      <c r="FZ435" s="169"/>
      <c r="GA435" s="169"/>
      <c r="GB435" s="169"/>
      <c r="GC435" s="169"/>
      <c r="GD435" s="169"/>
      <c r="GE435" s="169"/>
      <c r="GF435" s="169"/>
      <c r="GG435" s="169"/>
      <c r="GW435" s="951"/>
    </row>
    <row r="436" spans="182:205" customFormat="1" x14ac:dyDescent="0.3">
      <c r="FZ436" s="169"/>
      <c r="GA436" s="169"/>
      <c r="GB436" s="169"/>
      <c r="GC436" s="169"/>
      <c r="GD436" s="169"/>
      <c r="GE436" s="169"/>
      <c r="GF436" s="169"/>
      <c r="GG436" s="169"/>
      <c r="GW436" s="951"/>
    </row>
    <row r="437" spans="182:205" customFormat="1" x14ac:dyDescent="0.3">
      <c r="FZ437" s="169"/>
      <c r="GA437" s="169"/>
      <c r="GB437" s="169"/>
      <c r="GC437" s="169"/>
      <c r="GD437" s="169"/>
      <c r="GE437" s="169"/>
      <c r="GF437" s="169"/>
      <c r="GG437" s="169"/>
      <c r="GW437" s="951"/>
    </row>
    <row r="438" spans="182:205" customFormat="1" x14ac:dyDescent="0.3">
      <c r="FZ438" s="169"/>
      <c r="GA438" s="169"/>
      <c r="GB438" s="169"/>
      <c r="GC438" s="169"/>
      <c r="GD438" s="169"/>
      <c r="GE438" s="169"/>
      <c r="GF438" s="169"/>
      <c r="GG438" s="169"/>
      <c r="GW438" s="951"/>
    </row>
    <row r="439" spans="182:205" customFormat="1" x14ac:dyDescent="0.3">
      <c r="FZ439" s="169"/>
      <c r="GA439" s="169"/>
      <c r="GB439" s="169"/>
      <c r="GC439" s="169"/>
      <c r="GD439" s="169"/>
      <c r="GE439" s="169"/>
      <c r="GF439" s="169"/>
      <c r="GG439" s="169"/>
      <c r="GW439" s="951"/>
    </row>
    <row r="440" spans="182:205" customFormat="1" x14ac:dyDescent="0.3">
      <c r="FZ440" s="169"/>
      <c r="GA440" s="169"/>
      <c r="GB440" s="169"/>
      <c r="GC440" s="169"/>
      <c r="GD440" s="169"/>
      <c r="GE440" s="169"/>
      <c r="GF440" s="169"/>
      <c r="GG440" s="169"/>
      <c r="GW440" s="951"/>
    </row>
    <row r="441" spans="182:205" customFormat="1" x14ac:dyDescent="0.3">
      <c r="FZ441" s="169"/>
      <c r="GA441" s="169"/>
      <c r="GB441" s="169"/>
      <c r="GC441" s="169"/>
      <c r="GD441" s="169"/>
      <c r="GE441" s="169"/>
      <c r="GF441" s="169"/>
      <c r="GG441" s="169"/>
      <c r="GW441" s="951"/>
    </row>
    <row r="442" spans="182:205" customFormat="1" x14ac:dyDescent="0.3">
      <c r="FZ442" s="169"/>
      <c r="GA442" s="169"/>
      <c r="GB442" s="169"/>
      <c r="GC442" s="169"/>
      <c r="GD442" s="169"/>
      <c r="GE442" s="169"/>
      <c r="GF442" s="169"/>
      <c r="GG442" s="169"/>
      <c r="GW442" s="951"/>
    </row>
    <row r="443" spans="182:205" customFormat="1" x14ac:dyDescent="0.3">
      <c r="FZ443" s="169"/>
      <c r="GA443" s="169"/>
      <c r="GB443" s="169"/>
      <c r="GC443" s="169"/>
      <c r="GD443" s="169"/>
      <c r="GE443" s="169"/>
      <c r="GF443" s="169"/>
      <c r="GG443" s="169"/>
      <c r="GW443" s="951"/>
    </row>
    <row r="444" spans="182:205" customFormat="1" x14ac:dyDescent="0.3">
      <c r="FZ444" s="169"/>
      <c r="GA444" s="169"/>
      <c r="GB444" s="169"/>
      <c r="GC444" s="169"/>
      <c r="GD444" s="169"/>
      <c r="GE444" s="169"/>
      <c r="GF444" s="169"/>
      <c r="GG444" s="169"/>
      <c r="GW444" s="951"/>
    </row>
    <row r="445" spans="182:205" customFormat="1" x14ac:dyDescent="0.3">
      <c r="FZ445" s="169"/>
      <c r="GA445" s="169"/>
      <c r="GB445" s="169"/>
      <c r="GC445" s="169"/>
      <c r="GD445" s="169"/>
      <c r="GE445" s="169"/>
      <c r="GF445" s="169"/>
      <c r="GG445" s="169"/>
      <c r="GW445" s="951"/>
    </row>
    <row r="446" spans="182:205" customFormat="1" x14ac:dyDescent="0.3">
      <c r="FZ446" s="169"/>
      <c r="GA446" s="169"/>
      <c r="GB446" s="169"/>
      <c r="GC446" s="169"/>
      <c r="GD446" s="169"/>
      <c r="GE446" s="169"/>
      <c r="GF446" s="169"/>
      <c r="GG446" s="169"/>
      <c r="GW446" s="951"/>
    </row>
    <row r="447" spans="182:205" customFormat="1" x14ac:dyDescent="0.3">
      <c r="FZ447" s="169"/>
      <c r="GA447" s="169"/>
      <c r="GB447" s="169"/>
      <c r="GC447" s="169"/>
      <c r="GD447" s="169"/>
      <c r="GE447" s="169"/>
      <c r="GF447" s="169"/>
      <c r="GG447" s="169"/>
      <c r="GW447" s="951"/>
    </row>
    <row r="448" spans="182:205" customFormat="1" x14ac:dyDescent="0.3">
      <c r="FZ448" s="169"/>
      <c r="GA448" s="169"/>
      <c r="GB448" s="169"/>
      <c r="GC448" s="169"/>
      <c r="GD448" s="169"/>
      <c r="GE448" s="169"/>
      <c r="GF448" s="169"/>
      <c r="GG448" s="169"/>
      <c r="GW448" s="951"/>
    </row>
    <row r="449" spans="182:205" customFormat="1" x14ac:dyDescent="0.3">
      <c r="FZ449" s="169"/>
      <c r="GA449" s="169"/>
      <c r="GB449" s="169"/>
      <c r="GC449" s="169"/>
      <c r="GD449" s="169"/>
      <c r="GE449" s="169"/>
      <c r="GF449" s="169"/>
      <c r="GG449" s="169"/>
      <c r="GW449" s="951"/>
    </row>
    <row r="450" spans="182:205" customFormat="1" x14ac:dyDescent="0.3">
      <c r="FZ450" s="169"/>
      <c r="GA450" s="169"/>
      <c r="GB450" s="169"/>
      <c r="GC450" s="169"/>
      <c r="GD450" s="169"/>
      <c r="GE450" s="169"/>
      <c r="GF450" s="169"/>
      <c r="GG450" s="169"/>
      <c r="GW450" s="951"/>
    </row>
    <row r="451" spans="182:205" customFormat="1" x14ac:dyDescent="0.3">
      <c r="FZ451" s="169"/>
      <c r="GA451" s="169"/>
      <c r="GB451" s="169"/>
      <c r="GC451" s="169"/>
      <c r="GD451" s="169"/>
      <c r="GE451" s="169"/>
      <c r="GF451" s="169"/>
      <c r="GG451" s="169"/>
      <c r="GW451" s="951"/>
    </row>
    <row r="452" spans="182:205" customFormat="1" x14ac:dyDescent="0.3">
      <c r="FZ452" s="169"/>
      <c r="GA452" s="169"/>
      <c r="GB452" s="169"/>
      <c r="GC452" s="169"/>
      <c r="GD452" s="169"/>
      <c r="GE452" s="169"/>
      <c r="GF452" s="169"/>
      <c r="GG452" s="169"/>
      <c r="GW452" s="951"/>
    </row>
    <row r="453" spans="182:205" customFormat="1" x14ac:dyDescent="0.3">
      <c r="FZ453" s="169"/>
      <c r="GA453" s="169"/>
      <c r="GB453" s="169"/>
      <c r="GC453" s="169"/>
      <c r="GD453" s="169"/>
      <c r="GE453" s="169"/>
      <c r="GF453" s="169"/>
      <c r="GG453" s="169"/>
      <c r="GW453" s="951"/>
    </row>
    <row r="454" spans="182:205" customFormat="1" x14ac:dyDescent="0.3">
      <c r="FZ454" s="169"/>
      <c r="GA454" s="169"/>
      <c r="GB454" s="169"/>
      <c r="GC454" s="169"/>
      <c r="GD454" s="169"/>
      <c r="GE454" s="169"/>
      <c r="GF454" s="169"/>
      <c r="GG454" s="169"/>
      <c r="GW454" s="951"/>
    </row>
    <row r="455" spans="182:205" customFormat="1" x14ac:dyDescent="0.3">
      <c r="FZ455" s="169"/>
      <c r="GA455" s="169"/>
      <c r="GB455" s="169"/>
      <c r="GC455" s="169"/>
      <c r="GD455" s="169"/>
      <c r="GE455" s="169"/>
      <c r="GF455" s="169"/>
      <c r="GG455" s="169"/>
      <c r="GW455" s="951"/>
    </row>
    <row r="456" spans="182:205" customFormat="1" x14ac:dyDescent="0.3">
      <c r="FZ456" s="169"/>
      <c r="GA456" s="169"/>
      <c r="GB456" s="169"/>
      <c r="GC456" s="169"/>
      <c r="GD456" s="169"/>
      <c r="GE456" s="169"/>
      <c r="GF456" s="169"/>
      <c r="GG456" s="169"/>
      <c r="GW456" s="951"/>
    </row>
    <row r="457" spans="182:205" customFormat="1" x14ac:dyDescent="0.3">
      <c r="FZ457" s="169"/>
      <c r="GA457" s="169"/>
      <c r="GB457" s="169"/>
      <c r="GC457" s="169"/>
      <c r="GD457" s="169"/>
      <c r="GE457" s="169"/>
      <c r="GF457" s="169"/>
      <c r="GG457" s="169"/>
      <c r="GW457" s="951"/>
    </row>
    <row r="458" spans="182:205" customFormat="1" x14ac:dyDescent="0.3">
      <c r="FZ458" s="169"/>
      <c r="GA458" s="169"/>
      <c r="GB458" s="169"/>
      <c r="GC458" s="169"/>
      <c r="GD458" s="169"/>
      <c r="GE458" s="169"/>
      <c r="GF458" s="169"/>
      <c r="GG458" s="169"/>
      <c r="GW458" s="951"/>
    </row>
    <row r="459" spans="182:205" customFormat="1" x14ac:dyDescent="0.3">
      <c r="FZ459" s="169"/>
      <c r="GA459" s="169"/>
      <c r="GB459" s="169"/>
      <c r="GC459" s="169"/>
      <c r="GD459" s="169"/>
      <c r="GE459" s="169"/>
      <c r="GF459" s="169"/>
      <c r="GG459" s="169"/>
      <c r="GW459" s="951"/>
    </row>
    <row r="460" spans="182:205" customFormat="1" x14ac:dyDescent="0.3">
      <c r="FZ460" s="169"/>
      <c r="GA460" s="169"/>
      <c r="GB460" s="169"/>
      <c r="GC460" s="169"/>
      <c r="GD460" s="169"/>
      <c r="GE460" s="169"/>
      <c r="GF460" s="169"/>
      <c r="GG460" s="169"/>
      <c r="GW460" s="951"/>
    </row>
    <row r="461" spans="182:205" customFormat="1" x14ac:dyDescent="0.3">
      <c r="FZ461" s="169"/>
      <c r="GA461" s="169"/>
      <c r="GB461" s="169"/>
      <c r="GC461" s="169"/>
      <c r="GD461" s="169"/>
      <c r="GE461" s="169"/>
      <c r="GF461" s="169"/>
      <c r="GG461" s="169"/>
      <c r="GW461" s="951"/>
    </row>
    <row r="462" spans="182:205" customFormat="1" x14ac:dyDescent="0.3">
      <c r="FZ462" s="169"/>
      <c r="GA462" s="169"/>
      <c r="GB462" s="169"/>
      <c r="GC462" s="169"/>
      <c r="GD462" s="169"/>
      <c r="GE462" s="169"/>
      <c r="GF462" s="169"/>
      <c r="GG462" s="169"/>
      <c r="GW462" s="951"/>
    </row>
    <row r="463" spans="182:205" customFormat="1" x14ac:dyDescent="0.3">
      <c r="FZ463" s="169"/>
      <c r="GA463" s="169"/>
      <c r="GB463" s="169"/>
      <c r="GC463" s="169"/>
      <c r="GD463" s="169"/>
      <c r="GE463" s="169"/>
      <c r="GF463" s="169"/>
      <c r="GG463" s="169"/>
      <c r="GW463" s="951"/>
    </row>
    <row r="464" spans="182:205" customFormat="1" x14ac:dyDescent="0.3">
      <c r="FZ464" s="169"/>
      <c r="GA464" s="169"/>
      <c r="GB464" s="169"/>
      <c r="GC464" s="169"/>
      <c r="GD464" s="169"/>
      <c r="GE464" s="169"/>
      <c r="GF464" s="169"/>
      <c r="GG464" s="169"/>
      <c r="GW464" s="951"/>
    </row>
    <row r="465" spans="182:205" customFormat="1" x14ac:dyDescent="0.3">
      <c r="FZ465" s="169"/>
      <c r="GA465" s="169"/>
      <c r="GB465" s="169"/>
      <c r="GC465" s="169"/>
      <c r="GD465" s="169"/>
      <c r="GE465" s="169"/>
      <c r="GF465" s="169"/>
      <c r="GG465" s="169"/>
      <c r="GW465" s="951"/>
    </row>
    <row r="466" spans="182:205" customFormat="1" x14ac:dyDescent="0.3">
      <c r="FZ466" s="169"/>
      <c r="GA466" s="169"/>
      <c r="GB466" s="169"/>
      <c r="GC466" s="169"/>
      <c r="GD466" s="169"/>
      <c r="GE466" s="169"/>
      <c r="GF466" s="169"/>
      <c r="GG466" s="169"/>
      <c r="GW466" s="951"/>
    </row>
    <row r="467" spans="182:205" customFormat="1" x14ac:dyDescent="0.3">
      <c r="FZ467" s="169"/>
      <c r="GA467" s="169"/>
      <c r="GB467" s="169"/>
      <c r="GC467" s="169"/>
      <c r="GD467" s="169"/>
      <c r="GE467" s="169"/>
      <c r="GF467" s="169"/>
      <c r="GG467" s="169"/>
      <c r="GW467" s="951"/>
    </row>
    <row r="468" spans="182:205" customFormat="1" x14ac:dyDescent="0.3">
      <c r="FZ468" s="169"/>
      <c r="GA468" s="169"/>
      <c r="GB468" s="169"/>
      <c r="GC468" s="169"/>
      <c r="GD468" s="169"/>
      <c r="GE468" s="169"/>
      <c r="GF468" s="169"/>
      <c r="GG468" s="169"/>
      <c r="GW468" s="951"/>
    </row>
    <row r="469" spans="182:205" customFormat="1" x14ac:dyDescent="0.3">
      <c r="FZ469" s="169"/>
      <c r="GA469" s="169"/>
      <c r="GB469" s="169"/>
      <c r="GC469" s="169"/>
      <c r="GD469" s="169"/>
      <c r="GE469" s="169"/>
      <c r="GF469" s="169"/>
      <c r="GG469" s="169"/>
      <c r="GW469" s="951"/>
    </row>
    <row r="470" spans="182:205" customFormat="1" x14ac:dyDescent="0.3">
      <c r="FZ470" s="169"/>
      <c r="GA470" s="169"/>
      <c r="GB470" s="169"/>
      <c r="GC470" s="169"/>
      <c r="GD470" s="169"/>
      <c r="GE470" s="169"/>
      <c r="GF470" s="169"/>
      <c r="GG470" s="169"/>
      <c r="GW470" s="951"/>
    </row>
    <row r="471" spans="182:205" customFormat="1" x14ac:dyDescent="0.3">
      <c r="FZ471" s="169"/>
      <c r="GA471" s="169"/>
      <c r="GB471" s="169"/>
      <c r="GC471" s="169"/>
      <c r="GD471" s="169"/>
      <c r="GE471" s="169"/>
      <c r="GF471" s="169"/>
      <c r="GG471" s="169"/>
      <c r="GW471" s="951"/>
    </row>
    <row r="472" spans="182:205" customFormat="1" x14ac:dyDescent="0.3">
      <c r="FZ472" s="169"/>
      <c r="GA472" s="169"/>
      <c r="GB472" s="169"/>
      <c r="GC472" s="169"/>
      <c r="GD472" s="169"/>
      <c r="GE472" s="169"/>
      <c r="GF472" s="169"/>
      <c r="GG472" s="169"/>
      <c r="GW472" s="951"/>
    </row>
    <row r="473" spans="182:205" customFormat="1" x14ac:dyDescent="0.3">
      <c r="FZ473" s="169"/>
      <c r="GA473" s="169"/>
      <c r="GB473" s="169"/>
      <c r="GC473" s="169"/>
      <c r="GD473" s="169"/>
      <c r="GE473" s="169"/>
      <c r="GF473" s="169"/>
      <c r="GG473" s="169"/>
      <c r="GW473" s="951"/>
    </row>
    <row r="474" spans="182:205" customFormat="1" x14ac:dyDescent="0.3">
      <c r="FZ474" s="169"/>
      <c r="GA474" s="169"/>
      <c r="GB474" s="169"/>
      <c r="GC474" s="169"/>
      <c r="GD474" s="169"/>
      <c r="GE474" s="169"/>
      <c r="GF474" s="169"/>
      <c r="GG474" s="169"/>
      <c r="GW474" s="951"/>
    </row>
    <row r="475" spans="182:205" customFormat="1" x14ac:dyDescent="0.3">
      <c r="FZ475" s="169"/>
      <c r="GA475" s="169"/>
      <c r="GB475" s="169"/>
      <c r="GC475" s="169"/>
      <c r="GD475" s="169"/>
      <c r="GE475" s="169"/>
      <c r="GF475" s="169"/>
      <c r="GG475" s="169"/>
      <c r="GW475" s="951"/>
    </row>
    <row r="476" spans="182:205" customFormat="1" x14ac:dyDescent="0.3">
      <c r="FZ476" s="169"/>
      <c r="GA476" s="169"/>
      <c r="GB476" s="169"/>
      <c r="GC476" s="169"/>
      <c r="GD476" s="169"/>
      <c r="GE476" s="169"/>
      <c r="GF476" s="169"/>
      <c r="GG476" s="169"/>
      <c r="GW476" s="951"/>
    </row>
    <row r="477" spans="182:205" customFormat="1" x14ac:dyDescent="0.3">
      <c r="FZ477" s="169"/>
      <c r="GA477" s="169"/>
      <c r="GB477" s="169"/>
      <c r="GC477" s="169"/>
      <c r="GD477" s="169"/>
      <c r="GE477" s="169"/>
      <c r="GF477" s="169"/>
      <c r="GG477" s="169"/>
      <c r="GW477" s="951"/>
    </row>
    <row r="478" spans="182:205" customFormat="1" x14ac:dyDescent="0.3">
      <c r="FZ478" s="169"/>
      <c r="GA478" s="169"/>
      <c r="GB478" s="169"/>
      <c r="GC478" s="169"/>
      <c r="GD478" s="169"/>
      <c r="GE478" s="169"/>
      <c r="GF478" s="169"/>
      <c r="GG478" s="169"/>
      <c r="GW478" s="951"/>
    </row>
    <row r="479" spans="182:205" customFormat="1" x14ac:dyDescent="0.3">
      <c r="FZ479" s="169"/>
      <c r="GA479" s="169"/>
      <c r="GB479" s="169"/>
      <c r="GC479" s="169"/>
      <c r="GD479" s="169"/>
      <c r="GE479" s="169"/>
      <c r="GF479" s="169"/>
      <c r="GG479" s="169"/>
      <c r="GW479" s="951"/>
    </row>
    <row r="480" spans="182:205" customFormat="1" x14ac:dyDescent="0.3">
      <c r="FZ480" s="169"/>
      <c r="GA480" s="169"/>
      <c r="GB480" s="169"/>
      <c r="GC480" s="169"/>
      <c r="GD480" s="169"/>
      <c r="GE480" s="169"/>
      <c r="GF480" s="169"/>
      <c r="GG480" s="169"/>
      <c r="GW480" s="951"/>
    </row>
    <row r="481" spans="182:205" customFormat="1" x14ac:dyDescent="0.3">
      <c r="FZ481" s="169"/>
      <c r="GA481" s="169"/>
      <c r="GB481" s="169"/>
      <c r="GC481" s="169"/>
      <c r="GD481" s="169"/>
      <c r="GE481" s="169"/>
      <c r="GF481" s="169"/>
      <c r="GG481" s="169"/>
      <c r="GW481" s="951"/>
    </row>
    <row r="482" spans="182:205" customFormat="1" x14ac:dyDescent="0.3">
      <c r="FZ482" s="169"/>
      <c r="GA482" s="169"/>
      <c r="GB482" s="169"/>
      <c r="GC482" s="169"/>
      <c r="GD482" s="169"/>
      <c r="GE482" s="169"/>
      <c r="GF482" s="169"/>
      <c r="GG482" s="169"/>
      <c r="GW482" s="951"/>
    </row>
    <row r="483" spans="182:205" customFormat="1" x14ac:dyDescent="0.3">
      <c r="FZ483" s="169"/>
      <c r="GA483" s="169"/>
      <c r="GB483" s="169"/>
      <c r="GC483" s="169"/>
      <c r="GD483" s="169"/>
      <c r="GE483" s="169"/>
      <c r="GF483" s="169"/>
      <c r="GG483" s="169"/>
      <c r="GW483" s="951"/>
    </row>
    <row r="484" spans="182:205" customFormat="1" x14ac:dyDescent="0.3">
      <c r="FZ484" s="169"/>
      <c r="GA484" s="169"/>
      <c r="GB484" s="169"/>
      <c r="GC484" s="169"/>
      <c r="GD484" s="169"/>
      <c r="GE484" s="169"/>
      <c r="GF484" s="169"/>
      <c r="GG484" s="169"/>
      <c r="GW484" s="951"/>
    </row>
    <row r="485" spans="182:205" customFormat="1" x14ac:dyDescent="0.3">
      <c r="FZ485" s="169"/>
      <c r="GA485" s="169"/>
      <c r="GB485" s="169"/>
      <c r="GC485" s="169"/>
      <c r="GD485" s="169"/>
      <c r="GE485" s="169"/>
      <c r="GF485" s="169"/>
      <c r="GG485" s="169"/>
      <c r="GW485" s="951"/>
    </row>
    <row r="486" spans="182:205" customFormat="1" x14ac:dyDescent="0.3">
      <c r="FZ486" s="169"/>
      <c r="GA486" s="169"/>
      <c r="GB486" s="169"/>
      <c r="GC486" s="169"/>
      <c r="GD486" s="169"/>
      <c r="GE486" s="169"/>
      <c r="GF486" s="169"/>
      <c r="GG486" s="169"/>
      <c r="GW486" s="951"/>
    </row>
    <row r="487" spans="182:205" customFormat="1" x14ac:dyDescent="0.3">
      <c r="FZ487" s="169"/>
      <c r="GA487" s="169"/>
      <c r="GB487" s="169"/>
      <c r="GC487" s="169"/>
      <c r="GD487" s="169"/>
      <c r="GE487" s="169"/>
      <c r="GF487" s="169"/>
      <c r="GG487" s="169"/>
      <c r="GW487" s="951"/>
    </row>
    <row r="488" spans="182:205" customFormat="1" x14ac:dyDescent="0.3">
      <c r="FZ488" s="169"/>
      <c r="GA488" s="169"/>
      <c r="GB488" s="169"/>
      <c r="GC488" s="169"/>
      <c r="GD488" s="169"/>
      <c r="GE488" s="169"/>
      <c r="GF488" s="169"/>
      <c r="GG488" s="169"/>
      <c r="GW488" s="951"/>
    </row>
    <row r="489" spans="182:205" customFormat="1" x14ac:dyDescent="0.3">
      <c r="FZ489" s="169"/>
      <c r="GA489" s="169"/>
      <c r="GB489" s="169"/>
      <c r="GC489" s="169"/>
      <c r="GD489" s="169"/>
      <c r="GE489" s="169"/>
      <c r="GF489" s="169"/>
      <c r="GG489" s="169"/>
      <c r="GW489" s="951"/>
    </row>
    <row r="490" spans="182:205" customFormat="1" x14ac:dyDescent="0.3">
      <c r="FZ490" s="169"/>
      <c r="GA490" s="169"/>
      <c r="GB490" s="169"/>
      <c r="GC490" s="169"/>
      <c r="GD490" s="169"/>
      <c r="GE490" s="169"/>
      <c r="GF490" s="169"/>
      <c r="GG490" s="169"/>
      <c r="GW490" s="951"/>
    </row>
    <row r="491" spans="182:205" customFormat="1" x14ac:dyDescent="0.3">
      <c r="FZ491" s="169"/>
      <c r="GA491" s="169"/>
      <c r="GB491" s="169"/>
      <c r="GC491" s="169"/>
      <c r="GD491" s="169"/>
      <c r="GE491" s="169"/>
      <c r="GF491" s="169"/>
      <c r="GG491" s="169"/>
      <c r="GW491" s="951"/>
    </row>
    <row r="492" spans="182:205" customFormat="1" x14ac:dyDescent="0.3">
      <c r="FZ492" s="169"/>
      <c r="GA492" s="169"/>
      <c r="GB492" s="169"/>
      <c r="GC492" s="169"/>
      <c r="GD492" s="169"/>
      <c r="GE492" s="169"/>
      <c r="GF492" s="169"/>
      <c r="GG492" s="169"/>
      <c r="GW492" s="951"/>
    </row>
    <row r="493" spans="182:205" customFormat="1" x14ac:dyDescent="0.3">
      <c r="FZ493" s="169"/>
      <c r="GA493" s="169"/>
      <c r="GB493" s="169"/>
      <c r="GC493" s="169"/>
      <c r="GD493" s="169"/>
      <c r="GE493" s="169"/>
      <c r="GF493" s="169"/>
      <c r="GG493" s="169"/>
      <c r="GW493" s="951"/>
    </row>
    <row r="494" spans="182:205" customFormat="1" x14ac:dyDescent="0.3">
      <c r="FZ494" s="169"/>
      <c r="GA494" s="169"/>
      <c r="GB494" s="169"/>
      <c r="GC494" s="169"/>
      <c r="GD494" s="169"/>
      <c r="GE494" s="169"/>
      <c r="GF494" s="169"/>
      <c r="GG494" s="169"/>
      <c r="GW494" s="951"/>
    </row>
    <row r="495" spans="182:205" customFormat="1" x14ac:dyDescent="0.3">
      <c r="FZ495" s="169"/>
      <c r="GA495" s="169"/>
      <c r="GB495" s="169"/>
      <c r="GC495" s="169"/>
      <c r="GD495" s="169"/>
      <c r="GE495" s="169"/>
      <c r="GF495" s="169"/>
      <c r="GG495" s="169"/>
      <c r="GW495" s="951"/>
    </row>
    <row r="496" spans="182:205" customFormat="1" x14ac:dyDescent="0.3">
      <c r="FZ496" s="169"/>
      <c r="GA496" s="169"/>
      <c r="GB496" s="169"/>
      <c r="GC496" s="169"/>
      <c r="GD496" s="169"/>
      <c r="GE496" s="169"/>
      <c r="GF496" s="169"/>
      <c r="GG496" s="169"/>
      <c r="GW496" s="951"/>
    </row>
    <row r="497" spans="182:205" customFormat="1" x14ac:dyDescent="0.3">
      <c r="FZ497" s="169"/>
      <c r="GA497" s="169"/>
      <c r="GB497" s="169"/>
      <c r="GC497" s="169"/>
      <c r="GD497" s="169"/>
      <c r="GE497" s="169"/>
      <c r="GF497" s="169"/>
      <c r="GG497" s="169"/>
      <c r="GW497" s="951"/>
    </row>
    <row r="498" spans="182:205" customFormat="1" x14ac:dyDescent="0.3">
      <c r="FZ498" s="169"/>
      <c r="GA498" s="169"/>
      <c r="GB498" s="169"/>
      <c r="GC498" s="169"/>
      <c r="GD498" s="169"/>
      <c r="GE498" s="169"/>
      <c r="GF498" s="169"/>
      <c r="GG498" s="169"/>
      <c r="GW498" s="951"/>
    </row>
    <row r="499" spans="182:205" customFormat="1" x14ac:dyDescent="0.3">
      <c r="FZ499" s="169"/>
      <c r="GA499" s="169"/>
      <c r="GB499" s="169"/>
      <c r="GC499" s="169"/>
      <c r="GD499" s="169"/>
      <c r="GE499" s="169"/>
      <c r="GF499" s="169"/>
      <c r="GG499" s="169"/>
      <c r="GW499" s="951"/>
    </row>
    <row r="500" spans="182:205" customFormat="1" x14ac:dyDescent="0.3">
      <c r="FZ500" s="169"/>
      <c r="GA500" s="169"/>
      <c r="GB500" s="169"/>
      <c r="GC500" s="169"/>
      <c r="GD500" s="169"/>
      <c r="GE500" s="169"/>
      <c r="GF500" s="169"/>
      <c r="GG500" s="169"/>
      <c r="GW500" s="951"/>
    </row>
    <row r="501" spans="182:205" customFormat="1" x14ac:dyDescent="0.3">
      <c r="FZ501" s="169"/>
      <c r="GA501" s="169"/>
      <c r="GB501" s="169"/>
      <c r="GC501" s="169"/>
      <c r="GD501" s="169"/>
      <c r="GE501" s="169"/>
      <c r="GF501" s="169"/>
      <c r="GG501" s="169"/>
      <c r="GW501" s="951"/>
    </row>
    <row r="502" spans="182:205" customFormat="1" x14ac:dyDescent="0.3">
      <c r="FZ502" s="169"/>
      <c r="GA502" s="169"/>
      <c r="GB502" s="169"/>
      <c r="GC502" s="169"/>
      <c r="GD502" s="169"/>
      <c r="GE502" s="169"/>
      <c r="GF502" s="169"/>
      <c r="GG502" s="169"/>
      <c r="GW502" s="951"/>
    </row>
    <row r="503" spans="182:205" customFormat="1" x14ac:dyDescent="0.3">
      <c r="FZ503" s="169"/>
      <c r="GA503" s="169"/>
      <c r="GB503" s="169"/>
      <c r="GC503" s="169"/>
      <c r="GD503" s="169"/>
      <c r="GE503" s="169"/>
      <c r="GF503" s="169"/>
      <c r="GG503" s="169"/>
      <c r="GW503" s="951"/>
    </row>
    <row r="504" spans="182:205" customFormat="1" x14ac:dyDescent="0.3">
      <c r="FZ504" s="169"/>
      <c r="GA504" s="169"/>
      <c r="GB504" s="169"/>
      <c r="GC504" s="169"/>
      <c r="GD504" s="169"/>
      <c r="GE504" s="169"/>
      <c r="GF504" s="169"/>
      <c r="GG504" s="169"/>
      <c r="GW504" s="951"/>
    </row>
    <row r="505" spans="182:205" customFormat="1" x14ac:dyDescent="0.3">
      <c r="FZ505" s="169"/>
      <c r="GA505" s="169"/>
      <c r="GB505" s="169"/>
      <c r="GC505" s="169"/>
      <c r="GD505" s="169"/>
      <c r="GE505" s="169"/>
      <c r="GF505" s="169"/>
      <c r="GG505" s="169"/>
      <c r="GW505" s="951"/>
    </row>
    <row r="506" spans="182:205" customFormat="1" x14ac:dyDescent="0.3">
      <c r="FZ506" s="169"/>
      <c r="GA506" s="169"/>
      <c r="GB506" s="169"/>
      <c r="GC506" s="169"/>
      <c r="GD506" s="169"/>
      <c r="GE506" s="169"/>
      <c r="GF506" s="169"/>
      <c r="GG506" s="169"/>
      <c r="GW506" s="951"/>
    </row>
    <row r="507" spans="182:205" customFormat="1" x14ac:dyDescent="0.3">
      <c r="FZ507" s="169"/>
      <c r="GA507" s="169"/>
      <c r="GB507" s="169"/>
      <c r="GC507" s="169"/>
      <c r="GD507" s="169"/>
      <c r="GE507" s="169"/>
      <c r="GF507" s="169"/>
      <c r="GG507" s="169"/>
      <c r="GW507" s="951"/>
    </row>
    <row r="508" spans="182:205" customFormat="1" x14ac:dyDescent="0.3">
      <c r="FZ508" s="169"/>
      <c r="GA508" s="169"/>
      <c r="GB508" s="169"/>
      <c r="GC508" s="169"/>
      <c r="GD508" s="169"/>
      <c r="GE508" s="169"/>
      <c r="GF508" s="169"/>
      <c r="GG508" s="169"/>
      <c r="GW508" s="951"/>
    </row>
    <row r="509" spans="182:205" customFormat="1" x14ac:dyDescent="0.3">
      <c r="FZ509" s="169"/>
      <c r="GA509" s="169"/>
      <c r="GB509" s="169"/>
      <c r="GC509" s="169"/>
      <c r="GD509" s="169"/>
      <c r="GE509" s="169"/>
      <c r="GF509" s="169"/>
      <c r="GG509" s="169"/>
      <c r="GW509" s="951"/>
    </row>
    <row r="510" spans="182:205" customFormat="1" x14ac:dyDescent="0.3">
      <c r="FZ510" s="169"/>
      <c r="GA510" s="169"/>
      <c r="GB510" s="169"/>
      <c r="GC510" s="169"/>
      <c r="GD510" s="169"/>
      <c r="GE510" s="169"/>
      <c r="GF510" s="169"/>
      <c r="GG510" s="169"/>
      <c r="GW510" s="951"/>
    </row>
    <row r="511" spans="182:205" customFormat="1" x14ac:dyDescent="0.3">
      <c r="FZ511" s="169"/>
      <c r="GA511" s="169"/>
      <c r="GB511" s="169"/>
      <c r="GC511" s="169"/>
      <c r="GD511" s="169"/>
      <c r="GE511" s="169"/>
      <c r="GF511" s="169"/>
      <c r="GG511" s="169"/>
      <c r="GW511" s="951"/>
    </row>
    <row r="512" spans="182:205" customFormat="1" x14ac:dyDescent="0.3">
      <c r="FZ512" s="169"/>
      <c r="GA512" s="169"/>
      <c r="GB512" s="169"/>
      <c r="GC512" s="169"/>
      <c r="GD512" s="169"/>
      <c r="GE512" s="169"/>
      <c r="GF512" s="169"/>
      <c r="GG512" s="169"/>
      <c r="GW512" s="951"/>
    </row>
    <row r="513" spans="182:205" customFormat="1" x14ac:dyDescent="0.3">
      <c r="FZ513" s="169"/>
      <c r="GA513" s="169"/>
      <c r="GB513" s="169"/>
      <c r="GC513" s="169"/>
      <c r="GD513" s="169"/>
      <c r="GE513" s="169"/>
      <c r="GF513" s="169"/>
      <c r="GG513" s="169"/>
      <c r="GW513" s="951"/>
    </row>
    <row r="514" spans="182:205" customFormat="1" x14ac:dyDescent="0.3">
      <c r="FZ514" s="169"/>
      <c r="GA514" s="169"/>
      <c r="GB514" s="169"/>
      <c r="GC514" s="169"/>
      <c r="GD514" s="169"/>
      <c r="GE514" s="169"/>
      <c r="GF514" s="169"/>
      <c r="GG514" s="169"/>
      <c r="GW514" s="951"/>
    </row>
    <row r="515" spans="182:205" customFormat="1" x14ac:dyDescent="0.3">
      <c r="FZ515" s="169"/>
      <c r="GA515" s="169"/>
      <c r="GB515" s="169"/>
      <c r="GC515" s="169"/>
      <c r="GD515" s="169"/>
      <c r="GE515" s="169"/>
      <c r="GF515" s="169"/>
      <c r="GG515" s="169"/>
      <c r="GW515" s="951"/>
    </row>
    <row r="516" spans="182:205" customFormat="1" x14ac:dyDescent="0.3">
      <c r="FZ516" s="169"/>
      <c r="GA516" s="169"/>
      <c r="GB516" s="169"/>
      <c r="GC516" s="169"/>
      <c r="GD516" s="169"/>
      <c r="GE516" s="169"/>
      <c r="GF516" s="169"/>
      <c r="GG516" s="169"/>
      <c r="GW516" s="951"/>
    </row>
    <row r="517" spans="182:205" customFormat="1" x14ac:dyDescent="0.3">
      <c r="FZ517" s="169"/>
      <c r="GA517" s="169"/>
      <c r="GB517" s="169"/>
      <c r="GC517" s="169"/>
      <c r="GD517" s="169"/>
      <c r="GE517" s="169"/>
      <c r="GF517" s="169"/>
      <c r="GG517" s="169"/>
      <c r="GW517" s="951"/>
    </row>
    <row r="518" spans="182:205" customFormat="1" x14ac:dyDescent="0.3">
      <c r="FZ518" s="169"/>
      <c r="GA518" s="169"/>
      <c r="GB518" s="169"/>
      <c r="GC518" s="169"/>
      <c r="GD518" s="169"/>
      <c r="GE518" s="169"/>
      <c r="GF518" s="169"/>
      <c r="GG518" s="169"/>
      <c r="GW518" s="951"/>
    </row>
    <row r="519" spans="182:205" customFormat="1" x14ac:dyDescent="0.3">
      <c r="FZ519" s="169"/>
      <c r="GA519" s="169"/>
      <c r="GB519" s="169"/>
      <c r="GC519" s="169"/>
      <c r="GD519" s="169"/>
      <c r="GE519" s="169"/>
      <c r="GF519" s="169"/>
      <c r="GG519" s="169"/>
      <c r="GW519" s="951"/>
    </row>
    <row r="520" spans="182:205" customFormat="1" x14ac:dyDescent="0.3">
      <c r="FZ520" s="169"/>
      <c r="GA520" s="169"/>
      <c r="GB520" s="169"/>
      <c r="GC520" s="169"/>
      <c r="GD520" s="169"/>
      <c r="GE520" s="169"/>
      <c r="GF520" s="169"/>
      <c r="GG520" s="169"/>
      <c r="GW520" s="951"/>
    </row>
    <row r="521" spans="182:205" customFormat="1" x14ac:dyDescent="0.3">
      <c r="FZ521" s="169"/>
      <c r="GA521" s="169"/>
      <c r="GB521" s="169"/>
      <c r="GC521" s="169"/>
      <c r="GD521" s="169"/>
      <c r="GE521" s="169"/>
      <c r="GF521" s="169"/>
      <c r="GG521" s="169"/>
      <c r="GW521" s="951"/>
    </row>
    <row r="522" spans="182:205" customFormat="1" x14ac:dyDescent="0.3">
      <c r="FZ522" s="169"/>
      <c r="GA522" s="169"/>
      <c r="GB522" s="169"/>
      <c r="GC522" s="169"/>
      <c r="GD522" s="169"/>
      <c r="GE522" s="169"/>
      <c r="GF522" s="169"/>
      <c r="GG522" s="169"/>
      <c r="GW522" s="951"/>
    </row>
    <row r="523" spans="182:205" customFormat="1" x14ac:dyDescent="0.3">
      <c r="FZ523" s="169"/>
      <c r="GA523" s="169"/>
      <c r="GB523" s="169"/>
      <c r="GC523" s="169"/>
      <c r="GD523" s="169"/>
      <c r="GE523" s="169"/>
      <c r="GF523" s="169"/>
      <c r="GG523" s="169"/>
      <c r="GW523" s="951"/>
    </row>
    <row r="524" spans="182:205" customFormat="1" x14ac:dyDescent="0.3">
      <c r="FZ524" s="169"/>
      <c r="GA524" s="169"/>
      <c r="GB524" s="169"/>
      <c r="GC524" s="169"/>
      <c r="GD524" s="169"/>
      <c r="GE524" s="169"/>
      <c r="GF524" s="169"/>
      <c r="GG524" s="169"/>
      <c r="GW524" s="951"/>
    </row>
    <row r="525" spans="182:205" customFormat="1" x14ac:dyDescent="0.3">
      <c r="FZ525" s="169"/>
      <c r="GA525" s="169"/>
      <c r="GB525" s="169"/>
      <c r="GC525" s="169"/>
      <c r="GD525" s="169"/>
      <c r="GE525" s="169"/>
      <c r="GF525" s="169"/>
      <c r="GG525" s="169"/>
      <c r="GW525" s="951"/>
    </row>
    <row r="526" spans="182:205" customFormat="1" x14ac:dyDescent="0.3">
      <c r="FZ526" s="169"/>
      <c r="GA526" s="169"/>
      <c r="GB526" s="169"/>
      <c r="GC526" s="169"/>
      <c r="GD526" s="169"/>
      <c r="GE526" s="169"/>
      <c r="GF526" s="169"/>
      <c r="GG526" s="169"/>
      <c r="GW526" s="951"/>
    </row>
    <row r="527" spans="182:205" customFormat="1" x14ac:dyDescent="0.3">
      <c r="FZ527" s="169"/>
      <c r="GA527" s="169"/>
      <c r="GB527" s="169"/>
      <c r="GC527" s="169"/>
      <c r="GD527" s="169"/>
      <c r="GE527" s="169"/>
      <c r="GF527" s="169"/>
      <c r="GG527" s="169"/>
      <c r="GW527" s="951"/>
    </row>
    <row r="528" spans="182:205" customFormat="1" x14ac:dyDescent="0.3">
      <c r="FZ528" s="169"/>
      <c r="GA528" s="169"/>
      <c r="GB528" s="169"/>
      <c r="GC528" s="169"/>
      <c r="GD528" s="169"/>
      <c r="GE528" s="169"/>
      <c r="GF528" s="169"/>
      <c r="GG528" s="169"/>
      <c r="GW528" s="951"/>
    </row>
    <row r="529" spans="182:205" customFormat="1" x14ac:dyDescent="0.3">
      <c r="FZ529" s="169"/>
      <c r="GA529" s="169"/>
      <c r="GB529" s="169"/>
      <c r="GC529" s="169"/>
      <c r="GD529" s="169"/>
      <c r="GE529" s="169"/>
      <c r="GF529" s="169"/>
      <c r="GG529" s="169"/>
      <c r="GW529" s="951"/>
    </row>
    <row r="530" spans="182:205" customFormat="1" x14ac:dyDescent="0.3">
      <c r="FZ530" s="169"/>
      <c r="GA530" s="169"/>
      <c r="GB530" s="169"/>
      <c r="GC530" s="169"/>
      <c r="GD530" s="169"/>
      <c r="GE530" s="169"/>
      <c r="GF530" s="169"/>
      <c r="GG530" s="169"/>
      <c r="GW530" s="951"/>
    </row>
    <row r="531" spans="182:205" customFormat="1" x14ac:dyDescent="0.3">
      <c r="FZ531" s="169"/>
      <c r="GA531" s="169"/>
      <c r="GB531" s="169"/>
      <c r="GC531" s="169"/>
      <c r="GD531" s="169"/>
      <c r="GE531" s="169"/>
      <c r="GF531" s="169"/>
      <c r="GG531" s="169"/>
      <c r="GW531" s="951"/>
    </row>
    <row r="532" spans="182:205" customFormat="1" x14ac:dyDescent="0.3">
      <c r="FZ532" s="169"/>
      <c r="GA532" s="169"/>
      <c r="GB532" s="169"/>
      <c r="GC532" s="169"/>
      <c r="GD532" s="169"/>
      <c r="GE532" s="169"/>
      <c r="GF532" s="169"/>
      <c r="GG532" s="169"/>
      <c r="GW532" s="951"/>
    </row>
    <row r="533" spans="182:205" customFormat="1" x14ac:dyDescent="0.3">
      <c r="FZ533" s="169"/>
      <c r="GA533" s="169"/>
      <c r="GB533" s="169"/>
      <c r="GC533" s="169"/>
      <c r="GD533" s="169"/>
      <c r="GE533" s="169"/>
      <c r="GF533" s="169"/>
      <c r="GG533" s="169"/>
      <c r="GW533" s="951"/>
    </row>
    <row r="534" spans="182:205" customFormat="1" x14ac:dyDescent="0.3">
      <c r="FZ534" s="169"/>
      <c r="GA534" s="169"/>
      <c r="GB534" s="169"/>
      <c r="GC534" s="169"/>
      <c r="GD534" s="169"/>
      <c r="GE534" s="169"/>
      <c r="GF534" s="169"/>
      <c r="GG534" s="169"/>
      <c r="GW534" s="951"/>
    </row>
    <row r="535" spans="182:205" customFormat="1" x14ac:dyDescent="0.3">
      <c r="FZ535" s="169"/>
      <c r="GA535" s="169"/>
      <c r="GB535" s="169"/>
      <c r="GC535" s="169"/>
      <c r="GD535" s="169"/>
      <c r="GE535" s="169"/>
      <c r="GF535" s="169"/>
      <c r="GG535" s="169"/>
      <c r="GW535" s="951"/>
    </row>
    <row r="536" spans="182:205" customFormat="1" x14ac:dyDescent="0.3">
      <c r="FZ536" s="169"/>
      <c r="GA536" s="169"/>
      <c r="GB536" s="169"/>
      <c r="GC536" s="169"/>
      <c r="GD536" s="169"/>
      <c r="GE536" s="169"/>
      <c r="GF536" s="169"/>
      <c r="GG536" s="169"/>
      <c r="GW536" s="951"/>
    </row>
    <row r="537" spans="182:205" customFormat="1" x14ac:dyDescent="0.3">
      <c r="FZ537" s="169"/>
      <c r="GA537" s="169"/>
      <c r="GB537" s="169"/>
      <c r="GC537" s="169"/>
      <c r="GD537" s="169"/>
      <c r="GE537" s="169"/>
      <c r="GF537" s="169"/>
      <c r="GG537" s="169"/>
      <c r="GW537" s="951"/>
    </row>
    <row r="538" spans="182:205" customFormat="1" x14ac:dyDescent="0.3">
      <c r="FZ538" s="169"/>
      <c r="GA538" s="169"/>
      <c r="GB538" s="169"/>
      <c r="GC538" s="169"/>
      <c r="GD538" s="169"/>
      <c r="GE538" s="169"/>
      <c r="GF538" s="169"/>
      <c r="GG538" s="169"/>
      <c r="GW538" s="951"/>
    </row>
    <row r="539" spans="182:205" customFormat="1" x14ac:dyDescent="0.3">
      <c r="FZ539" s="169"/>
      <c r="GA539" s="169"/>
      <c r="GB539" s="169"/>
      <c r="GC539" s="169"/>
      <c r="GD539" s="169"/>
      <c r="GE539" s="169"/>
      <c r="GF539" s="169"/>
      <c r="GG539" s="169"/>
      <c r="GW539" s="951"/>
    </row>
    <row r="540" spans="182:205" customFormat="1" x14ac:dyDescent="0.3">
      <c r="FZ540" s="169"/>
      <c r="GA540" s="169"/>
      <c r="GB540" s="169"/>
      <c r="GC540" s="169"/>
      <c r="GD540" s="169"/>
      <c r="GE540" s="169"/>
      <c r="GF540" s="169"/>
      <c r="GG540" s="169"/>
      <c r="GW540" s="951"/>
    </row>
    <row r="541" spans="182:205" customFormat="1" x14ac:dyDescent="0.3">
      <c r="FZ541" s="169"/>
      <c r="GA541" s="169"/>
      <c r="GB541" s="169"/>
      <c r="GC541" s="169"/>
      <c r="GD541" s="169"/>
      <c r="GE541" s="169"/>
      <c r="GF541" s="169"/>
      <c r="GG541" s="169"/>
      <c r="GW541" s="951"/>
    </row>
    <row r="542" spans="182:205" customFormat="1" x14ac:dyDescent="0.3">
      <c r="FZ542" s="169"/>
      <c r="GA542" s="169"/>
      <c r="GB542" s="169"/>
      <c r="GC542" s="169"/>
      <c r="GD542" s="169"/>
      <c r="GE542" s="169"/>
      <c r="GF542" s="169"/>
      <c r="GG542" s="169"/>
      <c r="GW542" s="951"/>
    </row>
    <row r="543" spans="182:205" customFormat="1" x14ac:dyDescent="0.3">
      <c r="FZ543" s="169"/>
      <c r="GA543" s="169"/>
      <c r="GB543" s="169"/>
      <c r="GC543" s="169"/>
      <c r="GD543" s="169"/>
      <c r="GE543" s="169"/>
      <c r="GF543" s="169"/>
      <c r="GG543" s="169"/>
      <c r="GW543" s="951"/>
    </row>
    <row r="544" spans="182:205" customFormat="1" x14ac:dyDescent="0.3">
      <c r="FZ544" s="169"/>
      <c r="GA544" s="169"/>
      <c r="GB544" s="169"/>
      <c r="GC544" s="169"/>
      <c r="GD544" s="169"/>
      <c r="GE544" s="169"/>
      <c r="GF544" s="169"/>
      <c r="GG544" s="169"/>
      <c r="GW544" s="951"/>
    </row>
    <row r="545" spans="182:205" customFormat="1" x14ac:dyDescent="0.3">
      <c r="FZ545" s="169"/>
      <c r="GA545" s="169"/>
      <c r="GB545" s="169"/>
      <c r="GC545" s="169"/>
      <c r="GD545" s="169"/>
      <c r="GE545" s="169"/>
      <c r="GF545" s="169"/>
      <c r="GG545" s="169"/>
      <c r="GW545" s="951"/>
    </row>
    <row r="546" spans="182:205" customFormat="1" x14ac:dyDescent="0.3">
      <c r="FZ546" s="169"/>
      <c r="GA546" s="169"/>
      <c r="GB546" s="169"/>
      <c r="GC546" s="169"/>
      <c r="GD546" s="169"/>
      <c r="GE546" s="169"/>
      <c r="GF546" s="169"/>
      <c r="GG546" s="169"/>
      <c r="GW546" s="951"/>
    </row>
    <row r="547" spans="182:205" customFormat="1" x14ac:dyDescent="0.3">
      <c r="FZ547" s="169"/>
      <c r="GA547" s="169"/>
      <c r="GB547" s="169"/>
      <c r="GC547" s="169"/>
      <c r="GD547" s="169"/>
      <c r="GE547" s="169"/>
      <c r="GF547" s="169"/>
      <c r="GG547" s="169"/>
      <c r="GW547" s="951"/>
    </row>
    <row r="548" spans="182:205" customFormat="1" x14ac:dyDescent="0.3">
      <c r="FZ548" s="169"/>
      <c r="GA548" s="169"/>
      <c r="GB548" s="169"/>
      <c r="GC548" s="169"/>
      <c r="GD548" s="169"/>
      <c r="GE548" s="169"/>
      <c r="GF548" s="169"/>
      <c r="GG548" s="169"/>
      <c r="GW548" s="951"/>
    </row>
    <row r="549" spans="182:205" customFormat="1" x14ac:dyDescent="0.3">
      <c r="FZ549" s="169"/>
      <c r="GA549" s="169"/>
      <c r="GB549" s="169"/>
      <c r="GC549" s="169"/>
      <c r="GD549" s="169"/>
      <c r="GE549" s="169"/>
      <c r="GF549" s="169"/>
      <c r="GG549" s="169"/>
      <c r="GW549" s="951"/>
    </row>
    <row r="550" spans="182:205" customFormat="1" x14ac:dyDescent="0.3">
      <c r="FZ550" s="169"/>
      <c r="GA550" s="169"/>
      <c r="GB550" s="169"/>
      <c r="GC550" s="169"/>
      <c r="GD550" s="169"/>
      <c r="GE550" s="169"/>
      <c r="GF550" s="169"/>
      <c r="GG550" s="169"/>
      <c r="GW550" s="951"/>
    </row>
    <row r="551" spans="182:205" customFormat="1" x14ac:dyDescent="0.3">
      <c r="FZ551" s="169"/>
      <c r="GA551" s="169"/>
      <c r="GB551" s="169"/>
      <c r="GC551" s="169"/>
      <c r="GD551" s="169"/>
      <c r="GE551" s="169"/>
      <c r="GF551" s="169"/>
      <c r="GG551" s="169"/>
      <c r="GW551" s="951"/>
    </row>
    <row r="552" spans="182:205" customFormat="1" x14ac:dyDescent="0.3">
      <c r="FZ552" s="169"/>
      <c r="GA552" s="169"/>
      <c r="GB552" s="169"/>
      <c r="GC552" s="169"/>
      <c r="GD552" s="169"/>
      <c r="GE552" s="169"/>
      <c r="GF552" s="169"/>
      <c r="GG552" s="169"/>
      <c r="GW552" s="951"/>
    </row>
    <row r="553" spans="182:205" customFormat="1" x14ac:dyDescent="0.3">
      <c r="FZ553" s="169"/>
      <c r="GA553" s="169"/>
      <c r="GB553" s="169"/>
      <c r="GC553" s="169"/>
      <c r="GD553" s="169"/>
      <c r="GE553" s="169"/>
      <c r="GF553" s="169"/>
      <c r="GG553" s="169"/>
      <c r="GW553" s="951"/>
    </row>
    <row r="554" spans="182:205" customFormat="1" x14ac:dyDescent="0.3">
      <c r="FZ554" s="169"/>
      <c r="GA554" s="169"/>
      <c r="GB554" s="169"/>
      <c r="GC554" s="169"/>
      <c r="GD554" s="169"/>
      <c r="GE554" s="169"/>
      <c r="GF554" s="169"/>
      <c r="GG554" s="169"/>
      <c r="GW554" s="951"/>
    </row>
    <row r="555" spans="182:205" customFormat="1" x14ac:dyDescent="0.3">
      <c r="FZ555" s="169"/>
      <c r="GA555" s="169"/>
      <c r="GB555" s="169"/>
      <c r="GC555" s="169"/>
      <c r="GD555" s="169"/>
      <c r="GE555" s="169"/>
      <c r="GF555" s="169"/>
      <c r="GG555" s="169"/>
      <c r="GW555" s="951"/>
    </row>
    <row r="556" spans="182:205" customFormat="1" x14ac:dyDescent="0.3">
      <c r="FZ556" s="169"/>
      <c r="GA556" s="169"/>
      <c r="GB556" s="169"/>
      <c r="GC556" s="169"/>
      <c r="GD556" s="169"/>
      <c r="GE556" s="169"/>
      <c r="GF556" s="169"/>
      <c r="GG556" s="169"/>
      <c r="GW556" s="951"/>
    </row>
    <row r="557" spans="182:205" customFormat="1" x14ac:dyDescent="0.3">
      <c r="FZ557" s="169"/>
      <c r="GA557" s="169"/>
      <c r="GB557" s="169"/>
      <c r="GC557" s="169"/>
      <c r="GD557" s="169"/>
      <c r="GE557" s="169"/>
      <c r="GF557" s="169"/>
      <c r="GG557" s="169"/>
      <c r="GW557" s="951"/>
    </row>
    <row r="558" spans="182:205" customFormat="1" x14ac:dyDescent="0.3">
      <c r="FZ558" s="169"/>
      <c r="GA558" s="169"/>
      <c r="GB558" s="169"/>
      <c r="GC558" s="169"/>
      <c r="GD558" s="169"/>
      <c r="GE558" s="169"/>
      <c r="GF558" s="169"/>
      <c r="GG558" s="169"/>
      <c r="GW558" s="951"/>
    </row>
    <row r="559" spans="182:205" customFormat="1" x14ac:dyDescent="0.3">
      <c r="FZ559" s="169"/>
      <c r="GA559" s="169"/>
      <c r="GB559" s="169"/>
      <c r="GC559" s="169"/>
      <c r="GD559" s="169"/>
      <c r="GE559" s="169"/>
      <c r="GF559" s="169"/>
      <c r="GG559" s="169"/>
      <c r="GW559" s="951"/>
    </row>
    <row r="560" spans="182:205" customFormat="1" x14ac:dyDescent="0.3">
      <c r="FZ560" s="169"/>
      <c r="GA560" s="169"/>
      <c r="GB560" s="169"/>
      <c r="GC560" s="169"/>
      <c r="GD560" s="169"/>
      <c r="GE560" s="169"/>
      <c r="GF560" s="169"/>
      <c r="GG560" s="169"/>
      <c r="GW560" s="951"/>
    </row>
    <row r="561" spans="182:205" customFormat="1" x14ac:dyDescent="0.3">
      <c r="FZ561" s="169"/>
      <c r="GA561" s="169"/>
      <c r="GB561" s="169"/>
      <c r="GC561" s="169"/>
      <c r="GD561" s="169"/>
      <c r="GE561" s="169"/>
      <c r="GF561" s="169"/>
      <c r="GG561" s="169"/>
      <c r="GW561" s="951"/>
    </row>
    <row r="562" spans="182:205" customFormat="1" x14ac:dyDescent="0.3">
      <c r="FZ562" s="169"/>
      <c r="GA562" s="169"/>
      <c r="GB562" s="169"/>
      <c r="GC562" s="169"/>
      <c r="GD562" s="169"/>
      <c r="GE562" s="169"/>
      <c r="GF562" s="169"/>
      <c r="GG562" s="169"/>
      <c r="GW562" s="951"/>
    </row>
    <row r="563" spans="182:205" customFormat="1" x14ac:dyDescent="0.3">
      <c r="FZ563" s="169"/>
      <c r="GA563" s="169"/>
      <c r="GB563" s="169"/>
      <c r="GC563" s="169"/>
      <c r="GD563" s="169"/>
      <c r="GE563" s="169"/>
      <c r="GF563" s="169"/>
      <c r="GG563" s="169"/>
      <c r="GW563" s="951"/>
    </row>
    <row r="564" spans="182:205" customFormat="1" x14ac:dyDescent="0.3">
      <c r="FZ564" s="169"/>
      <c r="GA564" s="169"/>
      <c r="GB564" s="169"/>
      <c r="GC564" s="169"/>
      <c r="GD564" s="169"/>
      <c r="GE564" s="169"/>
      <c r="GF564" s="169"/>
      <c r="GG564" s="169"/>
      <c r="GW564" s="951"/>
    </row>
    <row r="565" spans="182:205" customFormat="1" x14ac:dyDescent="0.3">
      <c r="FZ565" s="169"/>
      <c r="GA565" s="169"/>
      <c r="GB565" s="169"/>
      <c r="GC565" s="169"/>
      <c r="GD565" s="169"/>
      <c r="GE565" s="169"/>
      <c r="GF565" s="169"/>
      <c r="GG565" s="169"/>
      <c r="GW565" s="951"/>
    </row>
    <row r="566" spans="182:205" customFormat="1" x14ac:dyDescent="0.3">
      <c r="FZ566" s="169"/>
      <c r="GA566" s="169"/>
      <c r="GB566" s="169"/>
      <c r="GC566" s="169"/>
      <c r="GD566" s="169"/>
      <c r="GE566" s="169"/>
      <c r="GF566" s="169"/>
      <c r="GG566" s="169"/>
      <c r="GW566" s="951"/>
    </row>
    <row r="567" spans="182:205" customFormat="1" x14ac:dyDescent="0.3">
      <c r="FZ567" s="169"/>
      <c r="GA567" s="169"/>
      <c r="GB567" s="169"/>
      <c r="GC567" s="169"/>
      <c r="GD567" s="169"/>
      <c r="GE567" s="169"/>
      <c r="GF567" s="169"/>
      <c r="GG567" s="169"/>
      <c r="GW567" s="951"/>
    </row>
    <row r="568" spans="182:205" customFormat="1" x14ac:dyDescent="0.3">
      <c r="FZ568" s="169"/>
      <c r="GA568" s="169"/>
      <c r="GB568" s="169"/>
      <c r="GC568" s="169"/>
      <c r="GD568" s="169"/>
      <c r="GE568" s="169"/>
      <c r="GF568" s="169"/>
      <c r="GG568" s="169"/>
      <c r="GW568" s="951"/>
    </row>
    <row r="569" spans="182:205" customFormat="1" x14ac:dyDescent="0.3">
      <c r="FZ569" s="169"/>
      <c r="GA569" s="169"/>
      <c r="GB569" s="169"/>
      <c r="GC569" s="169"/>
      <c r="GD569" s="169"/>
      <c r="GE569" s="169"/>
      <c r="GF569" s="169"/>
      <c r="GG569" s="169"/>
      <c r="GW569" s="951"/>
    </row>
    <row r="570" spans="182:205" customFormat="1" x14ac:dyDescent="0.3">
      <c r="FZ570" s="169"/>
      <c r="GA570" s="169"/>
      <c r="GB570" s="169"/>
      <c r="GC570" s="169"/>
      <c r="GD570" s="169"/>
      <c r="GE570" s="169"/>
      <c r="GF570" s="169"/>
      <c r="GG570" s="169"/>
      <c r="GW570" s="951"/>
    </row>
    <row r="571" spans="182:205" customFormat="1" x14ac:dyDescent="0.3">
      <c r="FZ571" s="169"/>
      <c r="GA571" s="169"/>
      <c r="GB571" s="169"/>
      <c r="GC571" s="169"/>
      <c r="GD571" s="169"/>
      <c r="GE571" s="169"/>
      <c r="GF571" s="169"/>
      <c r="GG571" s="169"/>
      <c r="GW571" s="951"/>
    </row>
    <row r="572" spans="182:205" customFormat="1" x14ac:dyDescent="0.3">
      <c r="FZ572" s="169"/>
      <c r="GA572" s="169"/>
      <c r="GB572" s="169"/>
      <c r="GC572" s="169"/>
      <c r="GD572" s="169"/>
      <c r="GE572" s="169"/>
      <c r="GF572" s="169"/>
      <c r="GG572" s="169"/>
      <c r="GW572" s="951"/>
    </row>
    <row r="573" spans="182:205" customFormat="1" x14ac:dyDescent="0.3">
      <c r="FZ573" s="169"/>
      <c r="GA573" s="169"/>
      <c r="GB573" s="169"/>
      <c r="GC573" s="169"/>
      <c r="GD573" s="169"/>
      <c r="GE573" s="169"/>
      <c r="GF573" s="169"/>
      <c r="GG573" s="169"/>
      <c r="GW573" s="951"/>
    </row>
    <row r="574" spans="182:205" customFormat="1" x14ac:dyDescent="0.3">
      <c r="FZ574" s="169"/>
      <c r="GA574" s="169"/>
      <c r="GB574" s="169"/>
      <c r="GC574" s="169"/>
      <c r="GD574" s="169"/>
      <c r="GE574" s="169"/>
      <c r="GF574" s="169"/>
      <c r="GG574" s="169"/>
      <c r="GW574" s="951"/>
    </row>
    <row r="575" spans="182:205" customFormat="1" x14ac:dyDescent="0.3">
      <c r="FZ575" s="169"/>
      <c r="GA575" s="169"/>
      <c r="GB575" s="169"/>
      <c r="GC575" s="169"/>
      <c r="GD575" s="169"/>
      <c r="GE575" s="169"/>
      <c r="GF575" s="169"/>
      <c r="GG575" s="169"/>
      <c r="GW575" s="951"/>
    </row>
    <row r="576" spans="182:205" customFormat="1" x14ac:dyDescent="0.3">
      <c r="FZ576" s="169"/>
      <c r="GA576" s="169"/>
      <c r="GB576" s="169"/>
      <c r="GC576" s="169"/>
      <c r="GD576" s="169"/>
      <c r="GE576" s="169"/>
      <c r="GF576" s="169"/>
      <c r="GG576" s="169"/>
      <c r="GW576" s="951"/>
    </row>
    <row r="577" spans="182:205" customFormat="1" x14ac:dyDescent="0.3">
      <c r="FZ577" s="169"/>
      <c r="GA577" s="169"/>
      <c r="GB577" s="169"/>
      <c r="GC577" s="169"/>
      <c r="GD577" s="169"/>
      <c r="GE577" s="169"/>
      <c r="GF577" s="169"/>
      <c r="GG577" s="169"/>
      <c r="GW577" s="951"/>
    </row>
    <row r="578" spans="182:205" customFormat="1" x14ac:dyDescent="0.3">
      <c r="FZ578" s="169"/>
      <c r="GA578" s="169"/>
      <c r="GB578" s="169"/>
      <c r="GC578" s="169"/>
      <c r="GD578" s="169"/>
      <c r="GE578" s="169"/>
      <c r="GF578" s="169"/>
      <c r="GG578" s="169"/>
      <c r="GW578" s="951"/>
    </row>
    <row r="579" spans="182:205" customFormat="1" x14ac:dyDescent="0.3">
      <c r="FZ579" s="169"/>
      <c r="GA579" s="169"/>
      <c r="GB579" s="169"/>
      <c r="GC579" s="169"/>
      <c r="GD579" s="169"/>
      <c r="GE579" s="169"/>
      <c r="GF579" s="169"/>
      <c r="GG579" s="169"/>
      <c r="GW579" s="951"/>
    </row>
    <row r="580" spans="182:205" customFormat="1" x14ac:dyDescent="0.3">
      <c r="FZ580" s="169"/>
      <c r="GA580" s="169"/>
      <c r="GB580" s="169"/>
      <c r="GC580" s="169"/>
      <c r="GD580" s="169"/>
      <c r="GE580" s="169"/>
      <c r="GF580" s="169"/>
      <c r="GG580" s="169"/>
      <c r="GW580" s="951"/>
    </row>
    <row r="581" spans="182:205" customFormat="1" x14ac:dyDescent="0.3">
      <c r="FZ581" s="169"/>
      <c r="GA581" s="169"/>
      <c r="GB581" s="169"/>
      <c r="GC581" s="169"/>
      <c r="GD581" s="169"/>
      <c r="GE581" s="169"/>
      <c r="GF581" s="169"/>
      <c r="GG581" s="169"/>
      <c r="GW581" s="951"/>
    </row>
    <row r="582" spans="182:205" customFormat="1" x14ac:dyDescent="0.3">
      <c r="FZ582" s="169"/>
      <c r="GA582" s="169"/>
      <c r="GB582" s="169"/>
      <c r="GC582" s="169"/>
      <c r="GD582" s="169"/>
      <c r="GE582" s="169"/>
      <c r="GF582" s="169"/>
      <c r="GG582" s="169"/>
      <c r="GW582" s="951"/>
    </row>
    <row r="583" spans="182:205" customFormat="1" x14ac:dyDescent="0.3">
      <c r="FZ583" s="169"/>
      <c r="GA583" s="169"/>
      <c r="GB583" s="169"/>
      <c r="GC583" s="169"/>
      <c r="GD583" s="169"/>
      <c r="GE583" s="169"/>
      <c r="GF583" s="169"/>
      <c r="GG583" s="169"/>
      <c r="GW583" s="951"/>
    </row>
    <row r="584" spans="182:205" customFormat="1" x14ac:dyDescent="0.3">
      <c r="FZ584" s="169"/>
      <c r="GA584" s="169"/>
      <c r="GB584" s="169"/>
      <c r="GC584" s="169"/>
      <c r="GD584" s="169"/>
      <c r="GE584" s="169"/>
      <c r="GF584" s="169"/>
      <c r="GG584" s="169"/>
      <c r="GW584" s="951"/>
    </row>
    <row r="585" spans="182:205" customFormat="1" x14ac:dyDescent="0.3">
      <c r="FZ585" s="169"/>
      <c r="GA585" s="169"/>
      <c r="GB585" s="169"/>
      <c r="GC585" s="169"/>
      <c r="GD585" s="169"/>
      <c r="GE585" s="169"/>
      <c r="GF585" s="169"/>
      <c r="GG585" s="169"/>
      <c r="GW585" s="951"/>
    </row>
    <row r="586" spans="182:205" customFormat="1" x14ac:dyDescent="0.3">
      <c r="FZ586" s="169"/>
      <c r="GA586" s="169"/>
      <c r="GB586" s="169"/>
      <c r="GC586" s="169"/>
      <c r="GD586" s="169"/>
      <c r="GE586" s="169"/>
      <c r="GF586" s="169"/>
      <c r="GG586" s="169"/>
      <c r="GW586" s="951"/>
    </row>
    <row r="587" spans="182:205" customFormat="1" x14ac:dyDescent="0.3">
      <c r="FZ587" s="169"/>
      <c r="GA587" s="169"/>
      <c r="GB587" s="169"/>
      <c r="GC587" s="169"/>
      <c r="GD587" s="169"/>
      <c r="GE587" s="169"/>
      <c r="GF587" s="169"/>
      <c r="GG587" s="169"/>
      <c r="GW587" s="951"/>
    </row>
    <row r="588" spans="182:205" customFormat="1" x14ac:dyDescent="0.3">
      <c r="FZ588" s="169"/>
      <c r="GA588" s="169"/>
      <c r="GB588" s="169"/>
      <c r="GC588" s="169"/>
      <c r="GD588" s="169"/>
      <c r="GE588" s="169"/>
      <c r="GF588" s="169"/>
      <c r="GG588" s="169"/>
      <c r="GW588" s="951"/>
    </row>
    <row r="589" spans="182:205" customFormat="1" x14ac:dyDescent="0.3">
      <c r="FZ589" s="169"/>
      <c r="GA589" s="169"/>
      <c r="GB589" s="169"/>
      <c r="GC589" s="169"/>
      <c r="GD589" s="169"/>
      <c r="GE589" s="169"/>
      <c r="GF589" s="169"/>
      <c r="GG589" s="169"/>
      <c r="GW589" s="951"/>
    </row>
    <row r="590" spans="182:205" customFormat="1" x14ac:dyDescent="0.3">
      <c r="FZ590" s="169"/>
      <c r="GA590" s="169"/>
      <c r="GB590" s="169"/>
      <c r="GC590" s="169"/>
      <c r="GD590" s="169"/>
      <c r="GE590" s="169"/>
      <c r="GF590" s="169"/>
      <c r="GG590" s="169"/>
      <c r="GW590" s="951"/>
    </row>
    <row r="591" spans="182:205" customFormat="1" x14ac:dyDescent="0.3">
      <c r="FZ591" s="169"/>
      <c r="GA591" s="169"/>
      <c r="GB591" s="169"/>
      <c r="GC591" s="169"/>
      <c r="GD591" s="169"/>
      <c r="GE591" s="169"/>
      <c r="GF591" s="169"/>
      <c r="GG591" s="169"/>
      <c r="GW591" s="951"/>
    </row>
    <row r="592" spans="182:205" customFormat="1" x14ac:dyDescent="0.3">
      <c r="FZ592" s="169"/>
      <c r="GA592" s="169"/>
      <c r="GB592" s="169"/>
      <c r="GC592" s="169"/>
      <c r="GD592" s="169"/>
      <c r="GE592" s="169"/>
      <c r="GF592" s="169"/>
      <c r="GG592" s="169"/>
      <c r="GW592" s="951"/>
    </row>
    <row r="593" spans="182:205" customFormat="1" x14ac:dyDescent="0.3">
      <c r="FZ593" s="169"/>
      <c r="GA593" s="169"/>
      <c r="GB593" s="169"/>
      <c r="GC593" s="169"/>
      <c r="GD593" s="169"/>
      <c r="GE593" s="169"/>
      <c r="GF593" s="169"/>
      <c r="GG593" s="169"/>
      <c r="GW593" s="951"/>
    </row>
    <row r="594" spans="182:205" customFormat="1" x14ac:dyDescent="0.3">
      <c r="FZ594" s="169"/>
      <c r="GA594" s="169"/>
      <c r="GB594" s="169"/>
      <c r="GC594" s="169"/>
      <c r="GD594" s="169"/>
      <c r="GE594" s="169"/>
      <c r="GF594" s="169"/>
      <c r="GG594" s="169"/>
      <c r="GW594" s="951"/>
    </row>
    <row r="595" spans="182:205" customFormat="1" x14ac:dyDescent="0.3">
      <c r="FZ595" s="169"/>
      <c r="GA595" s="169"/>
      <c r="GB595" s="169"/>
      <c r="GC595" s="169"/>
      <c r="GD595" s="169"/>
      <c r="GE595" s="169"/>
      <c r="GF595" s="169"/>
      <c r="GG595" s="169"/>
      <c r="GW595" s="951"/>
    </row>
    <row r="596" spans="182:205" customFormat="1" x14ac:dyDescent="0.3">
      <c r="FZ596" s="169"/>
      <c r="GA596" s="169"/>
      <c r="GB596" s="169"/>
      <c r="GC596" s="169"/>
      <c r="GD596" s="169"/>
      <c r="GE596" s="169"/>
      <c r="GF596" s="169"/>
      <c r="GG596" s="169"/>
      <c r="GW596" s="951"/>
    </row>
    <row r="597" spans="182:205" customFormat="1" x14ac:dyDescent="0.3">
      <c r="FZ597" s="169"/>
      <c r="GA597" s="169"/>
      <c r="GB597" s="169"/>
      <c r="GC597" s="169"/>
      <c r="GD597" s="169"/>
      <c r="GE597" s="169"/>
      <c r="GF597" s="169"/>
      <c r="GG597" s="169"/>
      <c r="GW597" s="951"/>
    </row>
    <row r="598" spans="182:205" customFormat="1" x14ac:dyDescent="0.3">
      <c r="FZ598" s="169"/>
      <c r="GA598" s="169"/>
      <c r="GB598" s="169"/>
      <c r="GC598" s="169"/>
      <c r="GD598" s="169"/>
      <c r="GE598" s="169"/>
      <c r="GF598" s="169"/>
      <c r="GG598" s="169"/>
      <c r="GW598" s="951"/>
    </row>
    <row r="599" spans="182:205" customFormat="1" x14ac:dyDescent="0.3">
      <c r="FZ599" s="169"/>
      <c r="GA599" s="169"/>
      <c r="GB599" s="169"/>
      <c r="GC599" s="169"/>
      <c r="GD599" s="169"/>
      <c r="GE599" s="169"/>
      <c r="GF599" s="169"/>
      <c r="GG599" s="169"/>
      <c r="GW599" s="951"/>
    </row>
    <row r="600" spans="182:205" customFormat="1" x14ac:dyDescent="0.3">
      <c r="FZ600" s="169"/>
      <c r="GA600" s="169"/>
      <c r="GB600" s="169"/>
      <c r="GC600" s="169"/>
      <c r="GD600" s="169"/>
      <c r="GE600" s="169"/>
      <c r="GF600" s="169"/>
      <c r="GG600" s="169"/>
      <c r="GW600" s="951"/>
    </row>
    <row r="601" spans="182:205" customFormat="1" x14ac:dyDescent="0.3">
      <c r="FZ601" s="169"/>
      <c r="GA601" s="169"/>
      <c r="GB601" s="169"/>
      <c r="GC601" s="169"/>
      <c r="GD601" s="169"/>
      <c r="GE601" s="169"/>
      <c r="GF601" s="169"/>
      <c r="GG601" s="169"/>
      <c r="GW601" s="951"/>
    </row>
    <row r="602" spans="182:205" customFormat="1" x14ac:dyDescent="0.3">
      <c r="FZ602" s="169"/>
      <c r="GA602" s="169"/>
      <c r="GB602" s="169"/>
      <c r="GC602" s="169"/>
      <c r="GD602" s="169"/>
      <c r="GE602" s="169"/>
      <c r="GF602" s="169"/>
      <c r="GG602" s="169"/>
      <c r="GW602" s="951"/>
    </row>
    <row r="603" spans="182:205" customFormat="1" x14ac:dyDescent="0.3">
      <c r="FZ603" s="169"/>
      <c r="GA603" s="169"/>
      <c r="GB603" s="169"/>
      <c r="GC603" s="169"/>
      <c r="GD603" s="169"/>
      <c r="GE603" s="169"/>
      <c r="GF603" s="169"/>
      <c r="GG603" s="169"/>
      <c r="GW603" s="951"/>
    </row>
    <row r="604" spans="182:205" customFormat="1" x14ac:dyDescent="0.3">
      <c r="FZ604" s="169"/>
      <c r="GA604" s="169"/>
      <c r="GB604" s="169"/>
      <c r="GC604" s="169"/>
      <c r="GD604" s="169"/>
      <c r="GE604" s="169"/>
      <c r="GF604" s="169"/>
      <c r="GG604" s="169"/>
      <c r="GW604" s="951"/>
    </row>
    <row r="605" spans="182:205" customFormat="1" x14ac:dyDescent="0.3">
      <c r="FZ605" s="169"/>
      <c r="GA605" s="169"/>
      <c r="GB605" s="169"/>
      <c r="GC605" s="169"/>
      <c r="GD605" s="169"/>
      <c r="GE605" s="169"/>
      <c r="GF605" s="169"/>
      <c r="GG605" s="169"/>
      <c r="GW605" s="951"/>
    </row>
    <row r="606" spans="182:205" customFormat="1" x14ac:dyDescent="0.3">
      <c r="FZ606" s="169"/>
      <c r="GA606" s="169"/>
      <c r="GB606" s="169"/>
      <c r="GC606" s="169"/>
      <c r="GD606" s="169"/>
      <c r="GE606" s="169"/>
      <c r="GF606" s="169"/>
      <c r="GG606" s="169"/>
      <c r="GW606" s="951"/>
    </row>
    <row r="607" spans="182:205" customFormat="1" x14ac:dyDescent="0.3">
      <c r="FZ607" s="169"/>
      <c r="GA607" s="169"/>
      <c r="GB607" s="169"/>
      <c r="GC607" s="169"/>
      <c r="GD607" s="169"/>
      <c r="GE607" s="169"/>
      <c r="GF607" s="169"/>
      <c r="GG607" s="169"/>
      <c r="GW607" s="951"/>
    </row>
    <row r="608" spans="182:205" customFormat="1" x14ac:dyDescent="0.3">
      <c r="FZ608" s="169"/>
      <c r="GA608" s="169"/>
      <c r="GB608" s="169"/>
      <c r="GC608" s="169"/>
      <c r="GD608" s="169"/>
      <c r="GE608" s="169"/>
      <c r="GF608" s="169"/>
      <c r="GG608" s="169"/>
      <c r="GW608" s="951"/>
    </row>
    <row r="609" spans="182:205" customFormat="1" x14ac:dyDescent="0.3">
      <c r="FZ609" s="169"/>
      <c r="GA609" s="169"/>
      <c r="GB609" s="169"/>
      <c r="GC609" s="169"/>
      <c r="GD609" s="169"/>
      <c r="GE609" s="169"/>
      <c r="GF609" s="169"/>
      <c r="GG609" s="169"/>
      <c r="GW609" s="951"/>
    </row>
    <row r="610" spans="182:205" customFormat="1" x14ac:dyDescent="0.3">
      <c r="FZ610" s="169"/>
      <c r="GA610" s="169"/>
      <c r="GB610" s="169"/>
      <c r="GC610" s="169"/>
      <c r="GD610" s="169"/>
      <c r="GE610" s="169"/>
      <c r="GF610" s="169"/>
      <c r="GG610" s="169"/>
      <c r="GW610" s="951"/>
    </row>
    <row r="611" spans="182:205" customFormat="1" x14ac:dyDescent="0.3">
      <c r="FZ611" s="169"/>
      <c r="GA611" s="169"/>
      <c r="GB611" s="169"/>
      <c r="GC611" s="169"/>
      <c r="GD611" s="169"/>
      <c r="GE611" s="169"/>
      <c r="GF611" s="169"/>
      <c r="GG611" s="169"/>
      <c r="GW611" s="951"/>
    </row>
    <row r="612" spans="182:205" customFormat="1" x14ac:dyDescent="0.3">
      <c r="FZ612" s="169"/>
      <c r="GA612" s="169"/>
      <c r="GB612" s="169"/>
      <c r="GC612" s="169"/>
      <c r="GD612" s="169"/>
      <c r="GE612" s="169"/>
      <c r="GF612" s="169"/>
      <c r="GG612" s="169"/>
      <c r="GW612" s="951"/>
    </row>
    <row r="613" spans="182:205" customFormat="1" x14ac:dyDescent="0.3">
      <c r="FZ613" s="169"/>
      <c r="GA613" s="169"/>
      <c r="GB613" s="169"/>
      <c r="GC613" s="169"/>
      <c r="GD613" s="169"/>
      <c r="GE613" s="169"/>
      <c r="GF613" s="169"/>
      <c r="GG613" s="169"/>
      <c r="GW613" s="951"/>
    </row>
    <row r="614" spans="182:205" customFormat="1" x14ac:dyDescent="0.3">
      <c r="FZ614" s="169"/>
      <c r="GA614" s="169"/>
      <c r="GB614" s="169"/>
      <c r="GC614" s="169"/>
      <c r="GD614" s="169"/>
      <c r="GE614" s="169"/>
      <c r="GF614" s="169"/>
      <c r="GG614" s="169"/>
      <c r="GW614" s="951"/>
    </row>
    <row r="615" spans="182:205" customFormat="1" x14ac:dyDescent="0.3">
      <c r="FZ615" s="169"/>
      <c r="GA615" s="169"/>
      <c r="GB615" s="169"/>
      <c r="GC615" s="169"/>
      <c r="GD615" s="169"/>
      <c r="GE615" s="169"/>
      <c r="GF615" s="169"/>
      <c r="GG615" s="169"/>
      <c r="GW615" s="951"/>
    </row>
    <row r="616" spans="182:205" customFormat="1" x14ac:dyDescent="0.3">
      <c r="FZ616" s="169"/>
      <c r="GA616" s="169"/>
      <c r="GB616" s="169"/>
      <c r="GC616" s="169"/>
      <c r="GD616" s="169"/>
      <c r="GE616" s="169"/>
      <c r="GF616" s="169"/>
      <c r="GG616" s="169"/>
      <c r="GW616" s="951"/>
    </row>
    <row r="617" spans="182:205" customFormat="1" x14ac:dyDescent="0.3">
      <c r="FZ617" s="169"/>
      <c r="GA617" s="169"/>
      <c r="GB617" s="169"/>
      <c r="GC617" s="169"/>
      <c r="GD617" s="169"/>
      <c r="GE617" s="169"/>
      <c r="GF617" s="169"/>
      <c r="GG617" s="169"/>
      <c r="GW617" s="951"/>
    </row>
    <row r="618" spans="182:205" customFormat="1" x14ac:dyDescent="0.3">
      <c r="FZ618" s="169"/>
      <c r="GA618" s="169"/>
      <c r="GB618" s="169"/>
      <c r="GC618" s="169"/>
      <c r="GD618" s="169"/>
      <c r="GE618" s="169"/>
      <c r="GF618" s="169"/>
      <c r="GG618" s="169"/>
      <c r="GW618" s="951"/>
    </row>
    <row r="619" spans="182:205" customFormat="1" x14ac:dyDescent="0.3">
      <c r="FZ619" s="169"/>
      <c r="GA619" s="169"/>
      <c r="GB619" s="169"/>
      <c r="GC619" s="169"/>
      <c r="GD619" s="169"/>
      <c r="GE619" s="169"/>
      <c r="GF619" s="169"/>
      <c r="GG619" s="169"/>
      <c r="GW619" s="951"/>
    </row>
    <row r="620" spans="182:205" customFormat="1" x14ac:dyDescent="0.3">
      <c r="FZ620" s="169"/>
      <c r="GA620" s="169"/>
      <c r="GB620" s="169"/>
      <c r="GC620" s="169"/>
      <c r="GD620" s="169"/>
      <c r="GE620" s="169"/>
      <c r="GF620" s="169"/>
      <c r="GG620" s="169"/>
      <c r="GW620" s="951"/>
    </row>
    <row r="621" spans="182:205" customFormat="1" x14ac:dyDescent="0.3">
      <c r="FZ621" s="169"/>
      <c r="GA621" s="169"/>
      <c r="GB621" s="169"/>
      <c r="GC621" s="169"/>
      <c r="GD621" s="169"/>
      <c r="GE621" s="169"/>
      <c r="GF621" s="169"/>
      <c r="GG621" s="169"/>
      <c r="GW621" s="951"/>
    </row>
    <row r="622" spans="182:205" customFormat="1" x14ac:dyDescent="0.3">
      <c r="FZ622" s="169"/>
      <c r="GA622" s="169"/>
      <c r="GB622" s="169"/>
      <c r="GC622" s="169"/>
      <c r="GD622" s="169"/>
      <c r="GE622" s="169"/>
      <c r="GF622" s="169"/>
      <c r="GG622" s="169"/>
      <c r="GW622" s="951"/>
    </row>
    <row r="623" spans="182:205" customFormat="1" x14ac:dyDescent="0.3">
      <c r="FZ623" s="169"/>
      <c r="GA623" s="169"/>
      <c r="GB623" s="169"/>
      <c r="GC623" s="169"/>
      <c r="GD623" s="169"/>
      <c r="GE623" s="169"/>
      <c r="GF623" s="169"/>
      <c r="GG623" s="169"/>
      <c r="GW623" s="951"/>
    </row>
    <row r="624" spans="182:205" customFormat="1" x14ac:dyDescent="0.3">
      <c r="FZ624" s="169"/>
      <c r="GA624" s="169"/>
      <c r="GB624" s="169"/>
      <c r="GC624" s="169"/>
      <c r="GD624" s="169"/>
      <c r="GE624" s="169"/>
      <c r="GF624" s="169"/>
      <c r="GG624" s="169"/>
      <c r="GW624" s="951"/>
    </row>
    <row r="625" spans="182:205" customFormat="1" x14ac:dyDescent="0.3">
      <c r="FZ625" s="169"/>
      <c r="GA625" s="169"/>
      <c r="GB625" s="169"/>
      <c r="GC625" s="169"/>
      <c r="GD625" s="169"/>
      <c r="GE625" s="169"/>
      <c r="GF625" s="169"/>
      <c r="GG625" s="169"/>
      <c r="GW625" s="951"/>
    </row>
    <row r="626" spans="182:205" customFormat="1" x14ac:dyDescent="0.3">
      <c r="FZ626" s="169"/>
      <c r="GA626" s="169"/>
      <c r="GB626" s="169"/>
      <c r="GC626" s="169"/>
      <c r="GD626" s="169"/>
      <c r="GE626" s="169"/>
      <c r="GF626" s="169"/>
      <c r="GG626" s="169"/>
      <c r="GW626" s="951"/>
    </row>
    <row r="627" spans="182:205" customFormat="1" x14ac:dyDescent="0.3">
      <c r="FZ627" s="169"/>
      <c r="GA627" s="169"/>
      <c r="GB627" s="169"/>
      <c r="GC627" s="169"/>
      <c r="GD627" s="169"/>
      <c r="GE627" s="169"/>
      <c r="GF627" s="169"/>
      <c r="GG627" s="169"/>
      <c r="GW627" s="951"/>
    </row>
    <row r="628" spans="182:205" customFormat="1" x14ac:dyDescent="0.3">
      <c r="FZ628" s="169"/>
      <c r="GA628" s="169"/>
      <c r="GB628" s="169"/>
      <c r="GC628" s="169"/>
      <c r="GD628" s="169"/>
      <c r="GE628" s="169"/>
      <c r="GF628" s="169"/>
      <c r="GG628" s="169"/>
      <c r="GW628" s="951"/>
    </row>
    <row r="629" spans="182:205" customFormat="1" x14ac:dyDescent="0.3">
      <c r="FZ629" s="169"/>
      <c r="GA629" s="169"/>
      <c r="GB629" s="169"/>
      <c r="GC629" s="169"/>
      <c r="GD629" s="169"/>
      <c r="GE629" s="169"/>
      <c r="GF629" s="169"/>
      <c r="GG629" s="169"/>
      <c r="GW629" s="951"/>
    </row>
    <row r="630" spans="182:205" customFormat="1" x14ac:dyDescent="0.3">
      <c r="FZ630" s="169"/>
      <c r="GA630" s="169"/>
      <c r="GB630" s="169"/>
      <c r="GC630" s="169"/>
      <c r="GD630" s="169"/>
      <c r="GE630" s="169"/>
      <c r="GF630" s="169"/>
      <c r="GG630" s="169"/>
      <c r="GW630" s="951"/>
    </row>
    <row r="631" spans="182:205" customFormat="1" x14ac:dyDescent="0.3">
      <c r="FZ631" s="169"/>
      <c r="GA631" s="169"/>
      <c r="GB631" s="169"/>
      <c r="GC631" s="169"/>
      <c r="GD631" s="169"/>
      <c r="GE631" s="169"/>
      <c r="GF631" s="169"/>
      <c r="GG631" s="169"/>
      <c r="GW631" s="951"/>
    </row>
    <row r="632" spans="182:205" customFormat="1" x14ac:dyDescent="0.3">
      <c r="FZ632" s="169"/>
      <c r="GA632" s="169"/>
      <c r="GB632" s="169"/>
      <c r="GC632" s="169"/>
      <c r="GD632" s="169"/>
      <c r="GE632" s="169"/>
      <c r="GF632" s="169"/>
      <c r="GG632" s="169"/>
      <c r="GW632" s="951"/>
    </row>
    <row r="633" spans="182:205" customFormat="1" x14ac:dyDescent="0.3">
      <c r="FZ633" s="169"/>
      <c r="GA633" s="169"/>
      <c r="GB633" s="169"/>
      <c r="GC633" s="169"/>
      <c r="GD633" s="169"/>
      <c r="GE633" s="169"/>
      <c r="GF633" s="169"/>
      <c r="GG633" s="169"/>
      <c r="GW633" s="951"/>
    </row>
    <row r="634" spans="182:205" customFormat="1" x14ac:dyDescent="0.3">
      <c r="FZ634" s="169"/>
      <c r="GA634" s="169"/>
      <c r="GB634" s="169"/>
      <c r="GC634" s="169"/>
      <c r="GD634" s="169"/>
      <c r="GE634" s="169"/>
      <c r="GF634" s="169"/>
      <c r="GG634" s="169"/>
      <c r="GW634" s="951"/>
    </row>
    <row r="635" spans="182:205" customFormat="1" x14ac:dyDescent="0.3">
      <c r="FZ635" s="169"/>
      <c r="GA635" s="169"/>
      <c r="GB635" s="169"/>
      <c r="GC635" s="169"/>
      <c r="GD635" s="169"/>
      <c r="GE635" s="169"/>
      <c r="GF635" s="169"/>
      <c r="GG635" s="169"/>
      <c r="GW635" s="951"/>
    </row>
    <row r="636" spans="182:205" customFormat="1" x14ac:dyDescent="0.3">
      <c r="FZ636" s="169"/>
      <c r="GA636" s="169"/>
      <c r="GB636" s="169"/>
      <c r="GC636" s="169"/>
      <c r="GD636" s="169"/>
      <c r="GE636" s="169"/>
      <c r="GF636" s="169"/>
      <c r="GG636" s="169"/>
      <c r="GW636" s="951"/>
    </row>
    <row r="637" spans="182:205" customFormat="1" x14ac:dyDescent="0.3">
      <c r="FZ637" s="169"/>
      <c r="GA637" s="169"/>
      <c r="GB637" s="169"/>
      <c r="GC637" s="169"/>
      <c r="GD637" s="169"/>
      <c r="GE637" s="169"/>
      <c r="GF637" s="169"/>
      <c r="GG637" s="169"/>
      <c r="GW637" s="951"/>
    </row>
    <row r="638" spans="182:205" customFormat="1" x14ac:dyDescent="0.3">
      <c r="FZ638" s="169"/>
      <c r="GA638" s="169"/>
      <c r="GB638" s="169"/>
      <c r="GC638" s="169"/>
      <c r="GD638" s="169"/>
      <c r="GE638" s="169"/>
      <c r="GF638" s="169"/>
      <c r="GG638" s="169"/>
      <c r="GW638" s="951"/>
    </row>
    <row r="639" spans="182:205" customFormat="1" x14ac:dyDescent="0.3">
      <c r="FZ639" s="169"/>
      <c r="GA639" s="169"/>
      <c r="GB639" s="169"/>
      <c r="GC639" s="169"/>
      <c r="GD639" s="169"/>
      <c r="GE639" s="169"/>
      <c r="GF639" s="169"/>
      <c r="GG639" s="169"/>
      <c r="GW639" s="951"/>
    </row>
    <row r="640" spans="182:205" customFormat="1" x14ac:dyDescent="0.3">
      <c r="FZ640" s="169"/>
      <c r="GA640" s="169"/>
      <c r="GB640" s="169"/>
      <c r="GC640" s="169"/>
      <c r="GD640" s="169"/>
      <c r="GE640" s="169"/>
      <c r="GF640" s="169"/>
      <c r="GG640" s="169"/>
      <c r="GW640" s="951"/>
    </row>
    <row r="641" spans="182:205" customFormat="1" x14ac:dyDescent="0.3">
      <c r="FZ641" s="169"/>
      <c r="GA641" s="169"/>
      <c r="GB641" s="169"/>
      <c r="GC641" s="169"/>
      <c r="GD641" s="169"/>
      <c r="GE641" s="169"/>
      <c r="GF641" s="169"/>
      <c r="GG641" s="169"/>
      <c r="GW641" s="951"/>
    </row>
    <row r="642" spans="182:205" customFormat="1" x14ac:dyDescent="0.3">
      <c r="FZ642" s="169"/>
      <c r="GA642" s="169"/>
      <c r="GB642" s="169"/>
      <c r="GC642" s="169"/>
      <c r="GD642" s="169"/>
      <c r="GE642" s="169"/>
      <c r="GF642" s="169"/>
      <c r="GG642" s="169"/>
      <c r="GW642" s="951"/>
    </row>
    <row r="643" spans="182:205" customFormat="1" x14ac:dyDescent="0.3">
      <c r="FZ643" s="169"/>
      <c r="GA643" s="169"/>
      <c r="GB643" s="169"/>
      <c r="GC643" s="169"/>
      <c r="GD643" s="169"/>
      <c r="GE643" s="169"/>
      <c r="GF643" s="169"/>
      <c r="GG643" s="169"/>
      <c r="GW643" s="951"/>
    </row>
    <row r="644" spans="182:205" customFormat="1" x14ac:dyDescent="0.3">
      <c r="FZ644" s="169"/>
      <c r="GA644" s="169"/>
      <c r="GB644" s="169"/>
      <c r="GC644" s="169"/>
      <c r="GD644" s="169"/>
      <c r="GE644" s="169"/>
      <c r="GF644" s="169"/>
      <c r="GG644" s="169"/>
      <c r="GW644" s="951"/>
    </row>
    <row r="645" spans="182:205" customFormat="1" x14ac:dyDescent="0.3">
      <c r="FZ645" s="169"/>
      <c r="GA645" s="169"/>
      <c r="GB645" s="169"/>
      <c r="GC645" s="169"/>
      <c r="GD645" s="169"/>
      <c r="GE645" s="169"/>
      <c r="GF645" s="169"/>
      <c r="GG645" s="169"/>
      <c r="GW645" s="951"/>
    </row>
    <row r="646" spans="182:205" customFormat="1" x14ac:dyDescent="0.3">
      <c r="FZ646" s="169"/>
      <c r="GA646" s="169"/>
      <c r="GB646" s="169"/>
      <c r="GC646" s="169"/>
      <c r="GD646" s="169"/>
      <c r="GE646" s="169"/>
      <c r="GF646" s="169"/>
      <c r="GG646" s="169"/>
      <c r="GW646" s="951"/>
    </row>
    <row r="647" spans="182:205" customFormat="1" x14ac:dyDescent="0.3">
      <c r="FZ647" s="169"/>
      <c r="GA647" s="169"/>
      <c r="GB647" s="169"/>
      <c r="GC647" s="169"/>
      <c r="GD647" s="169"/>
      <c r="GE647" s="169"/>
      <c r="GF647" s="169"/>
      <c r="GG647" s="169"/>
      <c r="GW647" s="951"/>
    </row>
    <row r="648" spans="182:205" customFormat="1" x14ac:dyDescent="0.3">
      <c r="FZ648" s="169"/>
      <c r="GA648" s="169"/>
      <c r="GB648" s="169"/>
      <c r="GC648" s="169"/>
      <c r="GD648" s="169"/>
      <c r="GE648" s="169"/>
      <c r="GF648" s="169"/>
      <c r="GG648" s="169"/>
      <c r="GW648" s="951"/>
    </row>
    <row r="649" spans="182:205" customFormat="1" x14ac:dyDescent="0.3">
      <c r="FZ649" s="169"/>
      <c r="GA649" s="169"/>
      <c r="GB649" s="169"/>
      <c r="GC649" s="169"/>
      <c r="GD649" s="169"/>
      <c r="GE649" s="169"/>
      <c r="GF649" s="169"/>
      <c r="GG649" s="169"/>
      <c r="GW649" s="951"/>
    </row>
    <row r="650" spans="182:205" customFormat="1" x14ac:dyDescent="0.3">
      <c r="FZ650" s="169"/>
      <c r="GA650" s="169"/>
      <c r="GB650" s="169"/>
      <c r="GC650" s="169"/>
      <c r="GD650" s="169"/>
      <c r="GE650" s="169"/>
      <c r="GF650" s="169"/>
      <c r="GG650" s="169"/>
      <c r="GW650" s="951"/>
    </row>
    <row r="651" spans="182:205" customFormat="1" x14ac:dyDescent="0.3">
      <c r="FZ651" s="169"/>
      <c r="GA651" s="169"/>
      <c r="GB651" s="169"/>
      <c r="GC651" s="169"/>
      <c r="GD651" s="169"/>
      <c r="GE651" s="169"/>
      <c r="GF651" s="169"/>
      <c r="GG651" s="169"/>
      <c r="GW651" s="951"/>
    </row>
    <row r="652" spans="182:205" customFormat="1" x14ac:dyDescent="0.3">
      <c r="FZ652" s="169"/>
      <c r="GA652" s="169"/>
      <c r="GB652" s="169"/>
      <c r="GC652" s="169"/>
      <c r="GD652" s="169"/>
      <c r="GE652" s="169"/>
      <c r="GF652" s="169"/>
      <c r="GG652" s="169"/>
      <c r="GW652" s="951"/>
    </row>
    <row r="653" spans="182:205" customFormat="1" x14ac:dyDescent="0.3">
      <c r="FZ653" s="169"/>
      <c r="GA653" s="169"/>
      <c r="GB653" s="169"/>
      <c r="GC653" s="169"/>
      <c r="GD653" s="169"/>
      <c r="GE653" s="169"/>
      <c r="GF653" s="169"/>
      <c r="GG653" s="169"/>
      <c r="GW653" s="951"/>
    </row>
    <row r="654" spans="182:205" customFormat="1" x14ac:dyDescent="0.3">
      <c r="FZ654" s="169"/>
      <c r="GA654" s="169"/>
      <c r="GB654" s="169"/>
      <c r="GC654" s="169"/>
      <c r="GD654" s="169"/>
      <c r="GE654" s="169"/>
      <c r="GF654" s="169"/>
      <c r="GG654" s="169"/>
      <c r="GW654" s="951"/>
    </row>
    <row r="655" spans="182:205" customFormat="1" x14ac:dyDescent="0.3">
      <c r="FZ655" s="169"/>
      <c r="GA655" s="169"/>
      <c r="GB655" s="169"/>
      <c r="GC655" s="169"/>
      <c r="GD655" s="169"/>
      <c r="GE655" s="169"/>
      <c r="GF655" s="169"/>
      <c r="GG655" s="169"/>
      <c r="GW655" s="951"/>
    </row>
    <row r="656" spans="182:205" customFormat="1" x14ac:dyDescent="0.3">
      <c r="FZ656" s="169"/>
      <c r="GA656" s="169"/>
      <c r="GB656" s="169"/>
      <c r="GC656" s="169"/>
      <c r="GD656" s="169"/>
      <c r="GE656" s="169"/>
      <c r="GF656" s="169"/>
      <c r="GG656" s="169"/>
      <c r="GW656" s="951"/>
    </row>
    <row r="657" spans="182:205" customFormat="1" x14ac:dyDescent="0.3">
      <c r="FZ657" s="169"/>
      <c r="GA657" s="169"/>
      <c r="GB657" s="169"/>
      <c r="GC657" s="169"/>
      <c r="GD657" s="169"/>
      <c r="GE657" s="169"/>
      <c r="GF657" s="169"/>
      <c r="GG657" s="169"/>
      <c r="GW657" s="951"/>
    </row>
    <row r="658" spans="182:205" customFormat="1" x14ac:dyDescent="0.3">
      <c r="FZ658" s="169"/>
      <c r="GA658" s="169"/>
      <c r="GB658" s="169"/>
      <c r="GC658" s="169"/>
      <c r="GD658" s="169"/>
      <c r="GE658" s="169"/>
      <c r="GF658" s="169"/>
      <c r="GG658" s="169"/>
      <c r="GW658" s="951"/>
    </row>
    <row r="659" spans="182:205" customFormat="1" x14ac:dyDescent="0.3">
      <c r="FZ659" s="169"/>
      <c r="GA659" s="169"/>
      <c r="GB659" s="169"/>
      <c r="GC659" s="169"/>
      <c r="GD659" s="169"/>
      <c r="GE659" s="169"/>
      <c r="GF659" s="169"/>
      <c r="GG659" s="169"/>
      <c r="GW659" s="951"/>
    </row>
    <row r="660" spans="182:205" customFormat="1" x14ac:dyDescent="0.3">
      <c r="FZ660" s="169"/>
      <c r="GA660" s="169"/>
      <c r="GB660" s="169"/>
      <c r="GC660" s="169"/>
      <c r="GD660" s="169"/>
      <c r="GE660" s="169"/>
      <c r="GF660" s="169"/>
      <c r="GG660" s="169"/>
      <c r="GW660" s="951"/>
    </row>
    <row r="661" spans="182:205" customFormat="1" x14ac:dyDescent="0.3">
      <c r="FZ661" s="169"/>
      <c r="GA661" s="169"/>
      <c r="GB661" s="169"/>
      <c r="GC661" s="169"/>
      <c r="GD661" s="169"/>
      <c r="GE661" s="169"/>
      <c r="GF661" s="169"/>
      <c r="GG661" s="169"/>
      <c r="GW661" s="951"/>
    </row>
    <row r="662" spans="182:205" customFormat="1" x14ac:dyDescent="0.3">
      <c r="FZ662" s="169"/>
      <c r="GA662" s="169"/>
      <c r="GB662" s="169"/>
      <c r="GC662" s="169"/>
      <c r="GD662" s="169"/>
      <c r="GE662" s="169"/>
      <c r="GF662" s="169"/>
      <c r="GG662" s="169"/>
      <c r="GW662" s="951"/>
    </row>
    <row r="663" spans="182:205" customFormat="1" x14ac:dyDescent="0.3">
      <c r="FZ663" s="169"/>
      <c r="GA663" s="169"/>
      <c r="GB663" s="169"/>
      <c r="GC663" s="169"/>
      <c r="GD663" s="169"/>
      <c r="GE663" s="169"/>
      <c r="GF663" s="169"/>
      <c r="GG663" s="169"/>
      <c r="GW663" s="951"/>
    </row>
    <row r="664" spans="182:205" customFormat="1" x14ac:dyDescent="0.3">
      <c r="FZ664" s="169"/>
      <c r="GA664" s="169"/>
      <c r="GB664" s="169"/>
      <c r="GC664" s="169"/>
      <c r="GD664" s="169"/>
      <c r="GE664" s="169"/>
      <c r="GF664" s="169"/>
      <c r="GG664" s="169"/>
      <c r="GW664" s="951"/>
    </row>
    <row r="665" spans="182:205" customFormat="1" x14ac:dyDescent="0.3">
      <c r="FZ665" s="169"/>
      <c r="GA665" s="169"/>
      <c r="GB665" s="169"/>
      <c r="GC665" s="169"/>
      <c r="GD665" s="169"/>
      <c r="GE665" s="169"/>
      <c r="GF665" s="169"/>
      <c r="GG665" s="169"/>
      <c r="GW665" s="951"/>
    </row>
    <row r="666" spans="182:205" customFormat="1" x14ac:dyDescent="0.3">
      <c r="FZ666" s="169"/>
      <c r="GA666" s="169"/>
      <c r="GB666" s="169"/>
      <c r="GC666" s="169"/>
      <c r="GD666" s="169"/>
      <c r="GE666" s="169"/>
      <c r="GF666" s="169"/>
      <c r="GG666" s="169"/>
      <c r="GW666" s="951"/>
    </row>
    <row r="667" spans="182:205" customFormat="1" x14ac:dyDescent="0.3">
      <c r="FZ667" s="169"/>
      <c r="GA667" s="169"/>
      <c r="GB667" s="169"/>
      <c r="GC667" s="169"/>
      <c r="GD667" s="169"/>
      <c r="GE667" s="169"/>
      <c r="GF667" s="169"/>
      <c r="GG667" s="169"/>
      <c r="GW667" s="951"/>
    </row>
    <row r="668" spans="182:205" customFormat="1" x14ac:dyDescent="0.3">
      <c r="FZ668" s="169"/>
      <c r="GA668" s="169"/>
      <c r="GB668" s="169"/>
      <c r="GC668" s="169"/>
      <c r="GD668" s="169"/>
      <c r="GE668" s="169"/>
      <c r="GF668" s="169"/>
      <c r="GG668" s="169"/>
      <c r="GW668" s="951"/>
    </row>
    <row r="669" spans="182:205" customFormat="1" x14ac:dyDescent="0.3">
      <c r="FZ669" s="169"/>
      <c r="GA669" s="169"/>
      <c r="GB669" s="169"/>
      <c r="GC669" s="169"/>
      <c r="GD669" s="169"/>
      <c r="GE669" s="169"/>
      <c r="GF669" s="169"/>
      <c r="GG669" s="169"/>
      <c r="GW669" s="951"/>
    </row>
    <row r="670" spans="182:205" customFormat="1" x14ac:dyDescent="0.3">
      <c r="FZ670" s="169"/>
      <c r="GA670" s="169"/>
      <c r="GB670" s="169"/>
      <c r="GC670" s="169"/>
      <c r="GD670" s="169"/>
      <c r="GE670" s="169"/>
      <c r="GF670" s="169"/>
      <c r="GG670" s="169"/>
      <c r="GW670" s="951"/>
    </row>
    <row r="671" spans="182:205" customFormat="1" x14ac:dyDescent="0.3">
      <c r="FZ671" s="169"/>
      <c r="GA671" s="169"/>
      <c r="GB671" s="169"/>
      <c r="GC671" s="169"/>
      <c r="GD671" s="169"/>
      <c r="GE671" s="169"/>
      <c r="GF671" s="169"/>
      <c r="GG671" s="169"/>
      <c r="GW671" s="951"/>
    </row>
    <row r="672" spans="182:205" customFormat="1" x14ac:dyDescent="0.3">
      <c r="FZ672" s="169"/>
      <c r="GA672" s="169"/>
      <c r="GB672" s="169"/>
      <c r="GC672" s="169"/>
      <c r="GD672" s="169"/>
      <c r="GE672" s="169"/>
      <c r="GF672" s="169"/>
      <c r="GG672" s="169"/>
      <c r="GW672" s="951"/>
    </row>
    <row r="673" spans="182:205" customFormat="1" x14ac:dyDescent="0.3">
      <c r="FZ673" s="169"/>
      <c r="GA673" s="169"/>
      <c r="GB673" s="169"/>
      <c r="GC673" s="169"/>
      <c r="GD673" s="169"/>
      <c r="GE673" s="169"/>
      <c r="GF673" s="169"/>
      <c r="GG673" s="169"/>
      <c r="GW673" s="951"/>
    </row>
    <row r="674" spans="182:205" customFormat="1" x14ac:dyDescent="0.3">
      <c r="FZ674" s="169"/>
      <c r="GA674" s="169"/>
      <c r="GB674" s="169"/>
      <c r="GC674" s="169"/>
      <c r="GD674" s="169"/>
      <c r="GE674" s="169"/>
      <c r="GF674" s="169"/>
      <c r="GG674" s="169"/>
      <c r="GW674" s="951"/>
    </row>
    <row r="675" spans="182:205" customFormat="1" x14ac:dyDescent="0.3">
      <c r="FZ675" s="169"/>
      <c r="GA675" s="169"/>
      <c r="GB675" s="169"/>
      <c r="GC675" s="169"/>
      <c r="GD675" s="169"/>
      <c r="GE675" s="169"/>
      <c r="GF675" s="169"/>
      <c r="GG675" s="169"/>
      <c r="GW675" s="951"/>
    </row>
    <row r="676" spans="182:205" customFormat="1" x14ac:dyDescent="0.3">
      <c r="FZ676" s="169"/>
      <c r="GA676" s="169"/>
      <c r="GB676" s="169"/>
      <c r="GC676" s="169"/>
      <c r="GD676" s="169"/>
      <c r="GE676" s="169"/>
      <c r="GF676" s="169"/>
      <c r="GG676" s="169"/>
      <c r="GW676" s="951"/>
    </row>
    <row r="677" spans="182:205" customFormat="1" x14ac:dyDescent="0.3">
      <c r="FZ677" s="169"/>
      <c r="GA677" s="169"/>
      <c r="GB677" s="169"/>
      <c r="GC677" s="169"/>
      <c r="GD677" s="169"/>
      <c r="GE677" s="169"/>
      <c r="GF677" s="169"/>
      <c r="GG677" s="169"/>
      <c r="GW677" s="951"/>
    </row>
    <row r="678" spans="182:205" customFormat="1" x14ac:dyDescent="0.3">
      <c r="FZ678" s="169"/>
      <c r="GA678" s="169"/>
      <c r="GB678" s="169"/>
      <c r="GC678" s="169"/>
      <c r="GD678" s="169"/>
      <c r="GE678" s="169"/>
      <c r="GF678" s="169"/>
      <c r="GG678" s="169"/>
      <c r="GW678" s="951"/>
    </row>
    <row r="679" spans="182:205" customFormat="1" x14ac:dyDescent="0.3">
      <c r="FZ679" s="169"/>
      <c r="GA679" s="169"/>
      <c r="GB679" s="169"/>
      <c r="GC679" s="169"/>
      <c r="GD679" s="169"/>
      <c r="GE679" s="169"/>
      <c r="GF679" s="169"/>
      <c r="GG679" s="169"/>
      <c r="GW679" s="951"/>
    </row>
    <row r="680" spans="182:205" customFormat="1" x14ac:dyDescent="0.3">
      <c r="FZ680" s="169"/>
      <c r="GA680" s="169"/>
      <c r="GB680" s="169"/>
      <c r="GC680" s="169"/>
      <c r="GD680" s="169"/>
      <c r="GE680" s="169"/>
      <c r="GF680" s="169"/>
      <c r="GG680" s="169"/>
      <c r="GW680" s="951"/>
    </row>
    <row r="681" spans="182:205" customFormat="1" x14ac:dyDescent="0.3">
      <c r="FZ681" s="169"/>
      <c r="GA681" s="169"/>
      <c r="GB681" s="169"/>
      <c r="GC681" s="169"/>
      <c r="GD681" s="169"/>
      <c r="GE681" s="169"/>
      <c r="GF681" s="169"/>
      <c r="GG681" s="169"/>
      <c r="GW681" s="951"/>
    </row>
    <row r="682" spans="182:205" customFormat="1" x14ac:dyDescent="0.3">
      <c r="FZ682" s="169"/>
      <c r="GA682" s="169"/>
      <c r="GB682" s="169"/>
      <c r="GC682" s="169"/>
      <c r="GD682" s="169"/>
      <c r="GE682" s="169"/>
      <c r="GF682" s="169"/>
      <c r="GG682" s="169"/>
      <c r="GW682" s="951"/>
    </row>
    <row r="683" spans="182:205" customFormat="1" x14ac:dyDescent="0.3">
      <c r="FZ683" s="169"/>
      <c r="GA683" s="169"/>
      <c r="GB683" s="169"/>
      <c r="GC683" s="169"/>
      <c r="GD683" s="169"/>
      <c r="GE683" s="169"/>
      <c r="GF683" s="169"/>
      <c r="GG683" s="169"/>
      <c r="GW683" s="951"/>
    </row>
    <row r="684" spans="182:205" customFormat="1" x14ac:dyDescent="0.3">
      <c r="FZ684" s="169"/>
      <c r="GA684" s="169"/>
      <c r="GB684" s="169"/>
      <c r="GC684" s="169"/>
      <c r="GD684" s="169"/>
      <c r="GE684" s="169"/>
      <c r="GF684" s="169"/>
      <c r="GG684" s="169"/>
      <c r="GW684" s="951"/>
    </row>
    <row r="685" spans="182:205" customFormat="1" x14ac:dyDescent="0.3">
      <c r="FZ685" s="169"/>
      <c r="GA685" s="169"/>
      <c r="GB685" s="169"/>
      <c r="GC685" s="169"/>
      <c r="GD685" s="169"/>
      <c r="GE685" s="169"/>
      <c r="GF685" s="169"/>
      <c r="GG685" s="169"/>
      <c r="GW685" s="951"/>
    </row>
    <row r="686" spans="182:205" customFormat="1" x14ac:dyDescent="0.3">
      <c r="FZ686" s="169"/>
      <c r="GA686" s="169"/>
      <c r="GB686" s="169"/>
      <c r="GC686" s="169"/>
      <c r="GD686" s="169"/>
      <c r="GE686" s="169"/>
      <c r="GF686" s="169"/>
      <c r="GG686" s="169"/>
      <c r="GW686" s="951"/>
    </row>
    <row r="687" spans="182:205" customFormat="1" x14ac:dyDescent="0.3">
      <c r="FZ687" s="169"/>
      <c r="GA687" s="169"/>
      <c r="GB687" s="169"/>
      <c r="GC687" s="169"/>
      <c r="GD687" s="169"/>
      <c r="GE687" s="169"/>
      <c r="GF687" s="169"/>
      <c r="GG687" s="169"/>
      <c r="GW687" s="951"/>
    </row>
    <row r="688" spans="182:205" customFormat="1" x14ac:dyDescent="0.3">
      <c r="FZ688" s="169"/>
      <c r="GA688" s="169"/>
      <c r="GB688" s="169"/>
      <c r="GC688" s="169"/>
      <c r="GD688" s="169"/>
      <c r="GE688" s="169"/>
      <c r="GF688" s="169"/>
      <c r="GG688" s="169"/>
      <c r="GW688" s="951"/>
    </row>
    <row r="689" spans="182:205" customFormat="1" x14ac:dyDescent="0.3">
      <c r="FZ689" s="169"/>
      <c r="GA689" s="169"/>
      <c r="GB689" s="169"/>
      <c r="GC689" s="169"/>
      <c r="GD689" s="169"/>
      <c r="GE689" s="169"/>
      <c r="GF689" s="169"/>
      <c r="GG689" s="169"/>
      <c r="GW689" s="951"/>
    </row>
    <row r="690" spans="182:205" customFormat="1" x14ac:dyDescent="0.3">
      <c r="FZ690" s="169"/>
      <c r="GA690" s="169"/>
      <c r="GB690" s="169"/>
      <c r="GC690" s="169"/>
      <c r="GD690" s="169"/>
      <c r="GE690" s="169"/>
      <c r="GF690" s="169"/>
      <c r="GG690" s="169"/>
      <c r="GW690" s="951"/>
    </row>
    <row r="691" spans="182:205" customFormat="1" x14ac:dyDescent="0.3">
      <c r="FZ691" s="169"/>
      <c r="GA691" s="169"/>
      <c r="GB691" s="169"/>
      <c r="GC691" s="169"/>
      <c r="GD691" s="169"/>
      <c r="GE691" s="169"/>
      <c r="GF691" s="169"/>
      <c r="GG691" s="169"/>
      <c r="GW691" s="951"/>
    </row>
    <row r="692" spans="182:205" customFormat="1" x14ac:dyDescent="0.3">
      <c r="FZ692" s="169"/>
      <c r="GA692" s="169"/>
      <c r="GB692" s="169"/>
      <c r="GC692" s="169"/>
      <c r="GD692" s="169"/>
      <c r="GE692" s="169"/>
      <c r="GF692" s="169"/>
      <c r="GG692" s="169"/>
      <c r="GW692" s="951"/>
    </row>
    <row r="693" spans="182:205" customFormat="1" x14ac:dyDescent="0.3">
      <c r="FZ693" s="169"/>
      <c r="GA693" s="169"/>
      <c r="GB693" s="169"/>
      <c r="GC693" s="169"/>
      <c r="GD693" s="169"/>
      <c r="GE693" s="169"/>
      <c r="GF693" s="169"/>
      <c r="GG693" s="169"/>
      <c r="GW693" s="951"/>
    </row>
    <row r="694" spans="182:205" customFormat="1" x14ac:dyDescent="0.3">
      <c r="FZ694" s="169"/>
      <c r="GA694" s="169"/>
      <c r="GB694" s="169"/>
      <c r="GC694" s="169"/>
      <c r="GD694" s="169"/>
      <c r="GE694" s="169"/>
      <c r="GF694" s="169"/>
      <c r="GG694" s="169"/>
      <c r="GW694" s="951"/>
    </row>
    <row r="695" spans="182:205" customFormat="1" x14ac:dyDescent="0.3">
      <c r="FZ695" s="169"/>
      <c r="GA695" s="169"/>
      <c r="GB695" s="169"/>
      <c r="GC695" s="169"/>
      <c r="GD695" s="169"/>
      <c r="GE695" s="169"/>
      <c r="GF695" s="169"/>
      <c r="GG695" s="169"/>
      <c r="GW695" s="951"/>
    </row>
    <row r="696" spans="182:205" customFormat="1" x14ac:dyDescent="0.3">
      <c r="FZ696" s="169"/>
      <c r="GA696" s="169"/>
      <c r="GB696" s="169"/>
      <c r="GC696" s="169"/>
      <c r="GD696" s="169"/>
      <c r="GE696" s="169"/>
      <c r="GF696" s="169"/>
      <c r="GG696" s="169"/>
      <c r="GW696" s="951"/>
    </row>
    <row r="697" spans="182:205" customFormat="1" x14ac:dyDescent="0.3">
      <c r="FZ697" s="169"/>
      <c r="GA697" s="169"/>
      <c r="GB697" s="169"/>
      <c r="GC697" s="169"/>
      <c r="GD697" s="169"/>
      <c r="GE697" s="169"/>
      <c r="GF697" s="169"/>
      <c r="GG697" s="169"/>
      <c r="GW697" s="951"/>
    </row>
    <row r="698" spans="182:205" customFormat="1" x14ac:dyDescent="0.3">
      <c r="FZ698" s="169"/>
      <c r="GA698" s="169"/>
      <c r="GB698" s="169"/>
      <c r="GC698" s="169"/>
      <c r="GD698" s="169"/>
      <c r="GE698" s="169"/>
      <c r="GF698" s="169"/>
      <c r="GG698" s="169"/>
      <c r="GW698" s="951"/>
    </row>
    <row r="699" spans="182:205" customFormat="1" x14ac:dyDescent="0.3">
      <c r="FZ699" s="169"/>
      <c r="GA699" s="169"/>
      <c r="GB699" s="169"/>
      <c r="GC699" s="169"/>
      <c r="GD699" s="169"/>
      <c r="GE699" s="169"/>
      <c r="GF699" s="169"/>
      <c r="GG699" s="169"/>
      <c r="GW699" s="951"/>
    </row>
    <row r="700" spans="182:205" customFormat="1" x14ac:dyDescent="0.3">
      <c r="FZ700" s="169"/>
      <c r="GA700" s="169"/>
      <c r="GB700" s="169"/>
      <c r="GC700" s="169"/>
      <c r="GD700" s="169"/>
      <c r="GE700" s="169"/>
      <c r="GF700" s="169"/>
      <c r="GG700" s="169"/>
      <c r="GW700" s="951"/>
    </row>
    <row r="701" spans="182:205" customFormat="1" x14ac:dyDescent="0.3">
      <c r="FZ701" s="169"/>
      <c r="GA701" s="169"/>
      <c r="GB701" s="169"/>
      <c r="GC701" s="169"/>
      <c r="GD701" s="169"/>
      <c r="GE701" s="169"/>
      <c r="GF701" s="169"/>
      <c r="GG701" s="169"/>
      <c r="GW701" s="951"/>
    </row>
    <row r="702" spans="182:205" customFormat="1" x14ac:dyDescent="0.3">
      <c r="FZ702" s="169"/>
      <c r="GA702" s="169"/>
      <c r="GB702" s="169"/>
      <c r="GC702" s="169"/>
      <c r="GD702" s="169"/>
      <c r="GE702" s="169"/>
      <c r="GF702" s="169"/>
      <c r="GG702" s="169"/>
      <c r="GW702" s="951"/>
    </row>
    <row r="703" spans="182:205" customFormat="1" x14ac:dyDescent="0.3">
      <c r="FZ703" s="169"/>
      <c r="GA703" s="169"/>
      <c r="GB703" s="169"/>
      <c r="GC703" s="169"/>
      <c r="GD703" s="169"/>
      <c r="GE703" s="169"/>
      <c r="GF703" s="169"/>
      <c r="GG703" s="169"/>
      <c r="GW703" s="951"/>
    </row>
    <row r="704" spans="182:205" customFormat="1" x14ac:dyDescent="0.3">
      <c r="FZ704" s="169"/>
      <c r="GA704" s="169"/>
      <c r="GB704" s="169"/>
      <c r="GC704" s="169"/>
      <c r="GD704" s="169"/>
      <c r="GE704" s="169"/>
      <c r="GF704" s="169"/>
      <c r="GG704" s="169"/>
      <c r="GW704" s="951"/>
    </row>
    <row r="705" spans="182:205" customFormat="1" x14ac:dyDescent="0.3">
      <c r="FZ705" s="169"/>
      <c r="GA705" s="169"/>
      <c r="GB705" s="169"/>
      <c r="GC705" s="169"/>
      <c r="GD705" s="169"/>
      <c r="GE705" s="169"/>
      <c r="GF705" s="169"/>
      <c r="GG705" s="169"/>
      <c r="GW705" s="951"/>
    </row>
    <row r="706" spans="182:205" customFormat="1" x14ac:dyDescent="0.3">
      <c r="FZ706" s="169"/>
      <c r="GA706" s="169"/>
      <c r="GB706" s="169"/>
      <c r="GC706" s="169"/>
      <c r="GD706" s="169"/>
      <c r="GE706" s="169"/>
      <c r="GF706" s="169"/>
      <c r="GG706" s="169"/>
      <c r="GW706" s="951"/>
    </row>
    <row r="707" spans="182:205" customFormat="1" x14ac:dyDescent="0.3">
      <c r="FZ707" s="169"/>
      <c r="GA707" s="169"/>
      <c r="GB707" s="169"/>
      <c r="GC707" s="169"/>
      <c r="GD707" s="169"/>
      <c r="GE707" s="169"/>
      <c r="GF707" s="169"/>
      <c r="GG707" s="169"/>
      <c r="GW707" s="951"/>
    </row>
    <row r="708" spans="182:205" customFormat="1" x14ac:dyDescent="0.3">
      <c r="FZ708" s="169"/>
      <c r="GA708" s="169"/>
      <c r="GB708" s="169"/>
      <c r="GC708" s="169"/>
      <c r="GD708" s="169"/>
      <c r="GE708" s="169"/>
      <c r="GF708" s="169"/>
      <c r="GG708" s="169"/>
      <c r="GW708" s="951"/>
    </row>
    <row r="709" spans="182:205" customFormat="1" x14ac:dyDescent="0.3">
      <c r="FZ709" s="169"/>
      <c r="GA709" s="169"/>
      <c r="GB709" s="169"/>
      <c r="GC709" s="169"/>
      <c r="GD709" s="169"/>
      <c r="GE709" s="169"/>
      <c r="GF709" s="169"/>
      <c r="GG709" s="169"/>
      <c r="GW709" s="951"/>
    </row>
    <row r="710" spans="182:205" customFormat="1" x14ac:dyDescent="0.3">
      <c r="FZ710" s="169"/>
      <c r="GA710" s="169"/>
      <c r="GB710" s="169"/>
      <c r="GC710" s="169"/>
      <c r="GD710" s="169"/>
      <c r="GE710" s="169"/>
      <c r="GF710" s="169"/>
      <c r="GG710" s="169"/>
      <c r="GW710" s="951"/>
    </row>
    <row r="711" spans="182:205" customFormat="1" x14ac:dyDescent="0.3">
      <c r="FZ711" s="169"/>
      <c r="GA711" s="169"/>
      <c r="GB711" s="169"/>
      <c r="GC711" s="169"/>
      <c r="GD711" s="169"/>
      <c r="GE711" s="169"/>
      <c r="GF711" s="169"/>
      <c r="GG711" s="169"/>
      <c r="GW711" s="951"/>
    </row>
    <row r="712" spans="182:205" customFormat="1" x14ac:dyDescent="0.3">
      <c r="FZ712" s="169"/>
      <c r="GA712" s="169"/>
      <c r="GB712" s="169"/>
      <c r="GC712" s="169"/>
      <c r="GD712" s="169"/>
      <c r="GE712" s="169"/>
      <c r="GF712" s="169"/>
      <c r="GG712" s="169"/>
      <c r="GW712" s="951"/>
    </row>
    <row r="713" spans="182:205" customFormat="1" x14ac:dyDescent="0.3">
      <c r="FZ713" s="169"/>
      <c r="GA713" s="169"/>
      <c r="GB713" s="169"/>
      <c r="GC713" s="169"/>
      <c r="GD713" s="169"/>
      <c r="GE713" s="169"/>
      <c r="GF713" s="169"/>
      <c r="GG713" s="169"/>
      <c r="GW713" s="951"/>
    </row>
    <row r="714" spans="182:205" customFormat="1" x14ac:dyDescent="0.3">
      <c r="FZ714" s="169"/>
      <c r="GA714" s="169"/>
      <c r="GB714" s="169"/>
      <c r="GC714" s="169"/>
      <c r="GD714" s="169"/>
      <c r="GE714" s="169"/>
      <c r="GF714" s="169"/>
      <c r="GG714" s="169"/>
      <c r="GW714" s="951"/>
    </row>
    <row r="715" spans="182:205" customFormat="1" x14ac:dyDescent="0.3">
      <c r="FZ715" s="169"/>
      <c r="GA715" s="169"/>
      <c r="GB715" s="169"/>
      <c r="GC715" s="169"/>
      <c r="GD715" s="169"/>
      <c r="GE715" s="169"/>
      <c r="GF715" s="169"/>
      <c r="GG715" s="169"/>
      <c r="GW715" s="951"/>
    </row>
    <row r="716" spans="182:205" customFormat="1" x14ac:dyDescent="0.3">
      <c r="FZ716" s="169"/>
      <c r="GA716" s="169"/>
      <c r="GB716" s="169"/>
      <c r="GC716" s="169"/>
      <c r="GD716" s="169"/>
      <c r="GE716" s="169"/>
      <c r="GF716" s="169"/>
      <c r="GG716" s="169"/>
      <c r="GW716" s="951"/>
    </row>
    <row r="717" spans="182:205" customFormat="1" x14ac:dyDescent="0.3">
      <c r="FZ717" s="169"/>
      <c r="GA717" s="169"/>
      <c r="GB717" s="169"/>
      <c r="GC717" s="169"/>
      <c r="GD717" s="169"/>
      <c r="GE717" s="169"/>
      <c r="GF717" s="169"/>
      <c r="GG717" s="169"/>
      <c r="GW717" s="951"/>
    </row>
    <row r="718" spans="182:205" customFormat="1" x14ac:dyDescent="0.3">
      <c r="FZ718" s="169"/>
      <c r="GA718" s="169"/>
      <c r="GB718" s="169"/>
      <c r="GC718" s="169"/>
      <c r="GD718" s="169"/>
      <c r="GE718" s="169"/>
      <c r="GF718" s="169"/>
      <c r="GG718" s="169"/>
      <c r="GW718" s="951"/>
    </row>
    <row r="719" spans="182:205" customFormat="1" x14ac:dyDescent="0.3">
      <c r="FZ719" s="169"/>
      <c r="GA719" s="169"/>
      <c r="GB719" s="169"/>
      <c r="GC719" s="169"/>
      <c r="GD719" s="169"/>
      <c r="GE719" s="169"/>
      <c r="GF719" s="169"/>
      <c r="GG719" s="169"/>
      <c r="GW719" s="951"/>
    </row>
    <row r="720" spans="182:205" customFormat="1" x14ac:dyDescent="0.3">
      <c r="FZ720" s="169"/>
      <c r="GA720" s="169"/>
      <c r="GB720" s="169"/>
      <c r="GC720" s="169"/>
      <c r="GD720" s="169"/>
      <c r="GE720" s="169"/>
      <c r="GF720" s="169"/>
      <c r="GG720" s="169"/>
      <c r="GW720" s="951"/>
    </row>
    <row r="721" spans="182:205" customFormat="1" x14ac:dyDescent="0.3">
      <c r="FZ721" s="169"/>
      <c r="GA721" s="169"/>
      <c r="GB721" s="169"/>
      <c r="GC721" s="169"/>
      <c r="GD721" s="169"/>
      <c r="GE721" s="169"/>
      <c r="GF721" s="169"/>
      <c r="GG721" s="169"/>
      <c r="GW721" s="951"/>
    </row>
    <row r="722" spans="182:205" customFormat="1" x14ac:dyDescent="0.3">
      <c r="FZ722" s="169"/>
      <c r="GA722" s="169"/>
      <c r="GB722" s="169"/>
      <c r="GC722" s="169"/>
      <c r="GD722" s="169"/>
      <c r="GE722" s="169"/>
      <c r="GF722" s="169"/>
      <c r="GG722" s="169"/>
      <c r="GW722" s="951"/>
    </row>
    <row r="723" spans="182:205" customFormat="1" x14ac:dyDescent="0.3">
      <c r="FZ723" s="169"/>
      <c r="GA723" s="169"/>
      <c r="GB723" s="169"/>
      <c r="GC723" s="169"/>
      <c r="GD723" s="169"/>
      <c r="GE723" s="169"/>
      <c r="GF723" s="169"/>
      <c r="GG723" s="169"/>
      <c r="GW723" s="951"/>
    </row>
    <row r="724" spans="182:205" customFormat="1" x14ac:dyDescent="0.3">
      <c r="FZ724" s="169"/>
      <c r="GA724" s="169"/>
      <c r="GB724" s="169"/>
      <c r="GC724" s="169"/>
      <c r="GD724" s="169"/>
      <c r="GE724" s="169"/>
      <c r="GF724" s="169"/>
      <c r="GG724" s="169"/>
      <c r="GW724" s="951"/>
    </row>
    <row r="725" spans="182:205" customFormat="1" x14ac:dyDescent="0.3">
      <c r="FZ725" s="169"/>
      <c r="GA725" s="169"/>
      <c r="GB725" s="169"/>
      <c r="GC725" s="169"/>
      <c r="GD725" s="169"/>
      <c r="GE725" s="169"/>
      <c r="GF725" s="169"/>
      <c r="GG725" s="169"/>
      <c r="GW725" s="951"/>
    </row>
    <row r="726" spans="182:205" customFormat="1" x14ac:dyDescent="0.3">
      <c r="FZ726" s="169"/>
      <c r="GA726" s="169"/>
      <c r="GB726" s="169"/>
      <c r="GC726" s="169"/>
      <c r="GD726" s="169"/>
      <c r="GE726" s="169"/>
      <c r="GF726" s="169"/>
      <c r="GG726" s="169"/>
      <c r="GW726" s="951"/>
    </row>
    <row r="727" spans="182:205" customFormat="1" x14ac:dyDescent="0.3">
      <c r="FZ727" s="169"/>
      <c r="GA727" s="169"/>
      <c r="GB727" s="169"/>
      <c r="GC727" s="169"/>
      <c r="GD727" s="169"/>
      <c r="GE727" s="169"/>
      <c r="GF727" s="169"/>
      <c r="GG727" s="169"/>
      <c r="GW727" s="951"/>
    </row>
    <row r="728" spans="182:205" customFormat="1" x14ac:dyDescent="0.3">
      <c r="FZ728" s="169"/>
      <c r="GA728" s="169"/>
      <c r="GB728" s="169"/>
      <c r="GC728" s="169"/>
      <c r="GD728" s="169"/>
      <c r="GE728" s="169"/>
      <c r="GF728" s="169"/>
      <c r="GG728" s="169"/>
      <c r="GW728" s="951"/>
    </row>
    <row r="729" spans="182:205" customFormat="1" x14ac:dyDescent="0.3">
      <c r="FZ729" s="169"/>
      <c r="GA729" s="169"/>
      <c r="GB729" s="169"/>
      <c r="GC729" s="169"/>
      <c r="GD729" s="169"/>
      <c r="GE729" s="169"/>
      <c r="GF729" s="169"/>
      <c r="GG729" s="169"/>
      <c r="GW729" s="951"/>
    </row>
    <row r="730" spans="182:205" customFormat="1" x14ac:dyDescent="0.3">
      <c r="FZ730" s="169"/>
      <c r="GA730" s="169"/>
      <c r="GB730" s="169"/>
      <c r="GC730" s="169"/>
      <c r="GD730" s="169"/>
      <c r="GE730" s="169"/>
      <c r="GF730" s="169"/>
      <c r="GG730" s="169"/>
      <c r="GW730" s="951"/>
    </row>
    <row r="731" spans="182:205" customFormat="1" x14ac:dyDescent="0.3">
      <c r="FZ731" s="169"/>
      <c r="GA731" s="169"/>
      <c r="GB731" s="169"/>
      <c r="GC731" s="169"/>
      <c r="GD731" s="169"/>
      <c r="GE731" s="169"/>
      <c r="GF731" s="169"/>
      <c r="GG731" s="169"/>
      <c r="GW731" s="951"/>
    </row>
    <row r="732" spans="182:205" customFormat="1" x14ac:dyDescent="0.3">
      <c r="FZ732" s="169"/>
      <c r="GA732" s="169"/>
      <c r="GB732" s="169"/>
      <c r="GC732" s="169"/>
      <c r="GD732" s="169"/>
      <c r="GE732" s="169"/>
      <c r="GF732" s="169"/>
      <c r="GG732" s="169"/>
      <c r="GW732" s="951"/>
    </row>
    <row r="733" spans="182:205" customFormat="1" x14ac:dyDescent="0.3">
      <c r="FZ733" s="169"/>
      <c r="GA733" s="169"/>
      <c r="GB733" s="169"/>
      <c r="GC733" s="169"/>
      <c r="GD733" s="169"/>
      <c r="GE733" s="169"/>
      <c r="GF733" s="169"/>
      <c r="GG733" s="169"/>
      <c r="GW733" s="951"/>
    </row>
    <row r="734" spans="182:205" customFormat="1" x14ac:dyDescent="0.3">
      <c r="FZ734" s="169"/>
      <c r="GA734" s="169"/>
      <c r="GB734" s="169"/>
      <c r="GC734" s="169"/>
      <c r="GD734" s="169"/>
      <c r="GE734" s="169"/>
      <c r="GF734" s="169"/>
      <c r="GG734" s="169"/>
      <c r="GW734" s="951"/>
    </row>
    <row r="735" spans="182:205" customFormat="1" x14ac:dyDescent="0.3">
      <c r="FZ735" s="169"/>
      <c r="GA735" s="169"/>
      <c r="GB735" s="169"/>
      <c r="GC735" s="169"/>
      <c r="GD735" s="169"/>
      <c r="GE735" s="169"/>
      <c r="GF735" s="169"/>
      <c r="GG735" s="169"/>
      <c r="GW735" s="951"/>
    </row>
    <row r="736" spans="182:205" customFormat="1" x14ac:dyDescent="0.3">
      <c r="FZ736" s="169"/>
      <c r="GA736" s="169"/>
      <c r="GB736" s="169"/>
      <c r="GC736" s="169"/>
      <c r="GD736" s="169"/>
      <c r="GE736" s="169"/>
      <c r="GF736" s="169"/>
      <c r="GG736" s="169"/>
      <c r="GW736" s="951"/>
    </row>
    <row r="737" spans="182:205" customFormat="1" x14ac:dyDescent="0.3">
      <c r="FZ737" s="169"/>
      <c r="GA737" s="169"/>
      <c r="GB737" s="169"/>
      <c r="GC737" s="169"/>
      <c r="GD737" s="169"/>
      <c r="GE737" s="169"/>
      <c r="GF737" s="169"/>
      <c r="GG737" s="169"/>
      <c r="GW737" s="951"/>
    </row>
    <row r="738" spans="182:205" customFormat="1" x14ac:dyDescent="0.3">
      <c r="FZ738" s="169"/>
      <c r="GA738" s="169"/>
      <c r="GB738" s="169"/>
      <c r="GC738" s="169"/>
      <c r="GD738" s="169"/>
      <c r="GE738" s="169"/>
      <c r="GF738" s="169"/>
      <c r="GG738" s="169"/>
      <c r="GW738" s="951"/>
    </row>
    <row r="739" spans="182:205" customFormat="1" x14ac:dyDescent="0.3">
      <c r="FZ739" s="169"/>
      <c r="GA739" s="169"/>
      <c r="GB739" s="169"/>
      <c r="GC739" s="169"/>
      <c r="GD739" s="169"/>
      <c r="GE739" s="169"/>
      <c r="GF739" s="169"/>
      <c r="GG739" s="169"/>
      <c r="GW739" s="951"/>
    </row>
    <row r="740" spans="182:205" customFormat="1" x14ac:dyDescent="0.3">
      <c r="FZ740" s="169"/>
      <c r="GA740" s="169"/>
      <c r="GB740" s="169"/>
      <c r="GC740" s="169"/>
      <c r="GD740" s="169"/>
      <c r="GE740" s="169"/>
      <c r="GF740" s="169"/>
      <c r="GG740" s="169"/>
      <c r="GW740" s="951"/>
    </row>
    <row r="741" spans="182:205" customFormat="1" x14ac:dyDescent="0.3">
      <c r="FZ741" s="169"/>
      <c r="GA741" s="169"/>
      <c r="GB741" s="169"/>
      <c r="GC741" s="169"/>
      <c r="GD741" s="169"/>
      <c r="GE741" s="169"/>
      <c r="GF741" s="169"/>
      <c r="GG741" s="169"/>
      <c r="GW741" s="951"/>
    </row>
    <row r="742" spans="182:205" customFormat="1" x14ac:dyDescent="0.3">
      <c r="FZ742" s="169"/>
      <c r="GA742" s="169"/>
      <c r="GB742" s="169"/>
      <c r="GC742" s="169"/>
      <c r="GD742" s="169"/>
      <c r="GE742" s="169"/>
      <c r="GF742" s="169"/>
      <c r="GG742" s="169"/>
      <c r="GW742" s="951"/>
    </row>
    <row r="743" spans="182:205" customFormat="1" x14ac:dyDescent="0.3">
      <c r="FZ743" s="169"/>
      <c r="GA743" s="169"/>
      <c r="GB743" s="169"/>
      <c r="GC743" s="169"/>
      <c r="GD743" s="169"/>
      <c r="GE743" s="169"/>
      <c r="GF743" s="169"/>
      <c r="GG743" s="169"/>
      <c r="GW743" s="951"/>
    </row>
    <row r="744" spans="182:205" customFormat="1" x14ac:dyDescent="0.3">
      <c r="FZ744" s="169"/>
      <c r="GA744" s="169"/>
      <c r="GB744" s="169"/>
      <c r="GC744" s="169"/>
      <c r="GD744" s="169"/>
      <c r="GE744" s="169"/>
      <c r="GF744" s="169"/>
      <c r="GG744" s="169"/>
      <c r="GW744" s="951"/>
    </row>
    <row r="745" spans="182:205" customFormat="1" x14ac:dyDescent="0.3">
      <c r="FZ745" s="169"/>
      <c r="GA745" s="169"/>
      <c r="GB745" s="169"/>
      <c r="GC745" s="169"/>
      <c r="GD745" s="169"/>
      <c r="GE745" s="169"/>
      <c r="GF745" s="169"/>
      <c r="GG745" s="169"/>
      <c r="GW745" s="951"/>
    </row>
    <row r="746" spans="182:205" customFormat="1" x14ac:dyDescent="0.3">
      <c r="FZ746" s="169"/>
      <c r="GA746" s="169"/>
      <c r="GB746" s="169"/>
      <c r="GC746" s="169"/>
      <c r="GD746" s="169"/>
      <c r="GE746" s="169"/>
      <c r="GF746" s="169"/>
      <c r="GG746" s="169"/>
      <c r="GW746" s="951"/>
    </row>
    <row r="747" spans="182:205" customFormat="1" x14ac:dyDescent="0.3">
      <c r="FZ747" s="169"/>
      <c r="GA747" s="169"/>
      <c r="GB747" s="169"/>
      <c r="GC747" s="169"/>
      <c r="GD747" s="169"/>
      <c r="GE747" s="169"/>
      <c r="GF747" s="169"/>
      <c r="GG747" s="169"/>
      <c r="GW747" s="951"/>
    </row>
    <row r="748" spans="182:205" customFormat="1" x14ac:dyDescent="0.3">
      <c r="FZ748" s="169"/>
      <c r="GA748" s="169"/>
      <c r="GB748" s="169"/>
      <c r="GC748" s="169"/>
      <c r="GD748" s="169"/>
      <c r="GE748" s="169"/>
      <c r="GF748" s="169"/>
      <c r="GG748" s="169"/>
      <c r="GW748" s="951"/>
    </row>
    <row r="749" spans="182:205" customFormat="1" x14ac:dyDescent="0.3">
      <c r="FZ749" s="169"/>
      <c r="GA749" s="169"/>
      <c r="GB749" s="169"/>
      <c r="GC749" s="169"/>
      <c r="GD749" s="169"/>
      <c r="GE749" s="169"/>
      <c r="GF749" s="169"/>
      <c r="GG749" s="169"/>
      <c r="GW749" s="951"/>
    </row>
    <row r="750" spans="182:205" customFormat="1" x14ac:dyDescent="0.3">
      <c r="FZ750" s="169"/>
      <c r="GA750" s="169"/>
      <c r="GB750" s="169"/>
      <c r="GC750" s="169"/>
      <c r="GD750" s="169"/>
      <c r="GE750" s="169"/>
      <c r="GF750" s="169"/>
      <c r="GG750" s="169"/>
      <c r="GW750" s="951"/>
    </row>
    <row r="751" spans="182:205" customFormat="1" x14ac:dyDescent="0.3">
      <c r="FZ751" s="169"/>
      <c r="GA751" s="169"/>
      <c r="GB751" s="169"/>
      <c r="GC751" s="169"/>
      <c r="GD751" s="169"/>
      <c r="GE751" s="169"/>
      <c r="GF751" s="169"/>
      <c r="GG751" s="169"/>
      <c r="GW751" s="951"/>
    </row>
    <row r="752" spans="182:205" customFormat="1" x14ac:dyDescent="0.3">
      <c r="FZ752" s="169"/>
      <c r="GA752" s="169"/>
      <c r="GB752" s="169"/>
      <c r="GC752" s="169"/>
      <c r="GD752" s="169"/>
      <c r="GE752" s="169"/>
      <c r="GF752" s="169"/>
      <c r="GG752" s="169"/>
      <c r="GW752" s="951"/>
    </row>
    <row r="753" spans="182:205" customFormat="1" x14ac:dyDescent="0.3">
      <c r="FZ753" s="169"/>
      <c r="GA753" s="169"/>
      <c r="GB753" s="169"/>
      <c r="GC753" s="169"/>
      <c r="GD753" s="169"/>
      <c r="GE753" s="169"/>
      <c r="GF753" s="169"/>
      <c r="GG753" s="169"/>
      <c r="GW753" s="951"/>
    </row>
    <row r="754" spans="182:205" customFormat="1" x14ac:dyDescent="0.3">
      <c r="FZ754" s="169"/>
      <c r="GA754" s="169"/>
      <c r="GB754" s="169"/>
      <c r="GC754" s="169"/>
      <c r="GD754" s="169"/>
      <c r="GE754" s="169"/>
      <c r="GF754" s="169"/>
      <c r="GG754" s="169"/>
      <c r="GW754" s="951"/>
    </row>
    <row r="755" spans="182:205" customFormat="1" x14ac:dyDescent="0.3">
      <c r="FZ755" s="169"/>
      <c r="GA755" s="169"/>
      <c r="GB755" s="169"/>
      <c r="GC755" s="169"/>
      <c r="GD755" s="169"/>
      <c r="GE755" s="169"/>
      <c r="GF755" s="169"/>
      <c r="GG755" s="169"/>
      <c r="GW755" s="951"/>
    </row>
    <row r="756" spans="182:205" customFormat="1" x14ac:dyDescent="0.3">
      <c r="FZ756" s="169"/>
      <c r="GA756" s="169"/>
      <c r="GB756" s="169"/>
      <c r="GC756" s="169"/>
      <c r="GD756" s="169"/>
      <c r="GE756" s="169"/>
      <c r="GF756" s="169"/>
      <c r="GG756" s="169"/>
      <c r="GW756" s="951"/>
    </row>
    <row r="757" spans="182:205" customFormat="1" x14ac:dyDescent="0.3">
      <c r="FZ757" s="169"/>
      <c r="GA757" s="169"/>
      <c r="GB757" s="169"/>
      <c r="GC757" s="169"/>
      <c r="GD757" s="169"/>
      <c r="GE757" s="169"/>
      <c r="GF757" s="169"/>
      <c r="GG757" s="169"/>
      <c r="GW757" s="951"/>
    </row>
    <row r="758" spans="182:205" customFormat="1" x14ac:dyDescent="0.3">
      <c r="FZ758" s="169"/>
      <c r="GA758" s="169"/>
      <c r="GB758" s="169"/>
      <c r="GC758" s="169"/>
      <c r="GD758" s="169"/>
      <c r="GE758" s="169"/>
      <c r="GF758" s="169"/>
      <c r="GG758" s="169"/>
      <c r="GW758" s="951"/>
    </row>
    <row r="759" spans="182:205" customFormat="1" x14ac:dyDescent="0.3">
      <c r="FZ759" s="169"/>
      <c r="GA759" s="169"/>
      <c r="GB759" s="169"/>
      <c r="GC759" s="169"/>
      <c r="GD759" s="169"/>
      <c r="GE759" s="169"/>
      <c r="GF759" s="169"/>
      <c r="GG759" s="169"/>
      <c r="GW759" s="951"/>
    </row>
    <row r="760" spans="182:205" customFormat="1" x14ac:dyDescent="0.3">
      <c r="FZ760" s="169"/>
      <c r="GA760" s="169"/>
      <c r="GB760" s="169"/>
      <c r="GC760" s="169"/>
      <c r="GD760" s="169"/>
      <c r="GE760" s="169"/>
      <c r="GF760" s="169"/>
      <c r="GG760" s="169"/>
      <c r="GW760" s="951"/>
    </row>
    <row r="761" spans="182:205" customFormat="1" x14ac:dyDescent="0.3">
      <c r="FZ761" s="169"/>
      <c r="GA761" s="169"/>
      <c r="GB761" s="169"/>
      <c r="GC761" s="169"/>
      <c r="GD761" s="169"/>
      <c r="GE761" s="169"/>
      <c r="GF761" s="169"/>
      <c r="GG761" s="169"/>
      <c r="GW761" s="951"/>
    </row>
    <row r="762" spans="182:205" customFormat="1" x14ac:dyDescent="0.3">
      <c r="FZ762" s="169"/>
      <c r="GA762" s="169"/>
      <c r="GB762" s="169"/>
      <c r="GC762" s="169"/>
      <c r="GD762" s="169"/>
      <c r="GE762" s="169"/>
      <c r="GF762" s="169"/>
      <c r="GG762" s="169"/>
      <c r="GW762" s="951"/>
    </row>
    <row r="763" spans="182:205" customFormat="1" x14ac:dyDescent="0.3">
      <c r="FZ763" s="169"/>
      <c r="GA763" s="169"/>
      <c r="GB763" s="169"/>
      <c r="GC763" s="169"/>
      <c r="GD763" s="169"/>
      <c r="GE763" s="169"/>
      <c r="GF763" s="169"/>
      <c r="GG763" s="169"/>
      <c r="GW763" s="951"/>
    </row>
    <row r="764" spans="182:205" customFormat="1" x14ac:dyDescent="0.3">
      <c r="FZ764" s="169"/>
      <c r="GA764" s="169"/>
      <c r="GB764" s="169"/>
      <c r="GC764" s="169"/>
      <c r="GD764" s="169"/>
      <c r="GE764" s="169"/>
      <c r="GF764" s="169"/>
      <c r="GG764" s="169"/>
      <c r="GW764" s="951"/>
    </row>
    <row r="765" spans="182:205" customFormat="1" x14ac:dyDescent="0.3">
      <c r="FZ765" s="169"/>
      <c r="GA765" s="169"/>
      <c r="GB765" s="169"/>
      <c r="GC765" s="169"/>
      <c r="GD765" s="169"/>
      <c r="GE765" s="169"/>
      <c r="GF765" s="169"/>
      <c r="GG765" s="169"/>
      <c r="GW765" s="951"/>
    </row>
    <row r="766" spans="182:205" customFormat="1" x14ac:dyDescent="0.3">
      <c r="FZ766" s="169"/>
      <c r="GA766" s="169"/>
      <c r="GB766" s="169"/>
      <c r="GC766" s="169"/>
      <c r="GD766" s="169"/>
      <c r="GE766" s="169"/>
      <c r="GF766" s="169"/>
      <c r="GG766" s="169"/>
      <c r="GW766" s="951"/>
    </row>
    <row r="767" spans="182:205" customFormat="1" x14ac:dyDescent="0.3">
      <c r="FZ767" s="169"/>
      <c r="GA767" s="169"/>
      <c r="GB767" s="169"/>
      <c r="GC767" s="169"/>
      <c r="GD767" s="169"/>
      <c r="GE767" s="169"/>
      <c r="GF767" s="169"/>
      <c r="GG767" s="169"/>
      <c r="GW767" s="951"/>
    </row>
    <row r="768" spans="182:205" customFormat="1" x14ac:dyDescent="0.3">
      <c r="FZ768" s="169"/>
      <c r="GA768" s="169"/>
      <c r="GB768" s="169"/>
      <c r="GC768" s="169"/>
      <c r="GD768" s="169"/>
      <c r="GE768" s="169"/>
      <c r="GF768" s="169"/>
      <c r="GG768" s="169"/>
      <c r="GW768" s="951"/>
    </row>
    <row r="769" spans="182:205" customFormat="1" x14ac:dyDescent="0.3">
      <c r="FZ769" s="169"/>
      <c r="GA769" s="169"/>
      <c r="GB769" s="169"/>
      <c r="GC769" s="169"/>
      <c r="GD769" s="169"/>
      <c r="GE769" s="169"/>
      <c r="GF769" s="169"/>
      <c r="GG769" s="169"/>
      <c r="GW769" s="951"/>
    </row>
    <row r="770" spans="182:205" customFormat="1" x14ac:dyDescent="0.3">
      <c r="FZ770" s="169"/>
      <c r="GA770" s="169"/>
      <c r="GB770" s="169"/>
      <c r="GC770" s="169"/>
      <c r="GD770" s="169"/>
      <c r="GE770" s="169"/>
      <c r="GF770" s="169"/>
      <c r="GG770" s="169"/>
      <c r="GW770" s="951"/>
    </row>
    <row r="771" spans="182:205" customFormat="1" x14ac:dyDescent="0.3">
      <c r="FZ771" s="169"/>
      <c r="GA771" s="169"/>
      <c r="GB771" s="169"/>
      <c r="GC771" s="169"/>
      <c r="GD771" s="169"/>
      <c r="GE771" s="169"/>
      <c r="GF771" s="169"/>
      <c r="GG771" s="169"/>
      <c r="GW771" s="951"/>
    </row>
    <row r="772" spans="182:205" customFormat="1" x14ac:dyDescent="0.3">
      <c r="FZ772" s="169"/>
      <c r="GA772" s="169"/>
      <c r="GB772" s="169"/>
      <c r="GC772" s="169"/>
      <c r="GD772" s="169"/>
      <c r="GE772" s="169"/>
      <c r="GF772" s="169"/>
      <c r="GG772" s="169"/>
      <c r="GW772" s="951"/>
    </row>
    <row r="773" spans="182:205" customFormat="1" x14ac:dyDescent="0.3">
      <c r="FZ773" s="169"/>
      <c r="GA773" s="169"/>
      <c r="GB773" s="169"/>
      <c r="GC773" s="169"/>
      <c r="GD773" s="169"/>
      <c r="GE773" s="169"/>
      <c r="GF773" s="169"/>
      <c r="GG773" s="169"/>
      <c r="GW773" s="951"/>
    </row>
    <row r="774" spans="182:205" customFormat="1" x14ac:dyDescent="0.3">
      <c r="FZ774" s="169"/>
      <c r="GA774" s="169"/>
      <c r="GB774" s="169"/>
      <c r="GC774" s="169"/>
      <c r="GD774" s="169"/>
      <c r="GE774" s="169"/>
      <c r="GF774" s="169"/>
      <c r="GG774" s="169"/>
      <c r="GW774" s="951"/>
    </row>
    <row r="775" spans="182:205" customFormat="1" x14ac:dyDescent="0.3">
      <c r="FZ775" s="169"/>
      <c r="GA775" s="169"/>
      <c r="GB775" s="169"/>
      <c r="GC775" s="169"/>
      <c r="GD775" s="169"/>
      <c r="GE775" s="169"/>
      <c r="GF775" s="169"/>
      <c r="GG775" s="169"/>
      <c r="GW775" s="951"/>
    </row>
    <row r="776" spans="182:205" customFormat="1" x14ac:dyDescent="0.3">
      <c r="FZ776" s="169"/>
      <c r="GA776" s="169"/>
      <c r="GB776" s="169"/>
      <c r="GC776" s="169"/>
      <c r="GD776" s="169"/>
      <c r="GE776" s="169"/>
      <c r="GF776" s="169"/>
      <c r="GG776" s="169"/>
      <c r="GW776" s="951"/>
    </row>
    <row r="777" spans="182:205" customFormat="1" x14ac:dyDescent="0.3">
      <c r="FZ777" s="169"/>
      <c r="GA777" s="169"/>
      <c r="GB777" s="169"/>
      <c r="GC777" s="169"/>
      <c r="GD777" s="169"/>
      <c r="GE777" s="169"/>
      <c r="GF777" s="169"/>
      <c r="GG777" s="169"/>
      <c r="GW777" s="951"/>
    </row>
    <row r="778" spans="182:205" customFormat="1" x14ac:dyDescent="0.3">
      <c r="FZ778" s="169"/>
      <c r="GA778" s="169"/>
      <c r="GB778" s="169"/>
      <c r="GC778" s="169"/>
      <c r="GD778" s="169"/>
      <c r="GE778" s="169"/>
      <c r="GF778" s="169"/>
      <c r="GG778" s="169"/>
      <c r="GW778" s="951"/>
    </row>
    <row r="779" spans="182:205" customFormat="1" x14ac:dyDescent="0.3">
      <c r="FZ779" s="169"/>
      <c r="GA779" s="169"/>
      <c r="GB779" s="169"/>
      <c r="GC779" s="169"/>
      <c r="GD779" s="169"/>
      <c r="GE779" s="169"/>
      <c r="GF779" s="169"/>
      <c r="GG779" s="169"/>
      <c r="GW779" s="951"/>
    </row>
    <row r="780" spans="182:205" customFormat="1" x14ac:dyDescent="0.3">
      <c r="FZ780" s="169"/>
      <c r="GA780" s="169"/>
      <c r="GB780" s="169"/>
      <c r="GC780" s="169"/>
      <c r="GD780" s="169"/>
      <c r="GE780" s="169"/>
      <c r="GF780" s="169"/>
      <c r="GG780" s="169"/>
      <c r="GW780" s="951"/>
    </row>
    <row r="781" spans="182:205" customFormat="1" x14ac:dyDescent="0.3">
      <c r="FZ781" s="169"/>
      <c r="GA781" s="169"/>
      <c r="GB781" s="169"/>
      <c r="GC781" s="169"/>
      <c r="GD781" s="169"/>
      <c r="GE781" s="169"/>
      <c r="GF781" s="169"/>
      <c r="GG781" s="169"/>
      <c r="GW781" s="951"/>
    </row>
    <row r="782" spans="182:205" customFormat="1" x14ac:dyDescent="0.3">
      <c r="FZ782" s="169"/>
      <c r="GA782" s="169"/>
      <c r="GB782" s="169"/>
      <c r="GC782" s="169"/>
      <c r="GD782" s="169"/>
      <c r="GE782" s="169"/>
      <c r="GF782" s="169"/>
      <c r="GG782" s="169"/>
      <c r="GW782" s="951"/>
    </row>
    <row r="783" spans="182:205" customFormat="1" x14ac:dyDescent="0.3">
      <c r="FZ783" s="169"/>
      <c r="GA783" s="169"/>
      <c r="GB783" s="169"/>
      <c r="GC783" s="169"/>
      <c r="GD783" s="169"/>
      <c r="GE783" s="169"/>
      <c r="GF783" s="169"/>
      <c r="GG783" s="169"/>
      <c r="GW783" s="951"/>
    </row>
    <row r="784" spans="182:205" customFormat="1" x14ac:dyDescent="0.3">
      <c r="FZ784" s="169"/>
      <c r="GA784" s="169"/>
      <c r="GB784" s="169"/>
      <c r="GC784" s="169"/>
      <c r="GD784" s="169"/>
      <c r="GE784" s="169"/>
      <c r="GF784" s="169"/>
      <c r="GG784" s="169"/>
      <c r="GW784" s="951"/>
    </row>
    <row r="785" spans="182:205" customFormat="1" x14ac:dyDescent="0.3">
      <c r="FZ785" s="169"/>
      <c r="GA785" s="169"/>
      <c r="GB785" s="169"/>
      <c r="GC785" s="169"/>
      <c r="GD785" s="169"/>
      <c r="GE785" s="169"/>
      <c r="GF785" s="169"/>
      <c r="GG785" s="169"/>
      <c r="GW785" s="951"/>
    </row>
    <row r="786" spans="182:205" customFormat="1" x14ac:dyDescent="0.3">
      <c r="FZ786" s="169"/>
      <c r="GA786" s="169"/>
      <c r="GB786" s="169"/>
      <c r="GC786" s="169"/>
      <c r="GD786" s="169"/>
      <c r="GE786" s="169"/>
      <c r="GF786" s="169"/>
      <c r="GG786" s="169"/>
      <c r="GW786" s="951"/>
    </row>
    <row r="787" spans="182:205" customFormat="1" x14ac:dyDescent="0.3">
      <c r="FZ787" s="169"/>
      <c r="GA787" s="169"/>
      <c r="GB787" s="169"/>
      <c r="GC787" s="169"/>
      <c r="GD787" s="169"/>
      <c r="GE787" s="169"/>
      <c r="GF787" s="169"/>
      <c r="GG787" s="169"/>
      <c r="GW787" s="951"/>
    </row>
    <row r="788" spans="182:205" customFormat="1" x14ac:dyDescent="0.3">
      <c r="FZ788" s="169"/>
      <c r="GA788" s="169"/>
      <c r="GB788" s="169"/>
      <c r="GC788" s="169"/>
      <c r="GD788" s="169"/>
      <c r="GE788" s="169"/>
      <c r="GF788" s="169"/>
      <c r="GG788" s="169"/>
      <c r="GW788" s="951"/>
    </row>
    <row r="789" spans="182:205" customFormat="1" x14ac:dyDescent="0.3">
      <c r="FZ789" s="169"/>
      <c r="GA789" s="169"/>
      <c r="GB789" s="169"/>
      <c r="GC789" s="169"/>
      <c r="GD789" s="169"/>
      <c r="GE789" s="169"/>
      <c r="GF789" s="169"/>
      <c r="GG789" s="169"/>
      <c r="GW789" s="951"/>
    </row>
    <row r="790" spans="182:205" customFormat="1" x14ac:dyDescent="0.3">
      <c r="FZ790" s="169"/>
      <c r="GA790" s="169"/>
      <c r="GB790" s="169"/>
      <c r="GC790" s="169"/>
      <c r="GD790" s="169"/>
      <c r="GE790" s="169"/>
      <c r="GF790" s="169"/>
      <c r="GG790" s="169"/>
      <c r="GW790" s="951"/>
    </row>
    <row r="791" spans="182:205" customFormat="1" x14ac:dyDescent="0.3">
      <c r="FZ791" s="169"/>
      <c r="GA791" s="169"/>
      <c r="GB791" s="169"/>
      <c r="GC791" s="169"/>
      <c r="GD791" s="169"/>
      <c r="GE791" s="169"/>
      <c r="GF791" s="169"/>
      <c r="GG791" s="169"/>
      <c r="GW791" s="951"/>
    </row>
    <row r="792" spans="182:205" customFormat="1" x14ac:dyDescent="0.3">
      <c r="FZ792" s="169"/>
      <c r="GA792" s="169"/>
      <c r="GB792" s="169"/>
      <c r="GC792" s="169"/>
      <c r="GD792" s="169"/>
      <c r="GE792" s="169"/>
      <c r="GF792" s="169"/>
      <c r="GG792" s="169"/>
      <c r="GW792" s="951"/>
    </row>
    <row r="793" spans="182:205" customFormat="1" x14ac:dyDescent="0.3">
      <c r="FZ793" s="169"/>
      <c r="GA793" s="169"/>
      <c r="GB793" s="169"/>
      <c r="GC793" s="169"/>
      <c r="GD793" s="169"/>
      <c r="GE793" s="169"/>
      <c r="GF793" s="169"/>
      <c r="GG793" s="169"/>
      <c r="GW793" s="951"/>
    </row>
    <row r="794" spans="182:205" customFormat="1" x14ac:dyDescent="0.3">
      <c r="FZ794" s="169"/>
      <c r="GA794" s="169"/>
      <c r="GB794" s="169"/>
      <c r="GC794" s="169"/>
      <c r="GD794" s="169"/>
      <c r="GE794" s="169"/>
      <c r="GF794" s="169"/>
      <c r="GG794" s="169"/>
      <c r="GW794" s="951"/>
    </row>
    <row r="795" spans="182:205" customFormat="1" x14ac:dyDescent="0.3">
      <c r="FZ795" s="169"/>
      <c r="GA795" s="169"/>
      <c r="GB795" s="169"/>
      <c r="GC795" s="169"/>
      <c r="GD795" s="169"/>
      <c r="GE795" s="169"/>
      <c r="GF795" s="169"/>
      <c r="GG795" s="169"/>
      <c r="GW795" s="951"/>
    </row>
    <row r="796" spans="182:205" customFormat="1" x14ac:dyDescent="0.3">
      <c r="FZ796" s="169"/>
      <c r="GA796" s="169"/>
      <c r="GB796" s="169"/>
      <c r="GC796" s="169"/>
      <c r="GD796" s="169"/>
      <c r="GE796" s="169"/>
      <c r="GF796" s="169"/>
      <c r="GG796" s="169"/>
      <c r="GW796" s="951"/>
    </row>
    <row r="797" spans="182:205" customFormat="1" x14ac:dyDescent="0.3">
      <c r="FZ797" s="169"/>
      <c r="GA797" s="169"/>
      <c r="GB797" s="169"/>
      <c r="GC797" s="169"/>
      <c r="GD797" s="169"/>
      <c r="GE797" s="169"/>
      <c r="GF797" s="169"/>
      <c r="GG797" s="169"/>
      <c r="GW797" s="951"/>
    </row>
    <row r="798" spans="182:205" customFormat="1" x14ac:dyDescent="0.3">
      <c r="FZ798" s="169"/>
      <c r="GA798" s="169"/>
      <c r="GB798" s="169"/>
      <c r="GC798" s="169"/>
      <c r="GD798" s="169"/>
      <c r="GE798" s="169"/>
      <c r="GF798" s="169"/>
      <c r="GG798" s="169"/>
      <c r="GW798" s="951"/>
    </row>
    <row r="799" spans="182:205" customFormat="1" x14ac:dyDescent="0.3">
      <c r="FZ799" s="169"/>
      <c r="GA799" s="169"/>
      <c r="GB799" s="169"/>
      <c r="GC799" s="169"/>
      <c r="GD799" s="169"/>
      <c r="GE799" s="169"/>
      <c r="GF799" s="169"/>
      <c r="GG799" s="169"/>
      <c r="GW799" s="951"/>
    </row>
    <row r="800" spans="182:205" customFormat="1" x14ac:dyDescent="0.3">
      <c r="FZ800" s="169"/>
      <c r="GA800" s="169"/>
      <c r="GB800" s="169"/>
      <c r="GC800" s="169"/>
      <c r="GD800" s="169"/>
      <c r="GE800" s="169"/>
      <c r="GF800" s="169"/>
      <c r="GG800" s="169"/>
      <c r="GW800" s="951"/>
    </row>
    <row r="801" spans="182:205" customFormat="1" x14ac:dyDescent="0.3">
      <c r="FZ801" s="169"/>
      <c r="GA801" s="169"/>
      <c r="GB801" s="169"/>
      <c r="GC801" s="169"/>
      <c r="GD801" s="169"/>
      <c r="GE801" s="169"/>
      <c r="GF801" s="169"/>
      <c r="GG801" s="169"/>
      <c r="GW801" s="951"/>
    </row>
    <row r="802" spans="182:205" customFormat="1" x14ac:dyDescent="0.3">
      <c r="FZ802" s="169"/>
      <c r="GA802" s="169"/>
      <c r="GB802" s="169"/>
      <c r="GC802" s="169"/>
      <c r="GD802" s="169"/>
      <c r="GE802" s="169"/>
      <c r="GF802" s="169"/>
      <c r="GG802" s="169"/>
      <c r="GW802" s="951"/>
    </row>
    <row r="803" spans="182:205" customFormat="1" x14ac:dyDescent="0.3">
      <c r="FZ803" s="169"/>
      <c r="GA803" s="169"/>
      <c r="GB803" s="169"/>
      <c r="GC803" s="169"/>
      <c r="GD803" s="169"/>
      <c r="GE803" s="169"/>
      <c r="GF803" s="169"/>
      <c r="GG803" s="169"/>
      <c r="GW803" s="951"/>
    </row>
    <row r="804" spans="182:205" customFormat="1" x14ac:dyDescent="0.3">
      <c r="FZ804" s="169"/>
      <c r="GA804" s="169"/>
      <c r="GB804" s="169"/>
      <c r="GC804" s="169"/>
      <c r="GD804" s="169"/>
      <c r="GE804" s="169"/>
      <c r="GF804" s="169"/>
      <c r="GG804" s="169"/>
      <c r="GW804" s="951"/>
    </row>
    <row r="805" spans="182:205" customFormat="1" x14ac:dyDescent="0.3">
      <c r="FZ805" s="169"/>
      <c r="GA805" s="169"/>
      <c r="GB805" s="169"/>
      <c r="GC805" s="169"/>
      <c r="GD805" s="169"/>
      <c r="GE805" s="169"/>
      <c r="GF805" s="169"/>
      <c r="GG805" s="169"/>
      <c r="GW805" s="951"/>
    </row>
    <row r="806" spans="182:205" customFormat="1" x14ac:dyDescent="0.3">
      <c r="FZ806" s="169"/>
      <c r="GA806" s="169"/>
      <c r="GB806" s="169"/>
      <c r="GC806" s="169"/>
      <c r="GD806" s="169"/>
      <c r="GE806" s="169"/>
      <c r="GF806" s="169"/>
      <c r="GG806" s="169"/>
      <c r="GW806" s="951"/>
    </row>
    <row r="807" spans="182:205" customFormat="1" x14ac:dyDescent="0.3">
      <c r="FZ807" s="169"/>
      <c r="GA807" s="169"/>
      <c r="GB807" s="169"/>
      <c r="GC807" s="169"/>
      <c r="GD807" s="169"/>
      <c r="GE807" s="169"/>
      <c r="GF807" s="169"/>
      <c r="GG807" s="169"/>
      <c r="GW807" s="951"/>
    </row>
    <row r="808" spans="182:205" customFormat="1" x14ac:dyDescent="0.3">
      <c r="FZ808" s="169"/>
      <c r="GA808" s="169"/>
      <c r="GB808" s="169"/>
      <c r="GC808" s="169"/>
      <c r="GD808" s="169"/>
      <c r="GE808" s="169"/>
      <c r="GF808" s="169"/>
      <c r="GG808" s="169"/>
      <c r="GW808" s="951"/>
    </row>
    <row r="809" spans="182:205" customFormat="1" x14ac:dyDescent="0.3">
      <c r="FZ809" s="169"/>
      <c r="GA809" s="169"/>
      <c r="GB809" s="169"/>
      <c r="GC809" s="169"/>
      <c r="GD809" s="169"/>
      <c r="GE809" s="169"/>
      <c r="GF809" s="169"/>
      <c r="GG809" s="169"/>
      <c r="GW809" s="951"/>
    </row>
    <row r="810" spans="182:205" customFormat="1" x14ac:dyDescent="0.3">
      <c r="FZ810" s="169"/>
      <c r="GA810" s="169"/>
      <c r="GB810" s="169"/>
      <c r="GC810" s="169"/>
      <c r="GD810" s="169"/>
      <c r="GE810" s="169"/>
      <c r="GF810" s="169"/>
      <c r="GG810" s="169"/>
      <c r="GW810" s="951"/>
    </row>
    <row r="811" spans="182:205" customFormat="1" x14ac:dyDescent="0.3">
      <c r="FZ811" s="169"/>
      <c r="GA811" s="169"/>
      <c r="GB811" s="169"/>
      <c r="GC811" s="169"/>
      <c r="GD811" s="169"/>
      <c r="GE811" s="169"/>
      <c r="GF811" s="169"/>
      <c r="GG811" s="169"/>
      <c r="GW811" s="951"/>
    </row>
    <row r="812" spans="182:205" customFormat="1" x14ac:dyDescent="0.3">
      <c r="FZ812" s="169"/>
      <c r="GA812" s="169"/>
      <c r="GB812" s="169"/>
      <c r="GC812" s="169"/>
      <c r="GD812" s="169"/>
      <c r="GE812" s="169"/>
      <c r="GF812" s="169"/>
      <c r="GG812" s="169"/>
      <c r="GW812" s="951"/>
    </row>
    <row r="813" spans="182:205" customFormat="1" x14ac:dyDescent="0.3">
      <c r="FZ813" s="169"/>
      <c r="GA813" s="169"/>
      <c r="GB813" s="169"/>
      <c r="GC813" s="169"/>
      <c r="GD813" s="169"/>
      <c r="GE813" s="169"/>
      <c r="GF813" s="169"/>
      <c r="GG813" s="169"/>
      <c r="GW813" s="951"/>
    </row>
    <row r="814" spans="182:205" customFormat="1" x14ac:dyDescent="0.3">
      <c r="FZ814" s="169"/>
      <c r="GA814" s="169"/>
      <c r="GB814" s="169"/>
      <c r="GC814" s="169"/>
      <c r="GD814" s="169"/>
      <c r="GE814" s="169"/>
      <c r="GF814" s="169"/>
      <c r="GG814" s="169"/>
      <c r="GW814" s="951"/>
    </row>
    <row r="815" spans="182:205" customFormat="1" x14ac:dyDescent="0.3">
      <c r="FZ815" s="169"/>
      <c r="GA815" s="169"/>
      <c r="GB815" s="169"/>
      <c r="GC815" s="169"/>
      <c r="GD815" s="169"/>
      <c r="GE815" s="169"/>
      <c r="GF815" s="169"/>
      <c r="GG815" s="169"/>
      <c r="GW815" s="951"/>
    </row>
    <row r="816" spans="182:205" customFormat="1" x14ac:dyDescent="0.3">
      <c r="FZ816" s="169"/>
      <c r="GA816" s="169"/>
      <c r="GB816" s="169"/>
      <c r="GC816" s="169"/>
      <c r="GD816" s="169"/>
      <c r="GE816" s="169"/>
      <c r="GF816" s="169"/>
      <c r="GG816" s="169"/>
      <c r="GW816" s="951"/>
    </row>
    <row r="817" spans="182:205" customFormat="1" x14ac:dyDescent="0.3">
      <c r="FZ817" s="169"/>
      <c r="GA817" s="169"/>
      <c r="GB817" s="169"/>
      <c r="GC817" s="169"/>
      <c r="GD817" s="169"/>
      <c r="GE817" s="169"/>
      <c r="GF817" s="169"/>
      <c r="GG817" s="169"/>
      <c r="GW817" s="951"/>
    </row>
    <row r="818" spans="182:205" customFormat="1" x14ac:dyDescent="0.3">
      <c r="FZ818" s="169"/>
      <c r="GA818" s="169"/>
      <c r="GB818" s="169"/>
      <c r="GC818" s="169"/>
      <c r="GD818" s="169"/>
      <c r="GE818" s="169"/>
      <c r="GF818" s="169"/>
      <c r="GG818" s="169"/>
      <c r="GW818" s="951"/>
    </row>
    <row r="819" spans="182:205" customFormat="1" x14ac:dyDescent="0.3">
      <c r="FZ819" s="169"/>
      <c r="GA819" s="169"/>
      <c r="GB819" s="169"/>
      <c r="GC819" s="169"/>
      <c r="GD819" s="169"/>
      <c r="GE819" s="169"/>
      <c r="GF819" s="169"/>
      <c r="GG819" s="169"/>
      <c r="GW819" s="951"/>
    </row>
    <row r="820" spans="182:205" customFormat="1" x14ac:dyDescent="0.3">
      <c r="FZ820" s="169"/>
      <c r="GA820" s="169"/>
      <c r="GB820" s="169"/>
      <c r="GC820" s="169"/>
      <c r="GD820" s="169"/>
      <c r="GE820" s="169"/>
      <c r="GF820" s="169"/>
      <c r="GG820" s="169"/>
      <c r="GW820" s="951"/>
    </row>
    <row r="821" spans="182:205" customFormat="1" x14ac:dyDescent="0.3">
      <c r="FZ821" s="169"/>
      <c r="GA821" s="169"/>
      <c r="GB821" s="169"/>
      <c r="GC821" s="169"/>
      <c r="GD821" s="169"/>
      <c r="GE821" s="169"/>
      <c r="GF821" s="169"/>
      <c r="GG821" s="169"/>
      <c r="GW821" s="951"/>
    </row>
    <row r="822" spans="182:205" customFormat="1" x14ac:dyDescent="0.3">
      <c r="FZ822" s="169"/>
      <c r="GA822" s="169"/>
      <c r="GB822" s="169"/>
      <c r="GC822" s="169"/>
      <c r="GD822" s="169"/>
      <c r="GE822" s="169"/>
      <c r="GF822" s="169"/>
      <c r="GG822" s="169"/>
      <c r="GW822" s="951"/>
    </row>
    <row r="823" spans="182:205" customFormat="1" x14ac:dyDescent="0.3">
      <c r="FZ823" s="169"/>
      <c r="GA823" s="169"/>
      <c r="GB823" s="169"/>
      <c r="GC823" s="169"/>
      <c r="GD823" s="169"/>
      <c r="GE823" s="169"/>
      <c r="GF823" s="169"/>
      <c r="GG823" s="169"/>
      <c r="GW823" s="951"/>
    </row>
    <row r="824" spans="182:205" customFormat="1" x14ac:dyDescent="0.3">
      <c r="FZ824" s="169"/>
      <c r="GA824" s="169"/>
      <c r="GB824" s="169"/>
      <c r="GC824" s="169"/>
      <c r="GD824" s="169"/>
      <c r="GE824" s="169"/>
      <c r="GF824" s="169"/>
      <c r="GG824" s="169"/>
      <c r="GW824" s="951"/>
    </row>
    <row r="825" spans="182:205" customFormat="1" x14ac:dyDescent="0.3">
      <c r="FZ825" s="169"/>
      <c r="GA825" s="169"/>
      <c r="GB825" s="169"/>
      <c r="GC825" s="169"/>
      <c r="GD825" s="169"/>
      <c r="GE825" s="169"/>
      <c r="GF825" s="169"/>
      <c r="GG825" s="169"/>
      <c r="GW825" s="951"/>
    </row>
    <row r="826" spans="182:205" customFormat="1" x14ac:dyDescent="0.3">
      <c r="FZ826" s="169"/>
      <c r="GA826" s="169"/>
      <c r="GB826" s="169"/>
      <c r="GC826" s="169"/>
      <c r="GD826" s="169"/>
      <c r="GE826" s="169"/>
      <c r="GF826" s="169"/>
      <c r="GG826" s="169"/>
      <c r="GW826" s="951"/>
    </row>
    <row r="827" spans="182:205" customFormat="1" x14ac:dyDescent="0.3">
      <c r="FZ827" s="169"/>
      <c r="GA827" s="169"/>
      <c r="GB827" s="169"/>
      <c r="GC827" s="169"/>
      <c r="GD827" s="169"/>
      <c r="GE827" s="169"/>
      <c r="GF827" s="169"/>
      <c r="GG827" s="169"/>
      <c r="GW827" s="951"/>
    </row>
    <row r="828" spans="182:205" customFormat="1" x14ac:dyDescent="0.3">
      <c r="FZ828" s="169"/>
      <c r="GA828" s="169"/>
      <c r="GB828" s="169"/>
      <c r="GC828" s="169"/>
      <c r="GD828" s="169"/>
      <c r="GE828" s="169"/>
      <c r="GF828" s="169"/>
      <c r="GG828" s="169"/>
      <c r="GW828" s="951"/>
    </row>
    <row r="829" spans="182:205" customFormat="1" x14ac:dyDescent="0.3">
      <c r="FZ829" s="169"/>
      <c r="GA829" s="169"/>
      <c r="GB829" s="169"/>
      <c r="GC829" s="169"/>
      <c r="GD829" s="169"/>
      <c r="GE829" s="169"/>
      <c r="GF829" s="169"/>
      <c r="GG829" s="169"/>
      <c r="GW829" s="951"/>
    </row>
    <row r="830" spans="182:205" customFormat="1" x14ac:dyDescent="0.3">
      <c r="FZ830" s="169"/>
      <c r="GA830" s="169"/>
      <c r="GB830" s="169"/>
      <c r="GC830" s="169"/>
      <c r="GD830" s="169"/>
      <c r="GE830" s="169"/>
      <c r="GF830" s="169"/>
      <c r="GG830" s="169"/>
      <c r="GW830" s="951"/>
    </row>
    <row r="831" spans="182:205" customFormat="1" x14ac:dyDescent="0.3">
      <c r="FZ831" s="169"/>
      <c r="GA831" s="169"/>
      <c r="GB831" s="169"/>
      <c r="GC831" s="169"/>
      <c r="GD831" s="169"/>
      <c r="GE831" s="169"/>
      <c r="GF831" s="169"/>
      <c r="GG831" s="169"/>
      <c r="GW831" s="951"/>
    </row>
    <row r="832" spans="182:205" customFormat="1" x14ac:dyDescent="0.3">
      <c r="FZ832" s="169"/>
      <c r="GA832" s="169"/>
      <c r="GB832" s="169"/>
      <c r="GC832" s="169"/>
      <c r="GD832" s="169"/>
      <c r="GE832" s="169"/>
      <c r="GF832" s="169"/>
      <c r="GG832" s="169"/>
      <c r="GW832" s="951"/>
    </row>
    <row r="833" spans="182:205" customFormat="1" x14ac:dyDescent="0.3">
      <c r="FZ833" s="169"/>
      <c r="GA833" s="169"/>
      <c r="GB833" s="169"/>
      <c r="GC833" s="169"/>
      <c r="GD833" s="169"/>
      <c r="GE833" s="169"/>
      <c r="GF833" s="169"/>
      <c r="GG833" s="169"/>
      <c r="GW833" s="951"/>
    </row>
    <row r="834" spans="182:205" customFormat="1" x14ac:dyDescent="0.3">
      <c r="FZ834" s="169"/>
      <c r="GA834" s="169"/>
      <c r="GB834" s="169"/>
      <c r="GC834" s="169"/>
      <c r="GD834" s="169"/>
      <c r="GE834" s="169"/>
      <c r="GF834" s="169"/>
      <c r="GG834" s="169"/>
      <c r="GW834" s="951"/>
    </row>
    <row r="835" spans="182:205" customFormat="1" x14ac:dyDescent="0.3">
      <c r="FZ835" s="169"/>
      <c r="GA835" s="169"/>
      <c r="GB835" s="169"/>
      <c r="GC835" s="169"/>
      <c r="GD835" s="169"/>
      <c r="GE835" s="169"/>
      <c r="GF835" s="169"/>
      <c r="GG835" s="169"/>
      <c r="GW835" s="951"/>
    </row>
    <row r="836" spans="182:205" customFormat="1" x14ac:dyDescent="0.3">
      <c r="FZ836" s="169"/>
      <c r="GA836" s="169"/>
      <c r="GB836" s="169"/>
      <c r="GC836" s="169"/>
      <c r="GD836" s="169"/>
      <c r="GE836" s="169"/>
      <c r="GF836" s="169"/>
      <c r="GG836" s="169"/>
      <c r="GW836" s="951"/>
    </row>
    <row r="837" spans="182:205" customFormat="1" x14ac:dyDescent="0.3">
      <c r="FZ837" s="169"/>
      <c r="GA837" s="169"/>
      <c r="GB837" s="169"/>
      <c r="GC837" s="169"/>
      <c r="GD837" s="169"/>
      <c r="GE837" s="169"/>
      <c r="GF837" s="169"/>
      <c r="GG837" s="169"/>
      <c r="GW837" s="951"/>
    </row>
    <row r="838" spans="182:205" customFormat="1" x14ac:dyDescent="0.3">
      <c r="FZ838" s="169"/>
      <c r="GA838" s="169"/>
      <c r="GB838" s="169"/>
      <c r="GC838" s="169"/>
      <c r="GD838" s="169"/>
      <c r="GE838" s="169"/>
      <c r="GF838" s="169"/>
      <c r="GG838" s="169"/>
      <c r="GW838" s="951"/>
    </row>
    <row r="839" spans="182:205" customFormat="1" x14ac:dyDescent="0.3">
      <c r="FZ839" s="169"/>
      <c r="GA839" s="169"/>
      <c r="GB839" s="169"/>
      <c r="GC839" s="169"/>
      <c r="GD839" s="169"/>
      <c r="GE839" s="169"/>
      <c r="GF839" s="169"/>
      <c r="GG839" s="169"/>
      <c r="GW839" s="951"/>
    </row>
    <row r="840" spans="182:205" customFormat="1" x14ac:dyDescent="0.3">
      <c r="FZ840" s="169"/>
      <c r="GA840" s="169"/>
      <c r="GB840" s="169"/>
      <c r="GC840" s="169"/>
      <c r="GD840" s="169"/>
      <c r="GE840" s="169"/>
      <c r="GF840" s="169"/>
      <c r="GG840" s="169"/>
      <c r="GW840" s="951"/>
    </row>
    <row r="841" spans="182:205" customFormat="1" x14ac:dyDescent="0.3">
      <c r="FZ841" s="169"/>
      <c r="GA841" s="169"/>
      <c r="GB841" s="169"/>
      <c r="GC841" s="169"/>
      <c r="GD841" s="169"/>
      <c r="GE841" s="169"/>
      <c r="GF841" s="169"/>
      <c r="GG841" s="169"/>
      <c r="GW841" s="951"/>
    </row>
    <row r="842" spans="182:205" customFormat="1" x14ac:dyDescent="0.3">
      <c r="FZ842" s="169"/>
      <c r="GA842" s="169"/>
      <c r="GB842" s="169"/>
      <c r="GC842" s="169"/>
      <c r="GD842" s="169"/>
      <c r="GE842" s="169"/>
      <c r="GF842" s="169"/>
      <c r="GG842" s="169"/>
      <c r="GW842" s="951"/>
    </row>
    <row r="843" spans="182:205" customFormat="1" x14ac:dyDescent="0.3">
      <c r="FZ843" s="169"/>
      <c r="GA843" s="169"/>
      <c r="GB843" s="169"/>
      <c r="GC843" s="169"/>
      <c r="GD843" s="169"/>
      <c r="GE843" s="169"/>
      <c r="GF843" s="169"/>
      <c r="GG843" s="169"/>
      <c r="GW843" s="951"/>
    </row>
    <row r="844" spans="182:205" customFormat="1" x14ac:dyDescent="0.3">
      <c r="FZ844" s="169"/>
      <c r="GA844" s="169"/>
      <c r="GB844" s="169"/>
      <c r="GC844" s="169"/>
      <c r="GD844" s="169"/>
      <c r="GE844" s="169"/>
      <c r="GF844" s="169"/>
      <c r="GG844" s="169"/>
      <c r="GW844" s="951"/>
    </row>
    <row r="845" spans="182:205" customFormat="1" x14ac:dyDescent="0.3">
      <c r="FZ845" s="169"/>
      <c r="GA845" s="169"/>
      <c r="GB845" s="169"/>
      <c r="GC845" s="169"/>
      <c r="GD845" s="169"/>
      <c r="GE845" s="169"/>
      <c r="GF845" s="169"/>
      <c r="GG845" s="169"/>
      <c r="GW845" s="951"/>
    </row>
    <row r="846" spans="182:205" customFormat="1" x14ac:dyDescent="0.3">
      <c r="FZ846" s="169"/>
      <c r="GA846" s="169"/>
      <c r="GB846" s="169"/>
      <c r="GC846" s="169"/>
      <c r="GD846" s="169"/>
      <c r="GE846" s="169"/>
      <c r="GF846" s="169"/>
      <c r="GG846" s="169"/>
      <c r="GW846" s="951"/>
    </row>
    <row r="847" spans="182:205" customFormat="1" x14ac:dyDescent="0.3">
      <c r="FZ847" s="169"/>
      <c r="GA847" s="169"/>
      <c r="GB847" s="169"/>
      <c r="GC847" s="169"/>
      <c r="GD847" s="169"/>
      <c r="GE847" s="169"/>
      <c r="GF847" s="169"/>
      <c r="GG847" s="169"/>
      <c r="GW847" s="951"/>
    </row>
    <row r="848" spans="182:205" customFormat="1" x14ac:dyDescent="0.3">
      <c r="FZ848" s="169"/>
      <c r="GA848" s="169"/>
      <c r="GB848" s="169"/>
      <c r="GC848" s="169"/>
      <c r="GD848" s="169"/>
      <c r="GE848" s="169"/>
      <c r="GF848" s="169"/>
      <c r="GG848" s="169"/>
      <c r="GW848" s="951"/>
    </row>
    <row r="849" spans="182:205" customFormat="1" x14ac:dyDescent="0.3">
      <c r="FZ849" s="169"/>
      <c r="GA849" s="169"/>
      <c r="GB849" s="169"/>
      <c r="GC849" s="169"/>
      <c r="GD849" s="169"/>
      <c r="GE849" s="169"/>
      <c r="GF849" s="169"/>
      <c r="GG849" s="169"/>
      <c r="GW849" s="951"/>
    </row>
    <row r="850" spans="182:205" customFormat="1" x14ac:dyDescent="0.3">
      <c r="FZ850" s="169"/>
      <c r="GA850" s="169"/>
      <c r="GB850" s="169"/>
      <c r="GC850" s="169"/>
      <c r="GD850" s="169"/>
      <c r="GE850" s="169"/>
      <c r="GF850" s="169"/>
      <c r="GG850" s="169"/>
      <c r="GW850" s="951"/>
    </row>
    <row r="851" spans="182:205" customFormat="1" x14ac:dyDescent="0.3">
      <c r="FZ851" s="169"/>
      <c r="GA851" s="169"/>
      <c r="GB851" s="169"/>
      <c r="GC851" s="169"/>
      <c r="GD851" s="169"/>
      <c r="GE851" s="169"/>
      <c r="GF851" s="169"/>
      <c r="GG851" s="169"/>
      <c r="GW851" s="951"/>
    </row>
    <row r="852" spans="182:205" customFormat="1" x14ac:dyDescent="0.3">
      <c r="FZ852" s="169"/>
      <c r="GA852" s="169"/>
      <c r="GB852" s="169"/>
      <c r="GC852" s="169"/>
      <c r="GD852" s="169"/>
      <c r="GE852" s="169"/>
      <c r="GF852" s="169"/>
      <c r="GG852" s="169"/>
      <c r="GW852" s="951"/>
    </row>
    <row r="853" spans="182:205" customFormat="1" x14ac:dyDescent="0.3">
      <c r="FZ853" s="169"/>
      <c r="GA853" s="169"/>
      <c r="GB853" s="169"/>
      <c r="GC853" s="169"/>
      <c r="GD853" s="169"/>
      <c r="GE853" s="169"/>
      <c r="GF853" s="169"/>
      <c r="GG853" s="169"/>
      <c r="GW853" s="951"/>
    </row>
    <row r="854" spans="182:205" customFormat="1" x14ac:dyDescent="0.3">
      <c r="FZ854" s="169"/>
      <c r="GA854" s="169"/>
      <c r="GB854" s="169"/>
      <c r="GC854" s="169"/>
      <c r="GD854" s="169"/>
      <c r="GE854" s="169"/>
      <c r="GF854" s="169"/>
      <c r="GG854" s="169"/>
      <c r="GW854" s="951"/>
    </row>
    <row r="855" spans="182:205" customFormat="1" x14ac:dyDescent="0.3">
      <c r="FZ855" s="169"/>
      <c r="GA855" s="169"/>
      <c r="GB855" s="169"/>
      <c r="GC855" s="169"/>
      <c r="GD855" s="169"/>
      <c r="GE855" s="169"/>
      <c r="GF855" s="169"/>
      <c r="GG855" s="169"/>
      <c r="GW855" s="951"/>
    </row>
    <row r="856" spans="182:205" customFormat="1" x14ac:dyDescent="0.3">
      <c r="FZ856" s="169"/>
      <c r="GA856" s="169"/>
      <c r="GB856" s="169"/>
      <c r="GC856" s="169"/>
      <c r="GD856" s="169"/>
      <c r="GE856" s="169"/>
      <c r="GF856" s="169"/>
      <c r="GG856" s="169"/>
      <c r="GW856" s="951"/>
    </row>
    <row r="857" spans="182:205" customFormat="1" x14ac:dyDescent="0.3">
      <c r="FZ857" s="169"/>
      <c r="GA857" s="169"/>
      <c r="GB857" s="169"/>
      <c r="GC857" s="169"/>
      <c r="GD857" s="169"/>
      <c r="GE857" s="169"/>
      <c r="GF857" s="169"/>
      <c r="GG857" s="169"/>
      <c r="GW857" s="951"/>
    </row>
    <row r="858" spans="182:205" customFormat="1" x14ac:dyDescent="0.3">
      <c r="FZ858" s="169"/>
      <c r="GA858" s="169"/>
      <c r="GB858" s="169"/>
      <c r="GC858" s="169"/>
      <c r="GD858" s="169"/>
      <c r="GE858" s="169"/>
      <c r="GF858" s="169"/>
      <c r="GG858" s="169"/>
      <c r="GW858" s="951"/>
    </row>
    <row r="859" spans="182:205" customFormat="1" x14ac:dyDescent="0.3">
      <c r="FZ859" s="169"/>
      <c r="GA859" s="169"/>
      <c r="GB859" s="169"/>
      <c r="GC859" s="169"/>
      <c r="GD859" s="169"/>
      <c r="GE859" s="169"/>
      <c r="GF859" s="169"/>
      <c r="GG859" s="169"/>
      <c r="GW859" s="951"/>
    </row>
    <row r="860" spans="182:205" customFormat="1" x14ac:dyDescent="0.3">
      <c r="FZ860" s="169"/>
      <c r="GA860" s="169"/>
      <c r="GB860" s="169"/>
      <c r="GC860" s="169"/>
      <c r="GD860" s="169"/>
      <c r="GE860" s="169"/>
      <c r="GF860" s="169"/>
      <c r="GG860" s="169"/>
      <c r="GW860" s="951"/>
    </row>
    <row r="861" spans="182:205" customFormat="1" x14ac:dyDescent="0.3">
      <c r="FZ861" s="169"/>
      <c r="GA861" s="169"/>
      <c r="GB861" s="169"/>
      <c r="GC861" s="169"/>
      <c r="GD861" s="169"/>
      <c r="GE861" s="169"/>
      <c r="GF861" s="169"/>
      <c r="GG861" s="169"/>
      <c r="GW861" s="951"/>
    </row>
    <row r="862" spans="182:205" customFormat="1" x14ac:dyDescent="0.3">
      <c r="FZ862" s="169"/>
      <c r="GA862" s="169"/>
      <c r="GB862" s="169"/>
      <c r="GC862" s="169"/>
      <c r="GD862" s="169"/>
      <c r="GE862" s="169"/>
      <c r="GF862" s="169"/>
      <c r="GG862" s="169"/>
      <c r="GW862" s="951"/>
    </row>
    <row r="863" spans="182:205" customFormat="1" x14ac:dyDescent="0.3">
      <c r="FZ863" s="169"/>
      <c r="GA863" s="169"/>
      <c r="GB863" s="169"/>
      <c r="GC863" s="169"/>
      <c r="GD863" s="169"/>
      <c r="GE863" s="169"/>
      <c r="GF863" s="169"/>
      <c r="GG863" s="169"/>
      <c r="GW863" s="951"/>
    </row>
    <row r="864" spans="182:205" customFormat="1" x14ac:dyDescent="0.3">
      <c r="FZ864" s="169"/>
      <c r="GA864" s="169"/>
      <c r="GB864" s="169"/>
      <c r="GC864" s="169"/>
      <c r="GD864" s="169"/>
      <c r="GE864" s="169"/>
      <c r="GF864" s="169"/>
      <c r="GG864" s="169"/>
      <c r="GW864" s="951"/>
    </row>
    <row r="865" spans="182:205" customFormat="1" x14ac:dyDescent="0.3">
      <c r="FZ865" s="169"/>
      <c r="GA865" s="169"/>
      <c r="GB865" s="169"/>
      <c r="GC865" s="169"/>
      <c r="GD865" s="169"/>
      <c r="GE865" s="169"/>
      <c r="GF865" s="169"/>
      <c r="GG865" s="169"/>
      <c r="GW865" s="951"/>
    </row>
    <row r="866" spans="182:205" customFormat="1" x14ac:dyDescent="0.3">
      <c r="FZ866" s="169"/>
      <c r="GA866" s="169"/>
      <c r="GB866" s="169"/>
      <c r="GC866" s="169"/>
      <c r="GD866" s="169"/>
      <c r="GE866" s="169"/>
      <c r="GF866" s="169"/>
      <c r="GG866" s="169"/>
      <c r="GW866" s="951"/>
    </row>
    <row r="867" spans="182:205" customFormat="1" x14ac:dyDescent="0.3">
      <c r="FZ867" s="169"/>
      <c r="GA867" s="169"/>
      <c r="GB867" s="169"/>
      <c r="GC867" s="169"/>
      <c r="GD867" s="169"/>
      <c r="GE867" s="169"/>
      <c r="GF867" s="169"/>
      <c r="GG867" s="169"/>
      <c r="GW867" s="951"/>
    </row>
    <row r="868" spans="182:205" customFormat="1" x14ac:dyDescent="0.3">
      <c r="FZ868" s="169"/>
      <c r="GA868" s="169"/>
      <c r="GB868" s="169"/>
      <c r="GC868" s="169"/>
      <c r="GD868" s="169"/>
      <c r="GE868" s="169"/>
      <c r="GF868" s="169"/>
      <c r="GG868" s="169"/>
      <c r="GW868" s="951"/>
    </row>
    <row r="869" spans="182:205" customFormat="1" x14ac:dyDescent="0.3">
      <c r="FZ869" s="169"/>
      <c r="GA869" s="169"/>
      <c r="GB869" s="169"/>
      <c r="GC869" s="169"/>
      <c r="GD869" s="169"/>
      <c r="GE869" s="169"/>
      <c r="GF869" s="169"/>
      <c r="GG869" s="169"/>
      <c r="GW869" s="951"/>
    </row>
    <row r="870" spans="182:205" customFormat="1" x14ac:dyDescent="0.3">
      <c r="FZ870" s="169"/>
      <c r="GA870" s="169"/>
      <c r="GB870" s="169"/>
      <c r="GC870" s="169"/>
      <c r="GD870" s="169"/>
      <c r="GE870" s="169"/>
      <c r="GF870" s="169"/>
      <c r="GG870" s="169"/>
      <c r="GW870" s="951"/>
    </row>
    <row r="871" spans="182:205" customFormat="1" x14ac:dyDescent="0.3">
      <c r="FZ871" s="169"/>
      <c r="GA871" s="169"/>
      <c r="GB871" s="169"/>
      <c r="GC871" s="169"/>
      <c r="GD871" s="169"/>
      <c r="GE871" s="169"/>
      <c r="GF871" s="169"/>
      <c r="GG871" s="169"/>
      <c r="GW871" s="951"/>
    </row>
    <row r="872" spans="182:205" customFormat="1" x14ac:dyDescent="0.3">
      <c r="FZ872" s="169"/>
      <c r="GA872" s="169"/>
      <c r="GB872" s="169"/>
      <c r="GC872" s="169"/>
      <c r="GD872" s="169"/>
      <c r="GE872" s="169"/>
      <c r="GF872" s="169"/>
      <c r="GG872" s="169"/>
      <c r="GW872" s="951"/>
    </row>
    <row r="873" spans="182:205" customFormat="1" x14ac:dyDescent="0.3">
      <c r="FZ873" s="169"/>
      <c r="GA873" s="169"/>
      <c r="GB873" s="169"/>
      <c r="GC873" s="169"/>
      <c r="GD873" s="169"/>
      <c r="GE873" s="169"/>
      <c r="GF873" s="169"/>
      <c r="GG873" s="169"/>
      <c r="GW873" s="951"/>
    </row>
    <row r="874" spans="182:205" customFormat="1" x14ac:dyDescent="0.3">
      <c r="FZ874" s="169"/>
      <c r="GA874" s="169"/>
      <c r="GB874" s="169"/>
      <c r="GC874" s="169"/>
      <c r="GD874" s="169"/>
      <c r="GE874" s="169"/>
      <c r="GF874" s="169"/>
      <c r="GG874" s="169"/>
      <c r="GW874" s="951"/>
    </row>
    <row r="875" spans="182:205" customFormat="1" x14ac:dyDescent="0.3">
      <c r="FZ875" s="169"/>
      <c r="GA875" s="169"/>
      <c r="GB875" s="169"/>
      <c r="GC875" s="169"/>
      <c r="GD875" s="169"/>
      <c r="GE875" s="169"/>
      <c r="GF875" s="169"/>
      <c r="GG875" s="169"/>
      <c r="GW875" s="951"/>
    </row>
    <row r="876" spans="182:205" customFormat="1" x14ac:dyDescent="0.3">
      <c r="FZ876" s="169"/>
      <c r="GA876" s="169"/>
      <c r="GB876" s="169"/>
      <c r="GC876" s="169"/>
      <c r="GD876" s="169"/>
      <c r="GE876" s="169"/>
      <c r="GF876" s="169"/>
      <c r="GG876" s="169"/>
      <c r="GW876" s="951"/>
    </row>
    <row r="877" spans="182:205" customFormat="1" x14ac:dyDescent="0.3">
      <c r="FZ877" s="169"/>
      <c r="GA877" s="169"/>
      <c r="GB877" s="169"/>
      <c r="GC877" s="169"/>
      <c r="GD877" s="169"/>
      <c r="GE877" s="169"/>
      <c r="GF877" s="169"/>
      <c r="GG877" s="169"/>
      <c r="GW877" s="951"/>
    </row>
    <row r="878" spans="182:205" customFormat="1" x14ac:dyDescent="0.3">
      <c r="FZ878" s="169"/>
      <c r="GA878" s="169"/>
      <c r="GB878" s="169"/>
      <c r="GC878" s="169"/>
      <c r="GD878" s="169"/>
      <c r="GE878" s="169"/>
      <c r="GF878" s="169"/>
      <c r="GG878" s="169"/>
      <c r="GW878" s="951"/>
    </row>
    <row r="879" spans="182:205" customFormat="1" x14ac:dyDescent="0.3">
      <c r="FZ879" s="169"/>
      <c r="GA879" s="169"/>
      <c r="GB879" s="169"/>
      <c r="GC879" s="169"/>
      <c r="GD879" s="169"/>
      <c r="GE879" s="169"/>
      <c r="GF879" s="169"/>
      <c r="GG879" s="169"/>
      <c r="GW879" s="951"/>
    </row>
    <row r="880" spans="182:205" customFormat="1" x14ac:dyDescent="0.3">
      <c r="FZ880" s="169"/>
      <c r="GA880" s="169"/>
      <c r="GB880" s="169"/>
      <c r="GC880" s="169"/>
      <c r="GD880" s="169"/>
      <c r="GE880" s="169"/>
      <c r="GF880" s="169"/>
      <c r="GG880" s="169"/>
      <c r="GW880" s="951"/>
    </row>
    <row r="881" spans="182:205" customFormat="1" x14ac:dyDescent="0.3">
      <c r="FZ881" s="169"/>
      <c r="GA881" s="169"/>
      <c r="GB881" s="169"/>
      <c r="GC881" s="169"/>
      <c r="GD881" s="169"/>
      <c r="GE881" s="169"/>
      <c r="GF881" s="169"/>
      <c r="GG881" s="169"/>
      <c r="GW881" s="951"/>
    </row>
    <row r="882" spans="182:205" customFormat="1" x14ac:dyDescent="0.3">
      <c r="FZ882" s="169"/>
      <c r="GA882" s="169"/>
      <c r="GB882" s="169"/>
      <c r="GC882" s="169"/>
      <c r="GD882" s="169"/>
      <c r="GE882" s="169"/>
      <c r="GF882" s="169"/>
      <c r="GG882" s="169"/>
      <c r="GW882" s="951"/>
    </row>
    <row r="883" spans="182:205" customFormat="1" x14ac:dyDescent="0.3">
      <c r="FZ883" s="169"/>
      <c r="GA883" s="169"/>
      <c r="GB883" s="169"/>
      <c r="GC883" s="169"/>
      <c r="GD883" s="169"/>
      <c r="GE883" s="169"/>
      <c r="GF883" s="169"/>
      <c r="GG883" s="169"/>
      <c r="GW883" s="951"/>
    </row>
    <row r="884" spans="182:205" customFormat="1" x14ac:dyDescent="0.3">
      <c r="FZ884" s="169"/>
      <c r="GA884" s="169"/>
      <c r="GB884" s="169"/>
      <c r="GC884" s="169"/>
      <c r="GD884" s="169"/>
      <c r="GE884" s="169"/>
      <c r="GF884" s="169"/>
      <c r="GG884" s="169"/>
      <c r="GW884" s="951"/>
    </row>
    <row r="885" spans="182:205" customFormat="1" x14ac:dyDescent="0.3">
      <c r="FZ885" s="169"/>
      <c r="GA885" s="169"/>
      <c r="GB885" s="169"/>
      <c r="GC885" s="169"/>
      <c r="GD885" s="169"/>
      <c r="GE885" s="169"/>
      <c r="GF885" s="169"/>
      <c r="GG885" s="169"/>
      <c r="GW885" s="951"/>
    </row>
    <row r="886" spans="182:205" customFormat="1" x14ac:dyDescent="0.3">
      <c r="FZ886" s="169"/>
      <c r="GA886" s="169"/>
      <c r="GB886" s="169"/>
      <c r="GC886" s="169"/>
      <c r="GD886" s="169"/>
      <c r="GE886" s="169"/>
      <c r="GF886" s="169"/>
      <c r="GG886" s="169"/>
      <c r="GW886" s="951"/>
    </row>
    <row r="887" spans="182:205" customFormat="1" x14ac:dyDescent="0.3">
      <c r="FZ887" s="169"/>
      <c r="GA887" s="169"/>
      <c r="GB887" s="169"/>
      <c r="GC887" s="169"/>
      <c r="GD887" s="169"/>
      <c r="GE887" s="169"/>
      <c r="GF887" s="169"/>
      <c r="GG887" s="169"/>
      <c r="GW887" s="951"/>
    </row>
    <row r="888" spans="182:205" customFormat="1" x14ac:dyDescent="0.3">
      <c r="FZ888" s="169"/>
      <c r="GA888" s="169"/>
      <c r="GB888" s="169"/>
      <c r="GC888" s="169"/>
      <c r="GD888" s="169"/>
      <c r="GE888" s="169"/>
      <c r="GF888" s="169"/>
      <c r="GG888" s="169"/>
      <c r="GW888" s="951"/>
    </row>
    <row r="889" spans="182:205" customFormat="1" x14ac:dyDescent="0.3">
      <c r="FZ889" s="169"/>
      <c r="GA889" s="169"/>
      <c r="GB889" s="169"/>
      <c r="GC889" s="169"/>
      <c r="GD889" s="169"/>
      <c r="GE889" s="169"/>
      <c r="GF889" s="169"/>
      <c r="GG889" s="169"/>
      <c r="GW889" s="951"/>
    </row>
    <row r="890" spans="182:205" customFormat="1" x14ac:dyDescent="0.3">
      <c r="FZ890" s="169"/>
      <c r="GA890" s="169"/>
      <c r="GB890" s="169"/>
      <c r="GC890" s="169"/>
      <c r="GD890" s="169"/>
      <c r="GE890" s="169"/>
      <c r="GF890" s="169"/>
      <c r="GG890" s="169"/>
      <c r="GW890" s="951"/>
    </row>
    <row r="891" spans="182:205" customFormat="1" x14ac:dyDescent="0.3">
      <c r="FZ891" s="169"/>
      <c r="GA891" s="169"/>
      <c r="GB891" s="169"/>
      <c r="GC891" s="169"/>
      <c r="GD891" s="169"/>
      <c r="GE891" s="169"/>
      <c r="GF891" s="169"/>
      <c r="GG891" s="169"/>
      <c r="GW891" s="951"/>
    </row>
    <row r="892" spans="182:205" customFormat="1" x14ac:dyDescent="0.3">
      <c r="FZ892" s="169"/>
      <c r="GA892" s="169"/>
      <c r="GB892" s="169"/>
      <c r="GC892" s="169"/>
      <c r="GD892" s="169"/>
      <c r="GE892" s="169"/>
      <c r="GF892" s="169"/>
      <c r="GG892" s="169"/>
      <c r="GW892" s="951"/>
    </row>
    <row r="893" spans="182:205" customFormat="1" x14ac:dyDescent="0.3">
      <c r="FZ893" s="169"/>
      <c r="GA893" s="169"/>
      <c r="GB893" s="169"/>
      <c r="GC893" s="169"/>
      <c r="GD893" s="169"/>
      <c r="GE893" s="169"/>
      <c r="GF893" s="169"/>
      <c r="GG893" s="169"/>
      <c r="GW893" s="951"/>
    </row>
    <row r="894" spans="182:205" customFormat="1" x14ac:dyDescent="0.3">
      <c r="FZ894" s="169"/>
      <c r="GA894" s="169"/>
      <c r="GB894" s="169"/>
      <c r="GC894" s="169"/>
      <c r="GD894" s="169"/>
      <c r="GE894" s="169"/>
      <c r="GF894" s="169"/>
      <c r="GG894" s="169"/>
      <c r="GW894" s="951"/>
    </row>
    <row r="895" spans="182:205" customFormat="1" x14ac:dyDescent="0.3">
      <c r="FZ895" s="169"/>
      <c r="GA895" s="169"/>
      <c r="GB895" s="169"/>
      <c r="GC895" s="169"/>
      <c r="GD895" s="169"/>
      <c r="GE895" s="169"/>
      <c r="GF895" s="169"/>
      <c r="GG895" s="169"/>
      <c r="GW895" s="951"/>
    </row>
    <row r="896" spans="182:205" customFormat="1" x14ac:dyDescent="0.3">
      <c r="FZ896" s="169"/>
      <c r="GA896" s="169"/>
      <c r="GB896" s="169"/>
      <c r="GC896" s="169"/>
      <c r="GD896" s="169"/>
      <c r="GE896" s="169"/>
      <c r="GF896" s="169"/>
      <c r="GG896" s="169"/>
      <c r="GW896" s="951"/>
    </row>
    <row r="897" spans="182:205" customFormat="1" x14ac:dyDescent="0.3">
      <c r="FZ897" s="169"/>
      <c r="GA897" s="169"/>
      <c r="GB897" s="169"/>
      <c r="GC897" s="169"/>
      <c r="GD897" s="169"/>
      <c r="GE897" s="169"/>
      <c r="GF897" s="169"/>
      <c r="GG897" s="169"/>
      <c r="GW897" s="951"/>
    </row>
    <row r="898" spans="182:205" customFormat="1" x14ac:dyDescent="0.3">
      <c r="FZ898" s="169"/>
      <c r="GA898" s="169"/>
      <c r="GB898" s="169"/>
      <c r="GC898" s="169"/>
      <c r="GD898" s="169"/>
      <c r="GE898" s="169"/>
      <c r="GF898" s="169"/>
      <c r="GG898" s="169"/>
      <c r="GW898" s="951"/>
    </row>
    <row r="899" spans="182:205" customFormat="1" x14ac:dyDescent="0.3">
      <c r="FZ899" s="169"/>
      <c r="GA899" s="169"/>
      <c r="GB899" s="169"/>
      <c r="GC899" s="169"/>
      <c r="GD899" s="169"/>
      <c r="GE899" s="169"/>
      <c r="GF899" s="169"/>
      <c r="GG899" s="169"/>
      <c r="GW899" s="951"/>
    </row>
    <row r="900" spans="182:205" customFormat="1" x14ac:dyDescent="0.3">
      <c r="FZ900" s="169"/>
      <c r="GA900" s="169"/>
      <c r="GB900" s="169"/>
      <c r="GC900" s="169"/>
      <c r="GD900" s="169"/>
      <c r="GE900" s="169"/>
      <c r="GF900" s="169"/>
      <c r="GG900" s="169"/>
      <c r="GW900" s="951"/>
    </row>
    <row r="901" spans="182:205" customFormat="1" x14ac:dyDescent="0.3">
      <c r="FZ901" s="169"/>
      <c r="GA901" s="169"/>
      <c r="GB901" s="169"/>
      <c r="GC901" s="169"/>
      <c r="GD901" s="169"/>
      <c r="GE901" s="169"/>
      <c r="GF901" s="169"/>
      <c r="GG901" s="169"/>
      <c r="GW901" s="951"/>
    </row>
    <row r="902" spans="182:205" customFormat="1" x14ac:dyDescent="0.3">
      <c r="FZ902" s="169"/>
      <c r="GA902" s="169"/>
      <c r="GB902" s="169"/>
      <c r="GC902" s="169"/>
      <c r="GD902" s="169"/>
      <c r="GE902" s="169"/>
      <c r="GF902" s="169"/>
      <c r="GG902" s="169"/>
      <c r="GW902" s="951"/>
    </row>
    <row r="903" spans="182:205" customFormat="1" x14ac:dyDescent="0.3">
      <c r="FZ903" s="169"/>
      <c r="GA903" s="169"/>
      <c r="GB903" s="169"/>
      <c r="GC903" s="169"/>
      <c r="GD903" s="169"/>
      <c r="GE903" s="169"/>
      <c r="GF903" s="169"/>
      <c r="GG903" s="169"/>
      <c r="GW903" s="951"/>
    </row>
    <row r="904" spans="182:205" customFormat="1" x14ac:dyDescent="0.3">
      <c r="FZ904" s="169"/>
      <c r="GA904" s="169"/>
      <c r="GB904" s="169"/>
      <c r="GC904" s="169"/>
      <c r="GD904" s="169"/>
      <c r="GE904" s="169"/>
      <c r="GF904" s="169"/>
      <c r="GG904" s="169"/>
      <c r="GW904" s="951"/>
    </row>
    <row r="905" spans="182:205" customFormat="1" x14ac:dyDescent="0.3">
      <c r="FZ905" s="169"/>
      <c r="GA905" s="169"/>
      <c r="GB905" s="169"/>
      <c r="GC905" s="169"/>
      <c r="GD905" s="169"/>
      <c r="GE905" s="169"/>
      <c r="GF905" s="169"/>
      <c r="GG905" s="169"/>
      <c r="GW905" s="951"/>
    </row>
    <row r="906" spans="182:205" customFormat="1" x14ac:dyDescent="0.3">
      <c r="FZ906" s="169"/>
      <c r="GA906" s="169"/>
      <c r="GB906" s="169"/>
      <c r="GC906" s="169"/>
      <c r="GD906" s="169"/>
      <c r="GE906" s="169"/>
      <c r="GF906" s="169"/>
      <c r="GG906" s="169"/>
      <c r="GW906" s="951"/>
    </row>
    <row r="907" spans="182:205" customFormat="1" x14ac:dyDescent="0.3">
      <c r="FZ907" s="169"/>
      <c r="GA907" s="169"/>
      <c r="GB907" s="169"/>
      <c r="GC907" s="169"/>
      <c r="GD907" s="169"/>
      <c r="GE907" s="169"/>
      <c r="GF907" s="169"/>
      <c r="GG907" s="169"/>
      <c r="GW907" s="951"/>
    </row>
    <row r="908" spans="182:205" customFormat="1" x14ac:dyDescent="0.3">
      <c r="FZ908" s="169"/>
      <c r="GA908" s="169"/>
      <c r="GB908" s="169"/>
      <c r="GC908" s="169"/>
      <c r="GD908" s="169"/>
      <c r="GE908" s="169"/>
      <c r="GF908" s="169"/>
      <c r="GG908" s="169"/>
      <c r="GW908" s="951"/>
    </row>
    <row r="909" spans="182:205" customFormat="1" x14ac:dyDescent="0.3">
      <c r="FZ909" s="169"/>
      <c r="GA909" s="169"/>
      <c r="GB909" s="169"/>
      <c r="GC909" s="169"/>
      <c r="GD909" s="169"/>
      <c r="GE909" s="169"/>
      <c r="GF909" s="169"/>
      <c r="GG909" s="169"/>
      <c r="GW909" s="951"/>
    </row>
    <row r="910" spans="182:205" customFormat="1" x14ac:dyDescent="0.3">
      <c r="FZ910" s="169"/>
      <c r="GA910" s="169"/>
      <c r="GB910" s="169"/>
      <c r="GC910" s="169"/>
      <c r="GD910" s="169"/>
      <c r="GE910" s="169"/>
      <c r="GF910" s="169"/>
      <c r="GG910" s="169"/>
      <c r="GW910" s="951"/>
    </row>
    <row r="911" spans="182:205" customFormat="1" x14ac:dyDescent="0.3">
      <c r="FZ911" s="169"/>
      <c r="GA911" s="169"/>
      <c r="GB911" s="169"/>
      <c r="GC911" s="169"/>
      <c r="GD911" s="169"/>
      <c r="GE911" s="169"/>
      <c r="GF911" s="169"/>
      <c r="GG911" s="169"/>
      <c r="GW911" s="951"/>
    </row>
    <row r="912" spans="182:205" customFormat="1" x14ac:dyDescent="0.3">
      <c r="FZ912" s="169"/>
      <c r="GA912" s="169"/>
      <c r="GB912" s="169"/>
      <c r="GC912" s="169"/>
      <c r="GD912" s="169"/>
      <c r="GE912" s="169"/>
      <c r="GF912" s="169"/>
      <c r="GG912" s="169"/>
      <c r="GW912" s="951"/>
    </row>
    <row r="913" spans="182:205" customFormat="1" x14ac:dyDescent="0.3">
      <c r="FZ913" s="169"/>
      <c r="GA913" s="169"/>
      <c r="GB913" s="169"/>
      <c r="GC913" s="169"/>
      <c r="GD913" s="169"/>
      <c r="GE913" s="169"/>
      <c r="GF913" s="169"/>
      <c r="GG913" s="169"/>
      <c r="GW913" s="951"/>
    </row>
    <row r="914" spans="182:205" customFormat="1" x14ac:dyDescent="0.3">
      <c r="FZ914" s="169"/>
      <c r="GA914" s="169"/>
      <c r="GB914" s="169"/>
      <c r="GC914" s="169"/>
      <c r="GD914" s="169"/>
      <c r="GE914" s="169"/>
      <c r="GF914" s="169"/>
      <c r="GG914" s="169"/>
      <c r="GW914" s="951"/>
    </row>
    <row r="915" spans="182:205" customFormat="1" x14ac:dyDescent="0.3">
      <c r="FZ915" s="169"/>
      <c r="GA915" s="169"/>
      <c r="GB915" s="169"/>
      <c r="GC915" s="169"/>
      <c r="GD915" s="169"/>
      <c r="GE915" s="169"/>
      <c r="GF915" s="169"/>
      <c r="GG915" s="169"/>
      <c r="GW915" s="951"/>
    </row>
    <row r="916" spans="182:205" customFormat="1" x14ac:dyDescent="0.3">
      <c r="FZ916" s="169"/>
      <c r="GA916" s="169"/>
      <c r="GB916" s="169"/>
      <c r="GC916" s="169"/>
      <c r="GD916" s="169"/>
      <c r="GE916" s="169"/>
      <c r="GF916" s="169"/>
      <c r="GG916" s="169"/>
      <c r="GW916" s="951"/>
    </row>
    <row r="917" spans="182:205" customFormat="1" x14ac:dyDescent="0.3">
      <c r="FZ917" s="169"/>
      <c r="GA917" s="169"/>
      <c r="GB917" s="169"/>
      <c r="GC917" s="169"/>
      <c r="GD917" s="169"/>
      <c r="GE917" s="169"/>
      <c r="GF917" s="169"/>
      <c r="GG917" s="169"/>
      <c r="GW917" s="951"/>
    </row>
    <row r="918" spans="182:205" customFormat="1" x14ac:dyDescent="0.3">
      <c r="FZ918" s="169"/>
      <c r="GA918" s="169"/>
      <c r="GB918" s="169"/>
      <c r="GC918" s="169"/>
      <c r="GD918" s="169"/>
      <c r="GE918" s="169"/>
      <c r="GF918" s="169"/>
      <c r="GG918" s="169"/>
      <c r="GW918" s="951"/>
    </row>
    <row r="919" spans="182:205" customFormat="1" x14ac:dyDescent="0.3">
      <c r="FZ919" s="169"/>
      <c r="GA919" s="169"/>
      <c r="GB919" s="169"/>
      <c r="GC919" s="169"/>
      <c r="GD919" s="169"/>
      <c r="GE919" s="169"/>
      <c r="GF919" s="169"/>
      <c r="GG919" s="169"/>
      <c r="GW919" s="951"/>
    </row>
    <row r="920" spans="182:205" customFormat="1" x14ac:dyDescent="0.3">
      <c r="FZ920" s="169"/>
      <c r="GA920" s="169"/>
      <c r="GB920" s="169"/>
      <c r="GC920" s="169"/>
      <c r="GD920" s="169"/>
      <c r="GE920" s="169"/>
      <c r="GF920" s="169"/>
      <c r="GG920" s="169"/>
      <c r="GW920" s="951"/>
    </row>
    <row r="921" spans="182:205" customFormat="1" x14ac:dyDescent="0.3">
      <c r="FZ921" s="169"/>
      <c r="GA921" s="169"/>
      <c r="GB921" s="169"/>
      <c r="GC921" s="169"/>
      <c r="GD921" s="169"/>
      <c r="GE921" s="169"/>
      <c r="GF921" s="169"/>
      <c r="GG921" s="169"/>
      <c r="GW921" s="951"/>
    </row>
    <row r="922" spans="182:205" customFormat="1" x14ac:dyDescent="0.3">
      <c r="FZ922" s="169"/>
      <c r="GA922" s="169"/>
      <c r="GB922" s="169"/>
      <c r="GC922" s="169"/>
      <c r="GD922" s="169"/>
      <c r="GE922" s="169"/>
      <c r="GF922" s="169"/>
      <c r="GG922" s="169"/>
      <c r="GW922" s="951"/>
    </row>
    <row r="923" spans="182:205" customFormat="1" x14ac:dyDescent="0.3">
      <c r="FZ923" s="169"/>
      <c r="GA923" s="169"/>
      <c r="GB923" s="169"/>
      <c r="GC923" s="169"/>
      <c r="GD923" s="169"/>
      <c r="GE923" s="169"/>
      <c r="GF923" s="169"/>
      <c r="GG923" s="169"/>
      <c r="GW923" s="951"/>
    </row>
    <row r="924" spans="182:205" customFormat="1" x14ac:dyDescent="0.3">
      <c r="FZ924" s="169"/>
      <c r="GA924" s="169"/>
      <c r="GB924" s="169"/>
      <c r="GC924" s="169"/>
      <c r="GD924" s="169"/>
      <c r="GE924" s="169"/>
      <c r="GF924" s="169"/>
      <c r="GG924" s="169"/>
      <c r="GW924" s="951"/>
    </row>
    <row r="925" spans="182:205" customFormat="1" x14ac:dyDescent="0.3">
      <c r="FZ925" s="169"/>
      <c r="GA925" s="169"/>
      <c r="GB925" s="169"/>
      <c r="GC925" s="169"/>
      <c r="GD925" s="169"/>
      <c r="GE925" s="169"/>
      <c r="GF925" s="169"/>
      <c r="GG925" s="169"/>
      <c r="GW925" s="951"/>
    </row>
    <row r="926" spans="182:205" customFormat="1" x14ac:dyDescent="0.3">
      <c r="FZ926" s="169"/>
      <c r="GA926" s="169"/>
      <c r="GB926" s="169"/>
      <c r="GC926" s="169"/>
      <c r="GD926" s="169"/>
      <c r="GE926" s="169"/>
      <c r="GF926" s="169"/>
      <c r="GG926" s="169"/>
      <c r="GW926" s="951"/>
    </row>
    <row r="927" spans="182:205" customFormat="1" x14ac:dyDescent="0.3">
      <c r="FZ927" s="169"/>
      <c r="GA927" s="169"/>
      <c r="GB927" s="169"/>
      <c r="GC927" s="169"/>
      <c r="GD927" s="169"/>
      <c r="GE927" s="169"/>
      <c r="GF927" s="169"/>
      <c r="GG927" s="169"/>
      <c r="GW927" s="951"/>
    </row>
    <row r="928" spans="182:205" customFormat="1" x14ac:dyDescent="0.3">
      <c r="FZ928" s="169"/>
      <c r="GA928" s="169"/>
      <c r="GB928" s="169"/>
      <c r="GC928" s="169"/>
      <c r="GD928" s="169"/>
      <c r="GE928" s="169"/>
      <c r="GF928" s="169"/>
      <c r="GG928" s="169"/>
      <c r="GW928" s="951"/>
    </row>
    <row r="929" spans="182:205" customFormat="1" x14ac:dyDescent="0.3">
      <c r="FZ929" s="169"/>
      <c r="GA929" s="169"/>
      <c r="GB929" s="169"/>
      <c r="GC929" s="169"/>
      <c r="GD929" s="169"/>
      <c r="GE929" s="169"/>
      <c r="GF929" s="169"/>
      <c r="GG929" s="169"/>
      <c r="GW929" s="951"/>
    </row>
    <row r="930" spans="182:205" customFormat="1" x14ac:dyDescent="0.3">
      <c r="FZ930" s="169"/>
      <c r="GA930" s="169"/>
      <c r="GB930" s="169"/>
      <c r="GC930" s="169"/>
      <c r="GD930" s="169"/>
      <c r="GE930" s="169"/>
      <c r="GF930" s="169"/>
      <c r="GG930" s="169"/>
      <c r="GW930" s="951"/>
    </row>
    <row r="931" spans="182:205" customFormat="1" x14ac:dyDescent="0.3">
      <c r="FZ931" s="169"/>
      <c r="GA931" s="169"/>
      <c r="GB931" s="169"/>
      <c r="GC931" s="169"/>
      <c r="GD931" s="169"/>
      <c r="GE931" s="169"/>
      <c r="GF931" s="169"/>
      <c r="GG931" s="169"/>
      <c r="GW931" s="951"/>
    </row>
    <row r="932" spans="182:205" customFormat="1" x14ac:dyDescent="0.3">
      <c r="FZ932" s="169"/>
      <c r="GA932" s="169"/>
      <c r="GB932" s="169"/>
      <c r="GC932" s="169"/>
      <c r="GD932" s="169"/>
      <c r="GE932" s="169"/>
      <c r="GF932" s="169"/>
      <c r="GG932" s="169"/>
      <c r="GW932" s="951"/>
    </row>
    <row r="933" spans="182:205" customFormat="1" x14ac:dyDescent="0.3">
      <c r="FZ933" s="169"/>
      <c r="GA933" s="169"/>
      <c r="GB933" s="169"/>
      <c r="GC933" s="169"/>
      <c r="GD933" s="169"/>
      <c r="GE933" s="169"/>
      <c r="GF933" s="169"/>
      <c r="GG933" s="169"/>
      <c r="GW933" s="951"/>
    </row>
    <row r="934" spans="182:205" customFormat="1" x14ac:dyDescent="0.3">
      <c r="FZ934" s="169"/>
      <c r="GA934" s="169"/>
      <c r="GB934" s="169"/>
      <c r="GC934" s="169"/>
      <c r="GD934" s="169"/>
      <c r="GE934" s="169"/>
      <c r="GF934" s="169"/>
      <c r="GG934" s="169"/>
      <c r="GW934" s="951"/>
    </row>
    <row r="935" spans="182:205" customFormat="1" x14ac:dyDescent="0.3">
      <c r="FZ935" s="169"/>
      <c r="GA935" s="169"/>
      <c r="GB935" s="169"/>
      <c r="GC935" s="169"/>
      <c r="GD935" s="169"/>
      <c r="GE935" s="169"/>
      <c r="GF935" s="169"/>
      <c r="GG935" s="169"/>
      <c r="GW935" s="951"/>
    </row>
    <row r="936" spans="182:205" customFormat="1" x14ac:dyDescent="0.3">
      <c r="FZ936" s="169"/>
      <c r="GA936" s="169"/>
      <c r="GB936" s="169"/>
      <c r="GC936" s="169"/>
      <c r="GD936" s="169"/>
      <c r="GE936" s="169"/>
      <c r="GF936" s="169"/>
      <c r="GG936" s="169"/>
      <c r="GW936" s="951"/>
    </row>
    <row r="937" spans="182:205" customFormat="1" x14ac:dyDescent="0.3">
      <c r="FZ937" s="169"/>
      <c r="GA937" s="169"/>
      <c r="GB937" s="169"/>
      <c r="GC937" s="169"/>
      <c r="GD937" s="169"/>
      <c r="GE937" s="169"/>
      <c r="GF937" s="169"/>
      <c r="GG937" s="169"/>
      <c r="GW937" s="951"/>
    </row>
    <row r="938" spans="182:205" customFormat="1" x14ac:dyDescent="0.3">
      <c r="FZ938" s="169"/>
      <c r="GA938" s="169"/>
      <c r="GB938" s="169"/>
      <c r="GC938" s="169"/>
      <c r="GD938" s="169"/>
      <c r="GE938" s="169"/>
      <c r="GF938" s="169"/>
      <c r="GG938" s="169"/>
      <c r="GW938" s="951"/>
    </row>
    <row r="939" spans="182:205" customFormat="1" x14ac:dyDescent="0.3">
      <c r="FZ939" s="169"/>
      <c r="GA939" s="169"/>
      <c r="GB939" s="169"/>
      <c r="GC939" s="169"/>
      <c r="GD939" s="169"/>
      <c r="GE939" s="169"/>
      <c r="GF939" s="169"/>
      <c r="GG939" s="169"/>
      <c r="GW939" s="951"/>
    </row>
    <row r="940" spans="182:205" customFormat="1" x14ac:dyDescent="0.3">
      <c r="FZ940" s="169"/>
      <c r="GA940" s="169"/>
      <c r="GB940" s="169"/>
      <c r="GC940" s="169"/>
      <c r="GD940" s="169"/>
      <c r="GE940" s="169"/>
      <c r="GF940" s="169"/>
      <c r="GG940" s="169"/>
      <c r="GW940" s="951"/>
    </row>
    <row r="941" spans="182:205" customFormat="1" x14ac:dyDescent="0.3">
      <c r="FZ941" s="169"/>
      <c r="GA941" s="169"/>
      <c r="GB941" s="169"/>
      <c r="GC941" s="169"/>
      <c r="GD941" s="169"/>
      <c r="GE941" s="169"/>
      <c r="GF941" s="169"/>
      <c r="GG941" s="169"/>
      <c r="GW941" s="951"/>
    </row>
    <row r="942" spans="182:205" customFormat="1" x14ac:dyDescent="0.3">
      <c r="FZ942" s="169"/>
      <c r="GA942" s="169"/>
      <c r="GB942" s="169"/>
      <c r="GC942" s="169"/>
      <c r="GD942" s="169"/>
      <c r="GE942" s="169"/>
      <c r="GF942" s="169"/>
      <c r="GG942" s="169"/>
      <c r="GW942" s="951"/>
    </row>
    <row r="943" spans="182:205" customFormat="1" x14ac:dyDescent="0.3">
      <c r="FZ943" s="169"/>
      <c r="GA943" s="169"/>
      <c r="GB943" s="169"/>
      <c r="GC943" s="169"/>
      <c r="GD943" s="169"/>
      <c r="GE943" s="169"/>
      <c r="GF943" s="169"/>
      <c r="GG943" s="169"/>
      <c r="GW943" s="951"/>
    </row>
    <row r="944" spans="182:205" customFormat="1" x14ac:dyDescent="0.3">
      <c r="FZ944" s="169"/>
      <c r="GA944" s="169"/>
      <c r="GB944" s="169"/>
      <c r="GC944" s="169"/>
      <c r="GD944" s="169"/>
      <c r="GE944" s="169"/>
      <c r="GF944" s="169"/>
      <c r="GG944" s="169"/>
      <c r="GW944" s="951"/>
    </row>
    <row r="945" spans="182:205" customFormat="1" x14ac:dyDescent="0.3">
      <c r="FZ945" s="169"/>
      <c r="GA945" s="169"/>
      <c r="GB945" s="169"/>
      <c r="GC945" s="169"/>
      <c r="GD945" s="169"/>
      <c r="GE945" s="169"/>
      <c r="GF945" s="169"/>
      <c r="GG945" s="169"/>
      <c r="GW945" s="951"/>
    </row>
    <row r="946" spans="182:205" customFormat="1" x14ac:dyDescent="0.3">
      <c r="FZ946" s="169"/>
      <c r="GA946" s="169"/>
      <c r="GB946" s="169"/>
      <c r="GC946" s="169"/>
      <c r="GD946" s="169"/>
      <c r="GE946" s="169"/>
      <c r="GF946" s="169"/>
      <c r="GG946" s="169"/>
      <c r="GW946" s="951"/>
    </row>
    <row r="947" spans="182:205" customFormat="1" x14ac:dyDescent="0.3">
      <c r="FZ947" s="169"/>
      <c r="GA947" s="169"/>
      <c r="GB947" s="169"/>
      <c r="GC947" s="169"/>
      <c r="GD947" s="169"/>
      <c r="GE947" s="169"/>
      <c r="GF947" s="169"/>
      <c r="GG947" s="169"/>
      <c r="GW947" s="951"/>
    </row>
    <row r="948" spans="182:205" customFormat="1" x14ac:dyDescent="0.3">
      <c r="FZ948" s="169"/>
      <c r="GA948" s="169"/>
      <c r="GB948" s="169"/>
      <c r="GC948" s="169"/>
      <c r="GD948" s="169"/>
      <c r="GE948" s="169"/>
      <c r="GF948" s="169"/>
      <c r="GG948" s="169"/>
      <c r="GW948" s="951"/>
    </row>
    <row r="949" spans="182:205" customFormat="1" x14ac:dyDescent="0.3">
      <c r="FZ949" s="169"/>
      <c r="GA949" s="169"/>
      <c r="GB949" s="169"/>
      <c r="GC949" s="169"/>
      <c r="GD949" s="169"/>
      <c r="GE949" s="169"/>
      <c r="GF949" s="169"/>
      <c r="GG949" s="169"/>
      <c r="GW949" s="951"/>
    </row>
    <row r="950" spans="182:205" customFormat="1" x14ac:dyDescent="0.3">
      <c r="FZ950" s="169"/>
      <c r="GA950" s="169"/>
      <c r="GB950" s="169"/>
      <c r="GC950" s="169"/>
      <c r="GD950" s="169"/>
      <c r="GE950" s="169"/>
      <c r="GF950" s="169"/>
      <c r="GG950" s="169"/>
      <c r="GW950" s="951"/>
    </row>
    <row r="951" spans="182:205" customFormat="1" x14ac:dyDescent="0.3">
      <c r="FZ951" s="169"/>
      <c r="GA951" s="169"/>
      <c r="GB951" s="169"/>
      <c r="GC951" s="169"/>
      <c r="GD951" s="169"/>
      <c r="GE951" s="169"/>
      <c r="GF951" s="169"/>
      <c r="GG951" s="169"/>
      <c r="GW951" s="951"/>
    </row>
    <row r="952" spans="182:205" customFormat="1" x14ac:dyDescent="0.3">
      <c r="FZ952" s="169"/>
      <c r="GA952" s="169"/>
      <c r="GB952" s="169"/>
      <c r="GC952" s="169"/>
      <c r="GD952" s="169"/>
      <c r="GE952" s="169"/>
      <c r="GF952" s="169"/>
      <c r="GG952" s="169"/>
      <c r="GW952" s="951"/>
    </row>
    <row r="953" spans="182:205" customFormat="1" x14ac:dyDescent="0.3">
      <c r="FZ953" s="169"/>
      <c r="GA953" s="169"/>
      <c r="GB953" s="169"/>
      <c r="GC953" s="169"/>
      <c r="GD953" s="169"/>
      <c r="GE953" s="169"/>
      <c r="GF953" s="169"/>
      <c r="GG953" s="169"/>
      <c r="GW953" s="951"/>
    </row>
    <row r="954" spans="182:205" customFormat="1" x14ac:dyDescent="0.3">
      <c r="FZ954" s="169"/>
      <c r="GA954" s="169"/>
      <c r="GB954" s="169"/>
      <c r="GC954" s="169"/>
      <c r="GD954" s="169"/>
      <c r="GE954" s="169"/>
      <c r="GF954" s="169"/>
      <c r="GG954" s="169"/>
      <c r="GW954" s="951"/>
    </row>
    <row r="955" spans="182:205" customFormat="1" x14ac:dyDescent="0.3">
      <c r="FZ955" s="169"/>
      <c r="GA955" s="169"/>
      <c r="GB955" s="169"/>
      <c r="GC955" s="169"/>
      <c r="GD955" s="169"/>
      <c r="GE955" s="169"/>
      <c r="GF955" s="169"/>
      <c r="GG955" s="169"/>
      <c r="GW955" s="951"/>
    </row>
    <row r="956" spans="182:205" customFormat="1" x14ac:dyDescent="0.3">
      <c r="FZ956" s="169"/>
      <c r="GA956" s="169"/>
      <c r="GB956" s="169"/>
      <c r="GC956" s="169"/>
      <c r="GD956" s="169"/>
      <c r="GE956" s="169"/>
      <c r="GF956" s="169"/>
      <c r="GG956" s="169"/>
      <c r="GW956" s="951"/>
    </row>
    <row r="957" spans="182:205" customFormat="1" x14ac:dyDescent="0.3">
      <c r="FZ957" s="169"/>
      <c r="GA957" s="169"/>
      <c r="GB957" s="169"/>
      <c r="GC957" s="169"/>
      <c r="GD957" s="169"/>
      <c r="GE957" s="169"/>
      <c r="GF957" s="169"/>
      <c r="GG957" s="169"/>
      <c r="GW957" s="951"/>
    </row>
    <row r="958" spans="182:205" customFormat="1" x14ac:dyDescent="0.3">
      <c r="FZ958" s="169"/>
      <c r="GA958" s="169"/>
      <c r="GB958" s="169"/>
      <c r="GC958" s="169"/>
      <c r="GD958" s="169"/>
      <c r="GE958" s="169"/>
      <c r="GF958" s="169"/>
      <c r="GG958" s="169"/>
      <c r="GW958" s="951"/>
    </row>
    <row r="959" spans="182:205" customFormat="1" x14ac:dyDescent="0.3">
      <c r="FZ959" s="169"/>
      <c r="GA959" s="169"/>
      <c r="GB959" s="169"/>
      <c r="GC959" s="169"/>
      <c r="GD959" s="169"/>
      <c r="GE959" s="169"/>
      <c r="GF959" s="169"/>
      <c r="GG959" s="169"/>
      <c r="GW959" s="951"/>
    </row>
    <row r="960" spans="182:205" customFormat="1" x14ac:dyDescent="0.3">
      <c r="FZ960" s="169"/>
      <c r="GA960" s="169"/>
      <c r="GB960" s="169"/>
      <c r="GC960" s="169"/>
      <c r="GD960" s="169"/>
      <c r="GE960" s="169"/>
      <c r="GF960" s="169"/>
      <c r="GG960" s="169"/>
      <c r="GW960" s="951"/>
    </row>
    <row r="961" spans="182:205" customFormat="1" x14ac:dyDescent="0.3">
      <c r="FZ961" s="169"/>
      <c r="GA961" s="169"/>
      <c r="GB961" s="169"/>
      <c r="GC961" s="169"/>
      <c r="GD961" s="169"/>
      <c r="GE961" s="169"/>
      <c r="GF961" s="169"/>
      <c r="GG961" s="169"/>
      <c r="GW961" s="951"/>
    </row>
    <row r="962" spans="182:205" customFormat="1" x14ac:dyDescent="0.3">
      <c r="FZ962" s="169"/>
      <c r="GA962" s="169"/>
      <c r="GB962" s="169"/>
      <c r="GC962" s="169"/>
      <c r="GD962" s="169"/>
      <c r="GE962" s="169"/>
      <c r="GF962" s="169"/>
      <c r="GG962" s="169"/>
      <c r="GW962" s="951"/>
    </row>
    <row r="963" spans="182:205" customFormat="1" x14ac:dyDescent="0.3">
      <c r="FZ963" s="169"/>
      <c r="GA963" s="169"/>
      <c r="GB963" s="169"/>
      <c r="GC963" s="169"/>
      <c r="GD963" s="169"/>
      <c r="GE963" s="169"/>
      <c r="GF963" s="169"/>
      <c r="GG963" s="169"/>
      <c r="GW963" s="951"/>
    </row>
    <row r="964" spans="182:205" customFormat="1" x14ac:dyDescent="0.3">
      <c r="FZ964" s="169"/>
      <c r="GA964" s="169"/>
      <c r="GB964" s="169"/>
      <c r="GC964" s="169"/>
      <c r="GD964" s="169"/>
      <c r="GE964" s="169"/>
      <c r="GF964" s="169"/>
      <c r="GG964" s="169"/>
      <c r="GW964" s="951"/>
    </row>
    <row r="965" spans="182:205" customFormat="1" x14ac:dyDescent="0.3">
      <c r="FZ965" s="169"/>
      <c r="GA965" s="169"/>
      <c r="GB965" s="169"/>
      <c r="GC965" s="169"/>
      <c r="GD965" s="169"/>
      <c r="GE965" s="169"/>
      <c r="GF965" s="169"/>
      <c r="GG965" s="169"/>
      <c r="GW965" s="951"/>
    </row>
    <row r="966" spans="182:205" customFormat="1" x14ac:dyDescent="0.3">
      <c r="FZ966" s="169"/>
      <c r="GA966" s="169"/>
      <c r="GB966" s="169"/>
      <c r="GC966" s="169"/>
      <c r="GD966" s="169"/>
      <c r="GE966" s="169"/>
      <c r="GF966" s="169"/>
      <c r="GG966" s="169"/>
      <c r="GW966" s="951"/>
    </row>
    <row r="967" spans="182:205" customFormat="1" x14ac:dyDescent="0.3">
      <c r="FZ967" s="169"/>
      <c r="GA967" s="169"/>
      <c r="GB967" s="169"/>
      <c r="GC967" s="169"/>
      <c r="GD967" s="169"/>
      <c r="GE967" s="169"/>
      <c r="GF967" s="169"/>
      <c r="GG967" s="169"/>
      <c r="GW967" s="951"/>
    </row>
    <row r="968" spans="182:205" customFormat="1" x14ac:dyDescent="0.3">
      <c r="FZ968" s="169"/>
      <c r="GA968" s="169"/>
      <c r="GB968" s="169"/>
      <c r="GC968" s="169"/>
      <c r="GD968" s="169"/>
      <c r="GE968" s="169"/>
      <c r="GF968" s="169"/>
      <c r="GG968" s="169"/>
      <c r="GW968" s="951"/>
    </row>
    <row r="969" spans="182:205" customFormat="1" x14ac:dyDescent="0.3">
      <c r="FZ969" s="169"/>
      <c r="GA969" s="169"/>
      <c r="GB969" s="169"/>
      <c r="GC969" s="169"/>
      <c r="GD969" s="169"/>
      <c r="GE969" s="169"/>
      <c r="GF969" s="169"/>
      <c r="GG969" s="169"/>
      <c r="GW969" s="951"/>
    </row>
    <row r="970" spans="182:205" customFormat="1" x14ac:dyDescent="0.3">
      <c r="FZ970" s="169"/>
      <c r="GA970" s="169"/>
      <c r="GB970" s="169"/>
      <c r="GC970" s="169"/>
      <c r="GD970" s="169"/>
      <c r="GE970" s="169"/>
      <c r="GF970" s="169"/>
      <c r="GG970" s="169"/>
      <c r="GW970" s="951"/>
    </row>
    <row r="971" spans="182:205" customFormat="1" x14ac:dyDescent="0.3">
      <c r="FZ971" s="169"/>
      <c r="GA971" s="169"/>
      <c r="GB971" s="169"/>
      <c r="GC971" s="169"/>
      <c r="GD971" s="169"/>
      <c r="GE971" s="169"/>
      <c r="GF971" s="169"/>
      <c r="GG971" s="169"/>
      <c r="GW971" s="951"/>
    </row>
    <row r="972" spans="182:205" customFormat="1" x14ac:dyDescent="0.3">
      <c r="FZ972" s="169"/>
      <c r="GA972" s="169"/>
      <c r="GB972" s="169"/>
      <c r="GC972" s="169"/>
      <c r="GD972" s="169"/>
      <c r="GE972" s="169"/>
      <c r="GF972" s="169"/>
      <c r="GG972" s="169"/>
      <c r="GW972" s="951"/>
    </row>
    <row r="973" spans="182:205" customFormat="1" x14ac:dyDescent="0.3">
      <c r="FZ973" s="169"/>
      <c r="GA973" s="169"/>
      <c r="GB973" s="169"/>
      <c r="GC973" s="169"/>
      <c r="GD973" s="169"/>
      <c r="GE973" s="169"/>
      <c r="GF973" s="169"/>
      <c r="GG973" s="169"/>
      <c r="GW973" s="951"/>
    </row>
    <row r="974" spans="182:205" customFormat="1" x14ac:dyDescent="0.3">
      <c r="FZ974" s="169"/>
      <c r="GA974" s="169"/>
      <c r="GB974" s="169"/>
      <c r="GC974" s="169"/>
      <c r="GD974" s="169"/>
      <c r="GE974" s="169"/>
      <c r="GF974" s="169"/>
      <c r="GG974" s="169"/>
      <c r="GW974" s="951"/>
    </row>
    <row r="975" spans="182:205" customFormat="1" x14ac:dyDescent="0.3">
      <c r="FZ975" s="169"/>
      <c r="GA975" s="169"/>
      <c r="GB975" s="169"/>
      <c r="GC975" s="169"/>
      <c r="GD975" s="169"/>
      <c r="GE975" s="169"/>
      <c r="GF975" s="169"/>
      <c r="GG975" s="169"/>
      <c r="GW975" s="951"/>
    </row>
    <row r="976" spans="182:205" customFormat="1" x14ac:dyDescent="0.3">
      <c r="FZ976" s="169"/>
      <c r="GA976" s="169"/>
      <c r="GB976" s="169"/>
      <c r="GC976" s="169"/>
      <c r="GD976" s="169"/>
      <c r="GE976" s="169"/>
      <c r="GF976" s="169"/>
      <c r="GG976" s="169"/>
      <c r="GW976" s="951"/>
    </row>
    <row r="977" spans="182:205" customFormat="1" x14ac:dyDescent="0.3">
      <c r="FZ977" s="169"/>
      <c r="GA977" s="169"/>
      <c r="GB977" s="169"/>
      <c r="GC977" s="169"/>
      <c r="GD977" s="169"/>
      <c r="GE977" s="169"/>
      <c r="GF977" s="169"/>
      <c r="GG977" s="169"/>
      <c r="GW977" s="951"/>
    </row>
    <row r="978" spans="182:205" customFormat="1" x14ac:dyDescent="0.3">
      <c r="FZ978" s="169"/>
      <c r="GA978" s="169"/>
      <c r="GB978" s="169"/>
      <c r="GC978" s="169"/>
      <c r="GD978" s="169"/>
      <c r="GE978" s="169"/>
      <c r="GF978" s="169"/>
      <c r="GG978" s="169"/>
      <c r="GW978" s="951"/>
    </row>
    <row r="979" spans="182:205" customFormat="1" x14ac:dyDescent="0.3">
      <c r="FZ979" s="169"/>
      <c r="GA979" s="169"/>
      <c r="GB979" s="169"/>
      <c r="GC979" s="169"/>
      <c r="GD979" s="169"/>
      <c r="GE979" s="169"/>
      <c r="GF979" s="169"/>
      <c r="GG979" s="169"/>
      <c r="GW979" s="951"/>
    </row>
    <row r="980" spans="182:205" customFormat="1" x14ac:dyDescent="0.3">
      <c r="FZ980" s="169"/>
      <c r="GA980" s="169"/>
      <c r="GB980" s="169"/>
      <c r="GC980" s="169"/>
      <c r="GD980" s="169"/>
      <c r="GE980" s="169"/>
      <c r="GF980" s="169"/>
      <c r="GG980" s="169"/>
      <c r="GW980" s="951"/>
    </row>
    <row r="981" spans="182:205" customFormat="1" x14ac:dyDescent="0.3">
      <c r="FZ981" s="169"/>
      <c r="GA981" s="169"/>
      <c r="GB981" s="169"/>
      <c r="GC981" s="169"/>
      <c r="GD981" s="169"/>
      <c r="GE981" s="169"/>
      <c r="GF981" s="169"/>
      <c r="GG981" s="169"/>
      <c r="GW981" s="951"/>
    </row>
    <row r="982" spans="182:205" customFormat="1" x14ac:dyDescent="0.3">
      <c r="FZ982" s="169"/>
      <c r="GA982" s="169"/>
      <c r="GB982" s="169"/>
      <c r="GC982" s="169"/>
      <c r="GD982" s="169"/>
      <c r="GE982" s="169"/>
      <c r="GF982" s="169"/>
      <c r="GG982" s="169"/>
      <c r="GW982" s="951"/>
    </row>
    <row r="983" spans="182:205" customFormat="1" x14ac:dyDescent="0.3">
      <c r="FZ983" s="169"/>
      <c r="GA983" s="169"/>
      <c r="GB983" s="169"/>
      <c r="GC983" s="169"/>
      <c r="GD983" s="169"/>
      <c r="GE983" s="169"/>
      <c r="GF983" s="169"/>
      <c r="GG983" s="169"/>
      <c r="GW983" s="951"/>
    </row>
    <row r="984" spans="182:205" customFormat="1" x14ac:dyDescent="0.3">
      <c r="FZ984" s="169"/>
      <c r="GA984" s="169"/>
      <c r="GB984" s="169"/>
      <c r="GC984" s="169"/>
      <c r="GD984" s="169"/>
      <c r="GE984" s="169"/>
      <c r="GF984" s="169"/>
      <c r="GG984" s="169"/>
      <c r="GW984" s="951"/>
    </row>
    <row r="985" spans="182:205" customFormat="1" x14ac:dyDescent="0.3">
      <c r="FZ985" s="169"/>
      <c r="GA985" s="169"/>
      <c r="GB985" s="169"/>
      <c r="GC985" s="169"/>
      <c r="GD985" s="169"/>
      <c r="GE985" s="169"/>
      <c r="GF985" s="169"/>
      <c r="GG985" s="169"/>
      <c r="GW985" s="951"/>
    </row>
    <row r="986" spans="182:205" customFormat="1" x14ac:dyDescent="0.3">
      <c r="FZ986" s="169"/>
      <c r="GA986" s="169"/>
      <c r="GB986" s="169"/>
      <c r="GC986" s="169"/>
      <c r="GD986" s="169"/>
      <c r="GE986" s="169"/>
      <c r="GF986" s="169"/>
      <c r="GG986" s="169"/>
      <c r="GW986" s="951"/>
    </row>
    <row r="987" spans="182:205" customFormat="1" x14ac:dyDescent="0.3">
      <c r="FZ987" s="169"/>
      <c r="GA987" s="169"/>
      <c r="GB987" s="169"/>
      <c r="GC987" s="169"/>
      <c r="GD987" s="169"/>
      <c r="GE987" s="169"/>
      <c r="GF987" s="169"/>
      <c r="GG987" s="169"/>
      <c r="GW987" s="951"/>
    </row>
    <row r="988" spans="182:205" customFormat="1" x14ac:dyDescent="0.3">
      <c r="FZ988" s="169"/>
      <c r="GA988" s="169"/>
      <c r="GB988" s="169"/>
      <c r="GC988" s="169"/>
      <c r="GD988" s="169"/>
      <c r="GE988" s="169"/>
      <c r="GF988" s="169"/>
      <c r="GG988" s="169"/>
      <c r="GW988" s="951"/>
    </row>
    <row r="989" spans="182:205" customFormat="1" x14ac:dyDescent="0.3">
      <c r="FZ989" s="169"/>
      <c r="GA989" s="169"/>
      <c r="GB989" s="169"/>
      <c r="GC989" s="169"/>
      <c r="GD989" s="169"/>
      <c r="GE989" s="169"/>
      <c r="GF989" s="169"/>
      <c r="GG989" s="169"/>
      <c r="GW989" s="951"/>
    </row>
    <row r="990" spans="182:205" customFormat="1" x14ac:dyDescent="0.3">
      <c r="FZ990" s="169"/>
      <c r="GA990" s="169"/>
      <c r="GB990" s="169"/>
      <c r="GC990" s="169"/>
      <c r="GD990" s="169"/>
      <c r="GE990" s="169"/>
      <c r="GF990" s="169"/>
      <c r="GG990" s="169"/>
      <c r="GW990" s="951"/>
    </row>
    <row r="991" spans="182:205" customFormat="1" x14ac:dyDescent="0.3">
      <c r="FZ991" s="169"/>
      <c r="GA991" s="169"/>
      <c r="GB991" s="169"/>
      <c r="GC991" s="169"/>
      <c r="GD991" s="169"/>
      <c r="GE991" s="169"/>
      <c r="GF991" s="169"/>
      <c r="GG991" s="169"/>
      <c r="GW991" s="951"/>
    </row>
    <row r="992" spans="182:205" customFormat="1" x14ac:dyDescent="0.3">
      <c r="FZ992" s="169"/>
      <c r="GA992" s="169"/>
      <c r="GB992" s="169"/>
      <c r="GC992" s="169"/>
      <c r="GD992" s="169"/>
      <c r="GE992" s="169"/>
      <c r="GF992" s="169"/>
      <c r="GG992" s="169"/>
      <c r="GW992" s="951"/>
    </row>
    <row r="993" spans="182:205" customFormat="1" x14ac:dyDescent="0.3">
      <c r="FZ993" s="169"/>
      <c r="GA993" s="169"/>
      <c r="GB993" s="169"/>
      <c r="GC993" s="169"/>
      <c r="GD993" s="169"/>
      <c r="GE993" s="169"/>
      <c r="GF993" s="169"/>
      <c r="GG993" s="169"/>
      <c r="GW993" s="951"/>
    </row>
    <row r="994" spans="182:205" customFormat="1" x14ac:dyDescent="0.3">
      <c r="FZ994" s="169"/>
      <c r="GA994" s="169"/>
      <c r="GB994" s="169"/>
      <c r="GC994" s="169"/>
      <c r="GD994" s="169"/>
      <c r="GE994" s="169"/>
      <c r="GF994" s="169"/>
      <c r="GG994" s="169"/>
      <c r="GW994" s="951"/>
    </row>
    <row r="995" spans="182:205" customFormat="1" x14ac:dyDescent="0.3">
      <c r="FZ995" s="169"/>
      <c r="GA995" s="169"/>
      <c r="GB995" s="169"/>
      <c r="GC995" s="169"/>
      <c r="GD995" s="169"/>
      <c r="GE995" s="169"/>
      <c r="GF995" s="169"/>
      <c r="GG995" s="169"/>
      <c r="GW995" s="951"/>
    </row>
    <row r="996" spans="182:205" customFormat="1" x14ac:dyDescent="0.3">
      <c r="FZ996" s="169"/>
      <c r="GA996" s="169"/>
      <c r="GB996" s="169"/>
      <c r="GC996" s="169"/>
      <c r="GD996" s="169"/>
      <c r="GE996" s="169"/>
      <c r="GF996" s="169"/>
      <c r="GG996" s="169"/>
      <c r="GW996" s="951"/>
    </row>
    <row r="997" spans="182:205" customFormat="1" x14ac:dyDescent="0.3">
      <c r="FZ997" s="169"/>
      <c r="GA997" s="169"/>
      <c r="GB997" s="169"/>
      <c r="GC997" s="169"/>
      <c r="GD997" s="169"/>
      <c r="GE997" s="169"/>
      <c r="GF997" s="169"/>
      <c r="GG997" s="169"/>
      <c r="GW997" s="951"/>
    </row>
    <row r="998" spans="182:205" customFormat="1" x14ac:dyDescent="0.3">
      <c r="FZ998" s="169"/>
      <c r="GA998" s="169"/>
      <c r="GB998" s="169"/>
      <c r="GC998" s="169"/>
      <c r="GD998" s="169"/>
      <c r="GE998" s="169"/>
      <c r="GF998" s="169"/>
      <c r="GG998" s="169"/>
      <c r="GW998" s="951"/>
    </row>
    <row r="999" spans="182:205" customFormat="1" x14ac:dyDescent="0.3">
      <c r="FZ999" s="169"/>
      <c r="GA999" s="169"/>
      <c r="GB999" s="169"/>
      <c r="GC999" s="169"/>
      <c r="GD999" s="169"/>
      <c r="GE999" s="169"/>
      <c r="GF999" s="169"/>
      <c r="GG999" s="169"/>
      <c r="GW999" s="951"/>
    </row>
    <row r="1000" spans="182:205" customFormat="1" x14ac:dyDescent="0.3">
      <c r="FZ1000" s="169"/>
      <c r="GA1000" s="169"/>
      <c r="GB1000" s="169"/>
      <c r="GC1000" s="169"/>
      <c r="GD1000" s="169"/>
      <c r="GE1000" s="169"/>
      <c r="GF1000" s="169"/>
      <c r="GG1000" s="169"/>
      <c r="GW1000" s="951"/>
    </row>
    <row r="1001" spans="182:205" customFormat="1" x14ac:dyDescent="0.3">
      <c r="FZ1001" s="169"/>
      <c r="GA1001" s="169"/>
      <c r="GB1001" s="169"/>
      <c r="GC1001" s="169"/>
      <c r="GD1001" s="169"/>
      <c r="GE1001" s="169"/>
      <c r="GF1001" s="169"/>
      <c r="GG1001" s="169"/>
      <c r="GW1001" s="951"/>
    </row>
    <row r="1002" spans="182:205" customFormat="1" x14ac:dyDescent="0.3">
      <c r="FZ1002" s="169"/>
      <c r="GA1002" s="169"/>
      <c r="GB1002" s="169"/>
      <c r="GC1002" s="169"/>
      <c r="GD1002" s="169"/>
      <c r="GE1002" s="169"/>
      <c r="GF1002" s="169"/>
      <c r="GG1002" s="169"/>
      <c r="GW1002" s="951"/>
    </row>
    <row r="1003" spans="182:205" customFormat="1" x14ac:dyDescent="0.3">
      <c r="FZ1003" s="169"/>
      <c r="GA1003" s="169"/>
      <c r="GB1003" s="169"/>
      <c r="GC1003" s="169"/>
      <c r="GD1003" s="169"/>
      <c r="GE1003" s="169"/>
      <c r="GF1003" s="169"/>
      <c r="GG1003" s="169"/>
      <c r="GW1003" s="951"/>
    </row>
    <row r="1004" spans="182:205" customFormat="1" x14ac:dyDescent="0.3">
      <c r="FZ1004" s="169"/>
      <c r="GA1004" s="169"/>
      <c r="GB1004" s="169"/>
      <c r="GC1004" s="169"/>
      <c r="GD1004" s="169"/>
      <c r="GE1004" s="169"/>
      <c r="GF1004" s="169"/>
      <c r="GG1004" s="169"/>
      <c r="GW1004" s="951"/>
    </row>
    <row r="1005" spans="182:205" customFormat="1" x14ac:dyDescent="0.3">
      <c r="FZ1005" s="169"/>
      <c r="GA1005" s="169"/>
      <c r="GB1005" s="169"/>
      <c r="GC1005" s="169"/>
      <c r="GD1005" s="169"/>
      <c r="GE1005" s="169"/>
      <c r="GF1005" s="169"/>
      <c r="GG1005" s="169"/>
      <c r="GW1005" s="951"/>
    </row>
    <row r="1006" spans="182:205" customFormat="1" x14ac:dyDescent="0.3">
      <c r="FZ1006" s="169"/>
      <c r="GA1006" s="169"/>
      <c r="GB1006" s="169"/>
      <c r="GC1006" s="169"/>
      <c r="GD1006" s="169"/>
      <c r="GE1006" s="169"/>
      <c r="GF1006" s="169"/>
      <c r="GG1006" s="169"/>
      <c r="GW1006" s="951"/>
    </row>
    <row r="1007" spans="182:205" customFormat="1" x14ac:dyDescent="0.3">
      <c r="FZ1007" s="169"/>
      <c r="GA1007" s="169"/>
      <c r="GB1007" s="169"/>
      <c r="GC1007" s="169"/>
      <c r="GD1007" s="169"/>
      <c r="GE1007" s="169"/>
      <c r="GF1007" s="169"/>
      <c r="GG1007" s="169"/>
      <c r="GW1007" s="951"/>
    </row>
    <row r="1008" spans="182:205" customFormat="1" x14ac:dyDescent="0.3">
      <c r="FZ1008" s="169"/>
      <c r="GA1008" s="169"/>
      <c r="GB1008" s="169"/>
      <c r="GC1008" s="169"/>
      <c r="GD1008" s="169"/>
      <c r="GE1008" s="169"/>
      <c r="GF1008" s="169"/>
      <c r="GG1008" s="169"/>
      <c r="GW1008" s="951"/>
    </row>
    <row r="1009" spans="182:205" customFormat="1" x14ac:dyDescent="0.3">
      <c r="FZ1009" s="169"/>
      <c r="GA1009" s="169"/>
      <c r="GB1009" s="169"/>
      <c r="GC1009" s="169"/>
      <c r="GD1009" s="169"/>
      <c r="GE1009" s="169"/>
      <c r="GF1009" s="169"/>
      <c r="GG1009" s="169"/>
      <c r="GW1009" s="951"/>
    </row>
    <row r="1010" spans="182:205" customFormat="1" x14ac:dyDescent="0.3">
      <c r="FZ1010" s="169"/>
      <c r="GA1010" s="169"/>
      <c r="GB1010" s="169"/>
      <c r="GC1010" s="169"/>
      <c r="GD1010" s="169"/>
      <c r="GE1010" s="169"/>
      <c r="GF1010" s="169"/>
      <c r="GG1010" s="169"/>
      <c r="GW1010" s="951"/>
    </row>
    <row r="1011" spans="182:205" customFormat="1" x14ac:dyDescent="0.3">
      <c r="FZ1011" s="169"/>
      <c r="GA1011" s="169"/>
      <c r="GB1011" s="169"/>
      <c r="GC1011" s="169"/>
      <c r="GD1011" s="169"/>
      <c r="GE1011" s="169"/>
      <c r="GF1011" s="169"/>
      <c r="GG1011" s="169"/>
      <c r="GW1011" s="951"/>
    </row>
    <row r="1012" spans="182:205" customFormat="1" x14ac:dyDescent="0.3">
      <c r="FZ1012" s="169"/>
      <c r="GA1012" s="169"/>
      <c r="GB1012" s="169"/>
      <c r="GC1012" s="169"/>
      <c r="GD1012" s="169"/>
      <c r="GE1012" s="169"/>
      <c r="GF1012" s="169"/>
      <c r="GG1012" s="169"/>
      <c r="GW1012" s="951"/>
    </row>
    <row r="1013" spans="182:205" customFormat="1" x14ac:dyDescent="0.3">
      <c r="FZ1013" s="169"/>
      <c r="GA1013" s="169"/>
      <c r="GB1013" s="169"/>
      <c r="GC1013" s="169"/>
      <c r="GD1013" s="169"/>
      <c r="GE1013" s="169"/>
      <c r="GF1013" s="169"/>
      <c r="GG1013" s="169"/>
      <c r="GW1013" s="951"/>
    </row>
    <row r="1014" spans="182:205" customFormat="1" x14ac:dyDescent="0.3">
      <c r="FZ1014" s="169"/>
      <c r="GA1014" s="169"/>
      <c r="GB1014" s="169"/>
      <c r="GC1014" s="169"/>
      <c r="GD1014" s="169"/>
      <c r="GE1014" s="169"/>
      <c r="GF1014" s="169"/>
      <c r="GG1014" s="169"/>
      <c r="GW1014" s="951"/>
    </row>
    <row r="1015" spans="182:205" customFormat="1" x14ac:dyDescent="0.3">
      <c r="FZ1015" s="169"/>
      <c r="GA1015" s="169"/>
      <c r="GB1015" s="169"/>
      <c r="GC1015" s="169"/>
      <c r="GD1015" s="169"/>
      <c r="GE1015" s="169"/>
      <c r="GF1015" s="169"/>
      <c r="GG1015" s="169"/>
      <c r="GW1015" s="951"/>
    </row>
    <row r="1016" spans="182:205" customFormat="1" x14ac:dyDescent="0.3">
      <c r="FZ1016" s="169"/>
      <c r="GA1016" s="169"/>
      <c r="GB1016" s="169"/>
      <c r="GC1016" s="169"/>
      <c r="GD1016" s="169"/>
      <c r="GE1016" s="169"/>
      <c r="GF1016" s="169"/>
      <c r="GG1016" s="169"/>
      <c r="GW1016" s="951"/>
    </row>
    <row r="1017" spans="182:205" customFormat="1" x14ac:dyDescent="0.3">
      <c r="FZ1017" s="169"/>
      <c r="GA1017" s="169"/>
      <c r="GB1017" s="169"/>
      <c r="GC1017" s="169"/>
      <c r="GD1017" s="169"/>
      <c r="GE1017" s="169"/>
      <c r="GF1017" s="169"/>
      <c r="GG1017" s="169"/>
      <c r="GW1017" s="951"/>
    </row>
    <row r="1018" spans="182:205" customFormat="1" x14ac:dyDescent="0.3">
      <c r="FZ1018" s="169"/>
      <c r="GA1018" s="169"/>
      <c r="GB1018" s="169"/>
      <c r="GC1018" s="169"/>
      <c r="GD1018" s="169"/>
      <c r="GE1018" s="169"/>
      <c r="GF1018" s="169"/>
      <c r="GG1018" s="169"/>
      <c r="GW1018" s="951"/>
    </row>
    <row r="1019" spans="182:205" customFormat="1" x14ac:dyDescent="0.3">
      <c r="FZ1019" s="169"/>
      <c r="GA1019" s="169"/>
      <c r="GB1019" s="169"/>
      <c r="GC1019" s="169"/>
      <c r="GD1019" s="169"/>
      <c r="GE1019" s="169"/>
      <c r="GF1019" s="169"/>
      <c r="GG1019" s="169"/>
      <c r="GW1019" s="951"/>
    </row>
    <row r="1020" spans="182:205" customFormat="1" x14ac:dyDescent="0.3">
      <c r="FZ1020" s="169"/>
      <c r="GA1020" s="169"/>
      <c r="GB1020" s="169"/>
      <c r="GC1020" s="169"/>
      <c r="GD1020" s="169"/>
      <c r="GE1020" s="169"/>
      <c r="GF1020" s="169"/>
      <c r="GG1020" s="169"/>
      <c r="GW1020" s="951"/>
    </row>
    <row r="1021" spans="182:205" customFormat="1" x14ac:dyDescent="0.3">
      <c r="FZ1021" s="169"/>
      <c r="GA1021" s="169"/>
      <c r="GB1021" s="169"/>
      <c r="GC1021" s="169"/>
      <c r="GD1021" s="169"/>
      <c r="GE1021" s="169"/>
      <c r="GF1021" s="169"/>
      <c r="GG1021" s="169"/>
      <c r="GW1021" s="951"/>
    </row>
    <row r="1022" spans="182:205" customFormat="1" x14ac:dyDescent="0.3">
      <c r="FZ1022" s="169"/>
      <c r="GA1022" s="169"/>
      <c r="GB1022" s="169"/>
      <c r="GC1022" s="169"/>
      <c r="GD1022" s="169"/>
      <c r="GE1022" s="169"/>
      <c r="GF1022" s="169"/>
      <c r="GG1022" s="169"/>
      <c r="GW1022" s="951"/>
    </row>
    <row r="1023" spans="182:205" customFormat="1" x14ac:dyDescent="0.3">
      <c r="FZ1023" s="169"/>
      <c r="GA1023" s="169"/>
      <c r="GB1023" s="169"/>
      <c r="GC1023" s="169"/>
      <c r="GD1023" s="169"/>
      <c r="GE1023" s="169"/>
      <c r="GF1023" s="169"/>
      <c r="GG1023" s="169"/>
      <c r="GW1023" s="951"/>
    </row>
    <row r="1024" spans="182:205" customFormat="1" x14ac:dyDescent="0.3">
      <c r="FZ1024" s="169"/>
      <c r="GA1024" s="169"/>
      <c r="GB1024" s="169"/>
      <c r="GC1024" s="169"/>
      <c r="GD1024" s="169"/>
      <c r="GE1024" s="169"/>
      <c r="GF1024" s="169"/>
      <c r="GG1024" s="169"/>
      <c r="GW1024" s="951"/>
    </row>
    <row r="1025" spans="182:205" customFormat="1" x14ac:dyDescent="0.3">
      <c r="FZ1025" s="169"/>
      <c r="GA1025" s="169"/>
      <c r="GB1025" s="169"/>
      <c r="GC1025" s="169"/>
      <c r="GD1025" s="169"/>
      <c r="GE1025" s="169"/>
      <c r="GF1025" s="169"/>
      <c r="GG1025" s="169"/>
      <c r="GW1025" s="951"/>
    </row>
    <row r="1026" spans="182:205" customFormat="1" x14ac:dyDescent="0.3">
      <c r="FZ1026" s="169"/>
      <c r="GA1026" s="169"/>
      <c r="GB1026" s="169"/>
      <c r="GC1026" s="169"/>
      <c r="GD1026" s="169"/>
      <c r="GE1026" s="169"/>
      <c r="GF1026" s="169"/>
      <c r="GG1026" s="169"/>
      <c r="GW1026" s="951"/>
    </row>
    <row r="1027" spans="182:205" customFormat="1" x14ac:dyDescent="0.3">
      <c r="FZ1027" s="169"/>
      <c r="GA1027" s="169"/>
      <c r="GB1027" s="169"/>
      <c r="GC1027" s="169"/>
      <c r="GD1027" s="169"/>
      <c r="GE1027" s="169"/>
      <c r="GF1027" s="169"/>
      <c r="GG1027" s="169"/>
      <c r="GW1027" s="951"/>
    </row>
    <row r="1028" spans="182:205" customFormat="1" x14ac:dyDescent="0.3">
      <c r="FZ1028" s="169"/>
      <c r="GA1028" s="169"/>
      <c r="GB1028" s="169"/>
      <c r="GC1028" s="169"/>
      <c r="GD1028" s="169"/>
      <c r="GE1028" s="169"/>
      <c r="GF1028" s="169"/>
      <c r="GG1028" s="169"/>
      <c r="GW1028" s="951"/>
    </row>
    <row r="1029" spans="182:205" customFormat="1" x14ac:dyDescent="0.3">
      <c r="FZ1029" s="169"/>
      <c r="GA1029" s="169"/>
      <c r="GB1029" s="169"/>
      <c r="GC1029" s="169"/>
      <c r="GD1029" s="169"/>
      <c r="GE1029" s="169"/>
      <c r="GF1029" s="169"/>
      <c r="GG1029" s="169"/>
      <c r="GW1029" s="951"/>
    </row>
    <row r="1030" spans="182:205" customFormat="1" x14ac:dyDescent="0.3">
      <c r="FZ1030" s="169"/>
      <c r="GA1030" s="169"/>
      <c r="GB1030" s="169"/>
      <c r="GC1030" s="169"/>
      <c r="GD1030" s="169"/>
      <c r="GE1030" s="169"/>
      <c r="GF1030" s="169"/>
      <c r="GG1030" s="169"/>
      <c r="GW1030" s="951"/>
    </row>
    <row r="1031" spans="182:205" customFormat="1" x14ac:dyDescent="0.3">
      <c r="FZ1031" s="169"/>
      <c r="GA1031" s="169"/>
      <c r="GB1031" s="169"/>
      <c r="GC1031" s="169"/>
      <c r="GD1031" s="169"/>
      <c r="GE1031" s="169"/>
      <c r="GF1031" s="169"/>
      <c r="GG1031" s="169"/>
      <c r="GW1031" s="951"/>
    </row>
    <row r="1032" spans="182:205" customFormat="1" x14ac:dyDescent="0.3">
      <c r="FZ1032" s="169"/>
      <c r="GA1032" s="169"/>
      <c r="GB1032" s="169"/>
      <c r="GC1032" s="169"/>
      <c r="GD1032" s="169"/>
      <c r="GE1032" s="169"/>
      <c r="GF1032" s="169"/>
      <c r="GG1032" s="169"/>
      <c r="GW1032" s="951"/>
    </row>
    <row r="1033" spans="182:205" customFormat="1" x14ac:dyDescent="0.3">
      <c r="FZ1033" s="169"/>
      <c r="GA1033" s="169"/>
      <c r="GB1033" s="169"/>
      <c r="GC1033" s="169"/>
      <c r="GD1033" s="169"/>
      <c r="GE1033" s="169"/>
      <c r="GF1033" s="169"/>
      <c r="GG1033" s="169"/>
      <c r="GW1033" s="951"/>
    </row>
    <row r="1034" spans="182:205" customFormat="1" x14ac:dyDescent="0.3">
      <c r="FZ1034" s="169"/>
      <c r="GA1034" s="169"/>
      <c r="GB1034" s="169"/>
      <c r="GC1034" s="169"/>
      <c r="GD1034" s="169"/>
      <c r="GE1034" s="169"/>
      <c r="GF1034" s="169"/>
      <c r="GG1034" s="169"/>
      <c r="GW1034" s="951"/>
    </row>
    <row r="1035" spans="182:205" customFormat="1" x14ac:dyDescent="0.3">
      <c r="FZ1035" s="169"/>
      <c r="GA1035" s="169"/>
      <c r="GB1035" s="169"/>
      <c r="GC1035" s="169"/>
      <c r="GD1035" s="169"/>
      <c r="GE1035" s="169"/>
      <c r="GF1035" s="169"/>
      <c r="GG1035" s="169"/>
      <c r="GW1035" s="951"/>
    </row>
    <row r="1036" spans="182:205" customFormat="1" x14ac:dyDescent="0.3">
      <c r="FZ1036" s="169"/>
      <c r="GA1036" s="169"/>
      <c r="GB1036" s="169"/>
      <c r="GC1036" s="169"/>
      <c r="GD1036" s="169"/>
      <c r="GE1036" s="169"/>
      <c r="GF1036" s="169"/>
      <c r="GG1036" s="169"/>
      <c r="GW1036" s="951"/>
    </row>
    <row r="1037" spans="182:205" customFormat="1" x14ac:dyDescent="0.3">
      <c r="FZ1037" s="169"/>
      <c r="GA1037" s="169"/>
      <c r="GB1037" s="169"/>
      <c r="GC1037" s="169"/>
      <c r="GD1037" s="169"/>
      <c r="GE1037" s="169"/>
      <c r="GF1037" s="169"/>
      <c r="GG1037" s="169"/>
      <c r="GW1037" s="951"/>
    </row>
    <row r="1038" spans="182:205" customFormat="1" x14ac:dyDescent="0.3">
      <c r="FZ1038" s="169"/>
      <c r="GA1038" s="169"/>
      <c r="GB1038" s="169"/>
      <c r="GC1038" s="169"/>
      <c r="GD1038" s="169"/>
      <c r="GE1038" s="169"/>
      <c r="GF1038" s="169"/>
      <c r="GG1038" s="169"/>
      <c r="GW1038" s="951"/>
    </row>
    <row r="1039" spans="182:205" customFormat="1" x14ac:dyDescent="0.3">
      <c r="FZ1039" s="169"/>
      <c r="GA1039" s="169"/>
      <c r="GB1039" s="169"/>
      <c r="GC1039" s="169"/>
      <c r="GD1039" s="169"/>
      <c r="GE1039" s="169"/>
      <c r="GF1039" s="169"/>
      <c r="GG1039" s="169"/>
      <c r="GW1039" s="951"/>
    </row>
    <row r="1040" spans="182:205" customFormat="1" x14ac:dyDescent="0.3">
      <c r="FZ1040" s="169"/>
      <c r="GA1040" s="169"/>
      <c r="GB1040" s="169"/>
      <c r="GC1040" s="169"/>
      <c r="GD1040" s="169"/>
      <c r="GE1040" s="169"/>
      <c r="GF1040" s="169"/>
      <c r="GG1040" s="169"/>
      <c r="GW1040" s="951"/>
    </row>
    <row r="1041" spans="182:205" customFormat="1" x14ac:dyDescent="0.3">
      <c r="FZ1041" s="169"/>
      <c r="GA1041" s="169"/>
      <c r="GB1041" s="169"/>
      <c r="GC1041" s="169"/>
      <c r="GD1041" s="169"/>
      <c r="GE1041" s="169"/>
      <c r="GF1041" s="169"/>
      <c r="GG1041" s="169"/>
      <c r="GW1041" s="951"/>
    </row>
    <row r="1042" spans="182:205" customFormat="1" x14ac:dyDescent="0.3">
      <c r="FZ1042" s="169"/>
      <c r="GA1042" s="169"/>
      <c r="GB1042" s="169"/>
      <c r="GC1042" s="169"/>
      <c r="GD1042" s="169"/>
      <c r="GE1042" s="169"/>
      <c r="GF1042" s="169"/>
      <c r="GG1042" s="169"/>
      <c r="GW1042" s="951"/>
    </row>
    <row r="1043" spans="182:205" customFormat="1" x14ac:dyDescent="0.3">
      <c r="FZ1043" s="169"/>
      <c r="GA1043" s="169"/>
      <c r="GB1043" s="169"/>
      <c r="GC1043" s="169"/>
      <c r="GD1043" s="169"/>
      <c r="GE1043" s="169"/>
      <c r="GF1043" s="169"/>
      <c r="GG1043" s="169"/>
      <c r="GW1043" s="951"/>
    </row>
    <row r="1044" spans="182:205" customFormat="1" x14ac:dyDescent="0.3">
      <c r="FZ1044" s="169"/>
      <c r="GA1044" s="169"/>
      <c r="GB1044" s="169"/>
      <c r="GC1044" s="169"/>
      <c r="GD1044" s="169"/>
      <c r="GE1044" s="169"/>
      <c r="GF1044" s="169"/>
      <c r="GG1044" s="169"/>
      <c r="GW1044" s="951"/>
    </row>
    <row r="1045" spans="182:205" customFormat="1" x14ac:dyDescent="0.3">
      <c r="FZ1045" s="169"/>
      <c r="GA1045" s="169"/>
      <c r="GB1045" s="169"/>
      <c r="GC1045" s="169"/>
      <c r="GD1045" s="169"/>
      <c r="GE1045" s="169"/>
      <c r="GF1045" s="169"/>
      <c r="GG1045" s="169"/>
      <c r="GW1045" s="951"/>
    </row>
    <row r="1046" spans="182:205" customFormat="1" x14ac:dyDescent="0.3">
      <c r="FZ1046" s="169"/>
      <c r="GA1046" s="169"/>
      <c r="GB1046" s="169"/>
      <c r="GC1046" s="169"/>
      <c r="GD1046" s="169"/>
      <c r="GE1046" s="169"/>
      <c r="GF1046" s="169"/>
      <c r="GG1046" s="169"/>
      <c r="GW1046" s="951"/>
    </row>
    <row r="1047" spans="182:205" customFormat="1" x14ac:dyDescent="0.3">
      <c r="FZ1047" s="169"/>
      <c r="GA1047" s="169"/>
      <c r="GB1047" s="169"/>
      <c r="GC1047" s="169"/>
      <c r="GD1047" s="169"/>
      <c r="GE1047" s="169"/>
      <c r="GF1047" s="169"/>
      <c r="GG1047" s="169"/>
      <c r="GW1047" s="951"/>
    </row>
    <row r="1048" spans="182:205" customFormat="1" x14ac:dyDescent="0.3">
      <c r="FZ1048" s="169"/>
      <c r="GA1048" s="169"/>
      <c r="GB1048" s="169"/>
      <c r="GC1048" s="169"/>
      <c r="GD1048" s="169"/>
      <c r="GE1048" s="169"/>
      <c r="GF1048" s="169"/>
      <c r="GG1048" s="169"/>
      <c r="GW1048" s="951"/>
    </row>
    <row r="1049" spans="182:205" customFormat="1" x14ac:dyDescent="0.3">
      <c r="FZ1049" s="169"/>
      <c r="GA1049" s="169"/>
      <c r="GB1049" s="169"/>
      <c r="GC1049" s="169"/>
      <c r="GD1049" s="169"/>
      <c r="GE1049" s="169"/>
      <c r="GF1049" s="169"/>
      <c r="GG1049" s="169"/>
      <c r="GW1049" s="951"/>
    </row>
    <row r="1050" spans="182:205" customFormat="1" x14ac:dyDescent="0.3">
      <c r="FZ1050" s="169"/>
      <c r="GA1050" s="169"/>
      <c r="GB1050" s="169"/>
      <c r="GC1050" s="169"/>
      <c r="GD1050" s="169"/>
      <c r="GE1050" s="169"/>
      <c r="GF1050" s="169"/>
      <c r="GG1050" s="169"/>
      <c r="GW1050" s="951"/>
    </row>
    <row r="1051" spans="182:205" customFormat="1" x14ac:dyDescent="0.3">
      <c r="FZ1051" s="169"/>
      <c r="GA1051" s="169"/>
      <c r="GB1051" s="169"/>
      <c r="GC1051" s="169"/>
      <c r="GD1051" s="169"/>
      <c r="GE1051" s="169"/>
      <c r="GF1051" s="169"/>
      <c r="GG1051" s="169"/>
      <c r="GW1051" s="951"/>
    </row>
    <row r="1052" spans="182:205" customFormat="1" x14ac:dyDescent="0.3">
      <c r="FZ1052" s="169"/>
      <c r="GA1052" s="169"/>
      <c r="GB1052" s="169"/>
      <c r="GC1052" s="169"/>
      <c r="GD1052" s="169"/>
      <c r="GE1052" s="169"/>
      <c r="GF1052" s="169"/>
      <c r="GG1052" s="169"/>
      <c r="GW1052" s="951"/>
    </row>
    <row r="1053" spans="182:205" customFormat="1" x14ac:dyDescent="0.3">
      <c r="FZ1053" s="169"/>
      <c r="GA1053" s="169"/>
      <c r="GB1053" s="169"/>
      <c r="GC1053" s="169"/>
      <c r="GD1053" s="169"/>
      <c r="GE1053" s="169"/>
      <c r="GF1053" s="169"/>
      <c r="GG1053" s="169"/>
      <c r="GW1053" s="951"/>
    </row>
    <row r="1054" spans="182:205" customFormat="1" x14ac:dyDescent="0.3">
      <c r="FZ1054" s="169"/>
      <c r="GA1054" s="169"/>
      <c r="GB1054" s="169"/>
      <c r="GC1054" s="169"/>
      <c r="GD1054" s="169"/>
      <c r="GE1054" s="169"/>
      <c r="GF1054" s="169"/>
      <c r="GG1054" s="169"/>
      <c r="GW1054" s="951"/>
    </row>
    <row r="1055" spans="182:205" customFormat="1" x14ac:dyDescent="0.3">
      <c r="FZ1055" s="169"/>
      <c r="GA1055" s="169"/>
      <c r="GB1055" s="169"/>
      <c r="GC1055" s="169"/>
      <c r="GD1055" s="169"/>
      <c r="GE1055" s="169"/>
      <c r="GF1055" s="169"/>
      <c r="GG1055" s="169"/>
      <c r="GW1055" s="951"/>
    </row>
    <row r="1056" spans="182:205" customFormat="1" x14ac:dyDescent="0.3">
      <c r="FZ1056" s="169"/>
      <c r="GA1056" s="169"/>
      <c r="GB1056" s="169"/>
      <c r="GC1056" s="169"/>
      <c r="GD1056" s="169"/>
      <c r="GE1056" s="169"/>
      <c r="GF1056" s="169"/>
      <c r="GG1056" s="169"/>
      <c r="GW1056" s="951"/>
    </row>
    <row r="1057" spans="182:205" customFormat="1" x14ac:dyDescent="0.3">
      <c r="FZ1057" s="169"/>
      <c r="GA1057" s="169"/>
      <c r="GB1057" s="169"/>
      <c r="GC1057" s="169"/>
      <c r="GD1057" s="169"/>
      <c r="GE1057" s="169"/>
      <c r="GF1057" s="169"/>
      <c r="GG1057" s="169"/>
      <c r="GW1057" s="951"/>
    </row>
    <row r="1058" spans="182:205" customFormat="1" x14ac:dyDescent="0.3">
      <c r="FZ1058" s="169"/>
      <c r="GA1058" s="169"/>
      <c r="GB1058" s="169"/>
      <c r="GC1058" s="169"/>
      <c r="GD1058" s="169"/>
      <c r="GE1058" s="169"/>
      <c r="GF1058" s="169"/>
      <c r="GG1058" s="169"/>
      <c r="GW1058" s="951"/>
    </row>
    <row r="1059" spans="182:205" customFormat="1" x14ac:dyDescent="0.3">
      <c r="FZ1059" s="169"/>
      <c r="GA1059" s="169"/>
      <c r="GB1059" s="169"/>
      <c r="GC1059" s="169"/>
      <c r="GD1059" s="169"/>
      <c r="GE1059" s="169"/>
      <c r="GF1059" s="169"/>
      <c r="GG1059" s="169"/>
      <c r="GW1059" s="951"/>
    </row>
    <row r="1060" spans="182:205" customFormat="1" x14ac:dyDescent="0.3">
      <c r="FZ1060" s="169"/>
      <c r="GA1060" s="169"/>
      <c r="GB1060" s="169"/>
      <c r="GC1060" s="169"/>
      <c r="GD1060" s="169"/>
      <c r="GE1060" s="169"/>
      <c r="GF1060" s="169"/>
      <c r="GG1060" s="169"/>
      <c r="GW1060" s="951"/>
    </row>
    <row r="1061" spans="182:205" customFormat="1" x14ac:dyDescent="0.3">
      <c r="FZ1061" s="169"/>
      <c r="GA1061" s="169"/>
      <c r="GB1061" s="169"/>
      <c r="GC1061" s="169"/>
      <c r="GD1061" s="169"/>
      <c r="GE1061" s="169"/>
      <c r="GF1061" s="169"/>
      <c r="GG1061" s="169"/>
      <c r="GW1061" s="951"/>
    </row>
    <row r="1062" spans="182:205" customFormat="1" x14ac:dyDescent="0.3">
      <c r="FZ1062" s="169"/>
      <c r="GA1062" s="169"/>
      <c r="GB1062" s="169"/>
      <c r="GC1062" s="169"/>
      <c r="GD1062" s="169"/>
      <c r="GE1062" s="169"/>
      <c r="GF1062" s="169"/>
      <c r="GG1062" s="169"/>
      <c r="GW1062" s="951"/>
    </row>
    <row r="1063" spans="182:205" customFormat="1" x14ac:dyDescent="0.3">
      <c r="FZ1063" s="169"/>
      <c r="GA1063" s="169"/>
      <c r="GB1063" s="169"/>
      <c r="GC1063" s="169"/>
      <c r="GD1063" s="169"/>
      <c r="GE1063" s="169"/>
      <c r="GF1063" s="169"/>
      <c r="GG1063" s="169"/>
      <c r="GW1063" s="951"/>
    </row>
    <row r="1064" spans="182:205" customFormat="1" x14ac:dyDescent="0.3">
      <c r="FZ1064" s="169"/>
      <c r="GA1064" s="169"/>
      <c r="GB1064" s="169"/>
      <c r="GC1064" s="169"/>
      <c r="GD1064" s="169"/>
      <c r="GE1064" s="169"/>
      <c r="GF1064" s="169"/>
      <c r="GG1064" s="169"/>
      <c r="GW1064" s="951"/>
    </row>
    <row r="1065" spans="182:205" customFormat="1" x14ac:dyDescent="0.3">
      <c r="FZ1065" s="169"/>
      <c r="GA1065" s="169"/>
      <c r="GB1065" s="169"/>
      <c r="GC1065" s="169"/>
      <c r="GD1065" s="169"/>
      <c r="GE1065" s="169"/>
      <c r="GF1065" s="169"/>
      <c r="GG1065" s="169"/>
      <c r="GW1065" s="951"/>
    </row>
    <row r="1066" spans="182:205" customFormat="1" x14ac:dyDescent="0.3">
      <c r="FZ1066" s="169"/>
      <c r="GA1066" s="169"/>
      <c r="GB1066" s="169"/>
      <c r="GC1066" s="169"/>
      <c r="GD1066" s="169"/>
      <c r="GE1066" s="169"/>
      <c r="GF1066" s="169"/>
      <c r="GG1066" s="169"/>
      <c r="GW1066" s="951"/>
    </row>
    <row r="1067" spans="182:205" customFormat="1" x14ac:dyDescent="0.3">
      <c r="FZ1067" s="169"/>
      <c r="GA1067" s="169"/>
      <c r="GB1067" s="169"/>
      <c r="GC1067" s="169"/>
      <c r="GD1067" s="169"/>
      <c r="GE1067" s="169"/>
      <c r="GF1067" s="169"/>
      <c r="GG1067" s="169"/>
      <c r="GW1067" s="951"/>
    </row>
    <row r="1068" spans="182:205" customFormat="1" x14ac:dyDescent="0.3">
      <c r="FZ1068" s="169"/>
      <c r="GA1068" s="169"/>
      <c r="GB1068" s="169"/>
      <c r="GC1068" s="169"/>
      <c r="GD1068" s="169"/>
      <c r="GE1068" s="169"/>
      <c r="GF1068" s="169"/>
      <c r="GG1068" s="169"/>
      <c r="GW1068" s="951"/>
    </row>
    <row r="1069" spans="182:205" customFormat="1" x14ac:dyDescent="0.3">
      <c r="FZ1069" s="169"/>
      <c r="GA1069" s="169"/>
      <c r="GB1069" s="169"/>
      <c r="GC1069" s="169"/>
      <c r="GD1069" s="169"/>
      <c r="GE1069" s="169"/>
      <c r="GF1069" s="169"/>
      <c r="GG1069" s="169"/>
      <c r="GW1069" s="951"/>
    </row>
    <row r="1070" spans="182:205" customFormat="1" x14ac:dyDescent="0.3">
      <c r="FZ1070" s="169"/>
      <c r="GA1070" s="169"/>
      <c r="GB1070" s="169"/>
      <c r="GC1070" s="169"/>
      <c r="GD1070" s="169"/>
      <c r="GE1070" s="169"/>
      <c r="GF1070" s="169"/>
      <c r="GG1070" s="169"/>
      <c r="GW1070" s="951"/>
    </row>
    <row r="1071" spans="182:205" customFormat="1" x14ac:dyDescent="0.3">
      <c r="FZ1071" s="169"/>
      <c r="GA1071" s="169"/>
      <c r="GB1071" s="169"/>
      <c r="GC1071" s="169"/>
      <c r="GD1071" s="169"/>
      <c r="GE1071" s="169"/>
      <c r="GF1071" s="169"/>
      <c r="GG1071" s="169"/>
      <c r="GW1071" s="951"/>
    </row>
    <row r="1072" spans="182:205" customFormat="1" x14ac:dyDescent="0.3">
      <c r="FZ1072" s="169"/>
      <c r="GA1072" s="169"/>
      <c r="GB1072" s="169"/>
      <c r="GC1072" s="169"/>
      <c r="GD1072" s="169"/>
      <c r="GE1072" s="169"/>
      <c r="GF1072" s="169"/>
      <c r="GG1072" s="169"/>
      <c r="GW1072" s="951"/>
    </row>
    <row r="1073" spans="182:205" customFormat="1" x14ac:dyDescent="0.3">
      <c r="FZ1073" s="169"/>
      <c r="GA1073" s="169"/>
      <c r="GB1073" s="169"/>
      <c r="GC1073" s="169"/>
      <c r="GD1073" s="169"/>
      <c r="GE1073" s="169"/>
      <c r="GF1073" s="169"/>
      <c r="GG1073" s="169"/>
      <c r="GW1073" s="951"/>
    </row>
    <row r="1074" spans="182:205" customFormat="1" x14ac:dyDescent="0.3">
      <c r="FZ1074" s="169"/>
      <c r="GA1074" s="169"/>
      <c r="GB1074" s="169"/>
      <c r="GC1074" s="169"/>
      <c r="GD1074" s="169"/>
      <c r="GE1074" s="169"/>
      <c r="GF1074" s="169"/>
      <c r="GG1074" s="169"/>
      <c r="GW1074" s="951"/>
    </row>
    <row r="1075" spans="182:205" customFormat="1" x14ac:dyDescent="0.3">
      <c r="FZ1075" s="169"/>
      <c r="GA1075" s="169"/>
      <c r="GB1075" s="169"/>
      <c r="GC1075" s="169"/>
      <c r="GD1075" s="169"/>
      <c r="GE1075" s="169"/>
      <c r="GF1075" s="169"/>
      <c r="GG1075" s="169"/>
      <c r="GW1075" s="951"/>
    </row>
    <row r="1076" spans="182:205" customFormat="1" x14ac:dyDescent="0.3">
      <c r="FZ1076" s="169"/>
      <c r="GA1076" s="169"/>
      <c r="GB1076" s="169"/>
      <c r="GC1076" s="169"/>
      <c r="GD1076" s="169"/>
      <c r="GE1076" s="169"/>
      <c r="GF1076" s="169"/>
      <c r="GG1076" s="169"/>
      <c r="GW1076" s="951"/>
    </row>
    <row r="1077" spans="182:205" customFormat="1" x14ac:dyDescent="0.3">
      <c r="FZ1077" s="169"/>
      <c r="GA1077" s="169"/>
      <c r="GB1077" s="169"/>
      <c r="GC1077" s="169"/>
      <c r="GD1077" s="169"/>
      <c r="GE1077" s="169"/>
      <c r="GF1077" s="169"/>
      <c r="GG1077" s="169"/>
      <c r="GW1077" s="951"/>
    </row>
    <row r="1078" spans="182:205" customFormat="1" x14ac:dyDescent="0.3">
      <c r="FZ1078" s="169"/>
      <c r="GA1078" s="169"/>
      <c r="GB1078" s="169"/>
      <c r="GC1078" s="169"/>
      <c r="GD1078" s="169"/>
      <c r="GE1078" s="169"/>
      <c r="GF1078" s="169"/>
      <c r="GG1078" s="169"/>
      <c r="GW1078" s="951"/>
    </row>
    <row r="1079" spans="182:205" customFormat="1" x14ac:dyDescent="0.3">
      <c r="FZ1079" s="169"/>
      <c r="GA1079" s="169"/>
      <c r="GB1079" s="169"/>
      <c r="GC1079" s="169"/>
      <c r="GD1079" s="169"/>
      <c r="GE1079" s="169"/>
      <c r="GF1079" s="169"/>
      <c r="GG1079" s="169"/>
      <c r="GW1079" s="951"/>
    </row>
    <row r="1080" spans="182:205" customFormat="1" x14ac:dyDescent="0.3">
      <c r="FZ1080" s="169"/>
      <c r="GA1080" s="169"/>
      <c r="GB1080" s="169"/>
      <c r="GC1080" s="169"/>
      <c r="GD1080" s="169"/>
      <c r="GE1080" s="169"/>
      <c r="GF1080" s="169"/>
      <c r="GG1080" s="169"/>
      <c r="GW1080" s="951"/>
    </row>
    <row r="1081" spans="182:205" customFormat="1" x14ac:dyDescent="0.3">
      <c r="FZ1081" s="169"/>
      <c r="GA1081" s="169"/>
      <c r="GB1081" s="169"/>
      <c r="GC1081" s="169"/>
      <c r="GD1081" s="169"/>
      <c r="GE1081" s="169"/>
      <c r="GF1081" s="169"/>
      <c r="GG1081" s="169"/>
      <c r="GW1081" s="951"/>
    </row>
    <row r="1082" spans="182:205" customFormat="1" x14ac:dyDescent="0.3">
      <c r="FZ1082" s="169"/>
      <c r="GA1082" s="169"/>
      <c r="GB1082" s="169"/>
      <c r="GC1082" s="169"/>
      <c r="GD1082" s="169"/>
      <c r="GE1082" s="169"/>
      <c r="GF1082" s="169"/>
      <c r="GG1082" s="169"/>
      <c r="GW1082" s="951"/>
    </row>
    <row r="1083" spans="182:205" customFormat="1" x14ac:dyDescent="0.3">
      <c r="FZ1083" s="169"/>
      <c r="GA1083" s="169"/>
      <c r="GB1083" s="169"/>
      <c r="GC1083" s="169"/>
      <c r="GD1083" s="169"/>
      <c r="GE1083" s="169"/>
      <c r="GF1083" s="169"/>
      <c r="GG1083" s="169"/>
      <c r="GW1083" s="951"/>
    </row>
    <row r="1084" spans="182:205" customFormat="1" x14ac:dyDescent="0.3">
      <c r="FZ1084" s="169"/>
      <c r="GA1084" s="169"/>
      <c r="GB1084" s="169"/>
      <c r="GC1084" s="169"/>
      <c r="GD1084" s="169"/>
      <c r="GE1084" s="169"/>
      <c r="GF1084" s="169"/>
      <c r="GG1084" s="169"/>
      <c r="GW1084" s="951"/>
    </row>
    <row r="1085" spans="182:205" customFormat="1" x14ac:dyDescent="0.3">
      <c r="FZ1085" s="169"/>
      <c r="GA1085" s="169"/>
      <c r="GB1085" s="169"/>
      <c r="GC1085" s="169"/>
      <c r="GD1085" s="169"/>
      <c r="GE1085" s="169"/>
      <c r="GF1085" s="169"/>
      <c r="GG1085" s="169"/>
      <c r="GW1085" s="951"/>
    </row>
    <row r="1086" spans="182:205" customFormat="1" x14ac:dyDescent="0.3">
      <c r="FZ1086" s="169"/>
      <c r="GA1086" s="169"/>
      <c r="GB1086" s="169"/>
      <c r="GC1086" s="169"/>
      <c r="GD1086" s="169"/>
      <c r="GE1086" s="169"/>
      <c r="GF1086" s="169"/>
      <c r="GG1086" s="169"/>
      <c r="GW1086" s="951"/>
    </row>
    <row r="1087" spans="182:205" customFormat="1" x14ac:dyDescent="0.3">
      <c r="FZ1087" s="169"/>
      <c r="GA1087" s="169"/>
      <c r="GB1087" s="169"/>
      <c r="GC1087" s="169"/>
      <c r="GD1087" s="169"/>
      <c r="GE1087" s="169"/>
      <c r="GF1087" s="169"/>
      <c r="GG1087" s="169"/>
      <c r="GW1087" s="951"/>
    </row>
    <row r="1088" spans="182:205" customFormat="1" x14ac:dyDescent="0.3">
      <c r="FZ1088" s="169"/>
      <c r="GA1088" s="169"/>
      <c r="GB1088" s="169"/>
      <c r="GC1088" s="169"/>
      <c r="GD1088" s="169"/>
      <c r="GE1088" s="169"/>
      <c r="GF1088" s="169"/>
      <c r="GG1088" s="169"/>
      <c r="GW1088" s="951"/>
    </row>
    <row r="1089" spans="182:205" customFormat="1" x14ac:dyDescent="0.3">
      <c r="FZ1089" s="169"/>
      <c r="GA1089" s="169"/>
      <c r="GB1089" s="169"/>
      <c r="GC1089" s="169"/>
      <c r="GD1089" s="169"/>
      <c r="GE1089" s="169"/>
      <c r="GF1089" s="169"/>
      <c r="GG1089" s="169"/>
      <c r="GW1089" s="951"/>
    </row>
    <row r="1090" spans="182:205" customFormat="1" x14ac:dyDescent="0.3">
      <c r="FZ1090" s="169"/>
      <c r="GA1090" s="169"/>
      <c r="GB1090" s="169"/>
      <c r="GC1090" s="169"/>
      <c r="GD1090" s="169"/>
      <c r="GE1090" s="169"/>
      <c r="GF1090" s="169"/>
      <c r="GG1090" s="169"/>
      <c r="GW1090" s="951"/>
    </row>
    <row r="1091" spans="182:205" customFormat="1" x14ac:dyDescent="0.3">
      <c r="FZ1091" s="169"/>
      <c r="GA1091" s="169"/>
      <c r="GB1091" s="169"/>
      <c r="GC1091" s="169"/>
      <c r="GD1091" s="169"/>
      <c r="GE1091" s="169"/>
      <c r="GF1091" s="169"/>
      <c r="GG1091" s="169"/>
      <c r="GW1091" s="951"/>
    </row>
    <row r="1092" spans="182:205" customFormat="1" x14ac:dyDescent="0.3">
      <c r="FZ1092" s="169"/>
      <c r="GA1092" s="169"/>
      <c r="GB1092" s="169"/>
      <c r="GC1092" s="169"/>
      <c r="GD1092" s="169"/>
      <c r="GE1092" s="169"/>
      <c r="GF1092" s="169"/>
      <c r="GG1092" s="169"/>
      <c r="GW1092" s="951"/>
    </row>
    <row r="1093" spans="182:205" customFormat="1" x14ac:dyDescent="0.3">
      <c r="FZ1093" s="169"/>
      <c r="GA1093" s="169"/>
      <c r="GB1093" s="169"/>
      <c r="GC1093" s="169"/>
      <c r="GD1093" s="169"/>
      <c r="GE1093" s="169"/>
      <c r="GF1093" s="169"/>
      <c r="GG1093" s="169"/>
      <c r="GW1093" s="951"/>
    </row>
    <row r="1094" spans="182:205" customFormat="1" x14ac:dyDescent="0.3">
      <c r="FZ1094" s="169"/>
      <c r="GA1094" s="169"/>
      <c r="GB1094" s="169"/>
      <c r="GC1094" s="169"/>
      <c r="GD1094" s="169"/>
      <c r="GE1094" s="169"/>
      <c r="GF1094" s="169"/>
      <c r="GG1094" s="169"/>
      <c r="GW1094" s="951"/>
    </row>
    <row r="1095" spans="182:205" customFormat="1" x14ac:dyDescent="0.3">
      <c r="FZ1095" s="169"/>
      <c r="GA1095" s="169"/>
      <c r="GB1095" s="169"/>
      <c r="GC1095" s="169"/>
      <c r="GD1095" s="169"/>
      <c r="GE1095" s="169"/>
      <c r="GF1095" s="169"/>
      <c r="GG1095" s="169"/>
      <c r="GW1095" s="951"/>
    </row>
    <row r="1096" spans="182:205" customFormat="1" x14ac:dyDescent="0.3">
      <c r="FZ1096" s="169"/>
      <c r="GA1096" s="169"/>
      <c r="GB1096" s="169"/>
      <c r="GC1096" s="169"/>
      <c r="GD1096" s="169"/>
      <c r="GE1096" s="169"/>
      <c r="GF1096" s="169"/>
      <c r="GG1096" s="169"/>
      <c r="GW1096" s="951"/>
    </row>
    <row r="1097" spans="182:205" customFormat="1" x14ac:dyDescent="0.3">
      <c r="FZ1097" s="169"/>
      <c r="GA1097" s="169"/>
      <c r="GB1097" s="169"/>
      <c r="GC1097" s="169"/>
      <c r="GD1097" s="169"/>
      <c r="GE1097" s="169"/>
      <c r="GF1097" s="169"/>
      <c r="GG1097" s="169"/>
      <c r="GW1097" s="951"/>
    </row>
    <row r="1098" spans="182:205" customFormat="1" x14ac:dyDescent="0.3">
      <c r="FZ1098" s="169"/>
      <c r="GA1098" s="169"/>
      <c r="GB1098" s="169"/>
      <c r="GC1098" s="169"/>
      <c r="GD1098" s="169"/>
      <c r="GE1098" s="169"/>
      <c r="GF1098" s="169"/>
      <c r="GG1098" s="169"/>
      <c r="GW1098" s="951"/>
    </row>
    <row r="1099" spans="182:205" customFormat="1" x14ac:dyDescent="0.3">
      <c r="FZ1099" s="169"/>
      <c r="GA1099" s="169"/>
      <c r="GB1099" s="169"/>
      <c r="GC1099" s="169"/>
      <c r="GD1099" s="169"/>
      <c r="GE1099" s="169"/>
      <c r="GF1099" s="169"/>
      <c r="GG1099" s="169"/>
      <c r="GW1099" s="951"/>
    </row>
    <row r="1100" spans="182:205" customFormat="1" x14ac:dyDescent="0.3">
      <c r="FZ1100" s="169"/>
      <c r="GA1100" s="169"/>
      <c r="GB1100" s="169"/>
      <c r="GC1100" s="169"/>
      <c r="GD1100" s="169"/>
      <c r="GE1100" s="169"/>
      <c r="GF1100" s="169"/>
      <c r="GG1100" s="169"/>
      <c r="GW1100" s="951"/>
    </row>
    <row r="1101" spans="182:205" customFormat="1" x14ac:dyDescent="0.3">
      <c r="FZ1101" s="169"/>
      <c r="GA1101" s="169"/>
      <c r="GB1101" s="169"/>
      <c r="GC1101" s="169"/>
      <c r="GD1101" s="169"/>
      <c r="GE1101" s="169"/>
      <c r="GF1101" s="169"/>
      <c r="GG1101" s="169"/>
      <c r="GW1101" s="951"/>
    </row>
    <row r="1102" spans="182:205" customFormat="1" x14ac:dyDescent="0.3">
      <c r="FZ1102" s="169"/>
      <c r="GA1102" s="169"/>
      <c r="GB1102" s="169"/>
      <c r="GC1102" s="169"/>
      <c r="GD1102" s="169"/>
      <c r="GE1102" s="169"/>
      <c r="GF1102" s="169"/>
      <c r="GG1102" s="169"/>
      <c r="GW1102" s="951"/>
    </row>
    <row r="1103" spans="182:205" customFormat="1" x14ac:dyDescent="0.3">
      <c r="FZ1103" s="169"/>
      <c r="GA1103" s="169"/>
      <c r="GB1103" s="169"/>
      <c r="GC1103" s="169"/>
      <c r="GD1103" s="169"/>
      <c r="GE1103" s="169"/>
      <c r="GF1103" s="169"/>
      <c r="GG1103" s="169"/>
      <c r="GW1103" s="951"/>
    </row>
    <row r="1104" spans="182:205" customFormat="1" x14ac:dyDescent="0.3">
      <c r="FZ1104" s="169"/>
      <c r="GA1104" s="169"/>
      <c r="GB1104" s="169"/>
      <c r="GC1104" s="169"/>
      <c r="GD1104" s="169"/>
      <c r="GE1104" s="169"/>
      <c r="GF1104" s="169"/>
      <c r="GG1104" s="169"/>
      <c r="GW1104" s="951"/>
    </row>
    <row r="1105" spans="182:205" customFormat="1" x14ac:dyDescent="0.3">
      <c r="FZ1105" s="169"/>
      <c r="GA1105" s="169"/>
      <c r="GB1105" s="169"/>
      <c r="GC1105" s="169"/>
      <c r="GD1105" s="169"/>
      <c r="GE1105" s="169"/>
      <c r="GF1105" s="169"/>
      <c r="GG1105" s="169"/>
      <c r="GW1105" s="951"/>
    </row>
    <row r="1106" spans="182:205" customFormat="1" x14ac:dyDescent="0.3">
      <c r="FZ1106" s="169"/>
      <c r="GA1106" s="169"/>
      <c r="GB1106" s="169"/>
      <c r="GC1106" s="169"/>
      <c r="GD1106" s="169"/>
      <c r="GE1106" s="169"/>
      <c r="GF1106" s="169"/>
      <c r="GG1106" s="169"/>
      <c r="GW1106" s="951"/>
    </row>
    <row r="1107" spans="182:205" customFormat="1" x14ac:dyDescent="0.3">
      <c r="FZ1107" s="169"/>
      <c r="GA1107" s="169"/>
      <c r="GB1107" s="169"/>
      <c r="GC1107" s="169"/>
      <c r="GD1107" s="169"/>
      <c r="GE1107" s="169"/>
      <c r="GF1107" s="169"/>
      <c r="GG1107" s="169"/>
      <c r="GW1107" s="951"/>
    </row>
    <row r="1108" spans="182:205" customFormat="1" x14ac:dyDescent="0.3">
      <c r="FZ1108" s="169"/>
      <c r="GA1108" s="169"/>
      <c r="GB1108" s="169"/>
      <c r="GC1108" s="169"/>
      <c r="GD1108" s="169"/>
      <c r="GE1108" s="169"/>
      <c r="GF1108" s="169"/>
      <c r="GG1108" s="169"/>
      <c r="GW1108" s="951"/>
    </row>
    <row r="1109" spans="182:205" customFormat="1" x14ac:dyDescent="0.3">
      <c r="FZ1109" s="169"/>
      <c r="GA1109" s="169"/>
      <c r="GB1109" s="169"/>
      <c r="GC1109" s="169"/>
      <c r="GD1109" s="169"/>
      <c r="GE1109" s="169"/>
      <c r="GF1109" s="169"/>
      <c r="GG1109" s="169"/>
      <c r="GW1109" s="951"/>
    </row>
    <row r="1110" spans="182:205" customFormat="1" x14ac:dyDescent="0.3">
      <c r="FZ1110" s="169"/>
      <c r="GA1110" s="169"/>
      <c r="GB1110" s="169"/>
      <c r="GC1110" s="169"/>
      <c r="GD1110" s="169"/>
      <c r="GE1110" s="169"/>
      <c r="GF1110" s="169"/>
      <c r="GG1110" s="169"/>
      <c r="GW1110" s="951"/>
    </row>
    <row r="1111" spans="182:205" customFormat="1" x14ac:dyDescent="0.3">
      <c r="FZ1111" s="169"/>
      <c r="GA1111" s="169"/>
      <c r="GB1111" s="169"/>
      <c r="GC1111" s="169"/>
      <c r="GD1111" s="169"/>
      <c r="GE1111" s="169"/>
      <c r="GF1111" s="169"/>
      <c r="GG1111" s="169"/>
      <c r="GW1111" s="951"/>
    </row>
    <row r="1112" spans="182:205" customFormat="1" x14ac:dyDescent="0.3">
      <c r="FZ1112" s="169"/>
      <c r="GA1112" s="169"/>
      <c r="GB1112" s="169"/>
      <c r="GC1112" s="169"/>
      <c r="GD1112" s="169"/>
      <c r="GE1112" s="169"/>
      <c r="GF1112" s="169"/>
      <c r="GG1112" s="169"/>
      <c r="GW1112" s="951"/>
    </row>
    <row r="1113" spans="182:205" customFormat="1" x14ac:dyDescent="0.3">
      <c r="FZ1113" s="169"/>
      <c r="GA1113" s="169"/>
      <c r="GB1113" s="169"/>
      <c r="GC1113" s="169"/>
      <c r="GD1113" s="169"/>
      <c r="GE1113" s="169"/>
      <c r="GF1113" s="169"/>
      <c r="GG1113" s="169"/>
      <c r="GW1113" s="951"/>
    </row>
    <row r="1114" spans="182:205" customFormat="1" x14ac:dyDescent="0.3">
      <c r="FZ1114" s="169"/>
      <c r="GA1114" s="169"/>
      <c r="GB1114" s="169"/>
      <c r="GC1114" s="169"/>
      <c r="GD1114" s="169"/>
      <c r="GE1114" s="169"/>
      <c r="GF1114" s="169"/>
      <c r="GG1114" s="169"/>
      <c r="GW1114" s="951"/>
    </row>
    <row r="1115" spans="182:205" customFormat="1" x14ac:dyDescent="0.3">
      <c r="FZ1115" s="169"/>
      <c r="GA1115" s="169"/>
      <c r="GB1115" s="169"/>
      <c r="GC1115" s="169"/>
      <c r="GD1115" s="169"/>
      <c r="GE1115" s="169"/>
      <c r="GF1115" s="169"/>
      <c r="GG1115" s="169"/>
      <c r="GW1115" s="951"/>
    </row>
    <row r="1116" spans="182:205" customFormat="1" x14ac:dyDescent="0.3">
      <c r="FZ1116" s="169"/>
      <c r="GA1116" s="169"/>
      <c r="GB1116" s="169"/>
      <c r="GC1116" s="169"/>
      <c r="GD1116" s="169"/>
      <c r="GE1116" s="169"/>
      <c r="GF1116" s="169"/>
      <c r="GG1116" s="169"/>
      <c r="GW1116" s="951"/>
    </row>
    <row r="1117" spans="182:205" customFormat="1" x14ac:dyDescent="0.3">
      <c r="FZ1117" s="169"/>
      <c r="GA1117" s="169"/>
      <c r="GB1117" s="169"/>
      <c r="GC1117" s="169"/>
      <c r="GD1117" s="169"/>
      <c r="GE1117" s="169"/>
      <c r="GF1117" s="169"/>
      <c r="GG1117" s="169"/>
      <c r="GW1117" s="951"/>
    </row>
    <row r="1118" spans="182:205" customFormat="1" x14ac:dyDescent="0.3">
      <c r="FZ1118" s="169"/>
      <c r="GA1118" s="169"/>
      <c r="GB1118" s="169"/>
      <c r="GC1118" s="169"/>
      <c r="GD1118" s="169"/>
      <c r="GE1118" s="169"/>
      <c r="GF1118" s="169"/>
      <c r="GG1118" s="169"/>
      <c r="GW1118" s="951"/>
    </row>
    <row r="1119" spans="182:205" customFormat="1" x14ac:dyDescent="0.3">
      <c r="FZ1119" s="169"/>
      <c r="GA1119" s="169"/>
      <c r="GB1119" s="169"/>
      <c r="GC1119" s="169"/>
      <c r="GD1119" s="169"/>
      <c r="GE1119" s="169"/>
      <c r="GF1119" s="169"/>
      <c r="GG1119" s="169"/>
      <c r="GW1119" s="951"/>
    </row>
    <row r="1120" spans="182:205" customFormat="1" x14ac:dyDescent="0.3">
      <c r="FZ1120" s="169"/>
      <c r="GA1120" s="169"/>
      <c r="GB1120" s="169"/>
      <c r="GC1120" s="169"/>
      <c r="GD1120" s="169"/>
      <c r="GE1120" s="169"/>
      <c r="GF1120" s="169"/>
      <c r="GG1120" s="169"/>
      <c r="GW1120" s="951"/>
    </row>
    <row r="1121" spans="182:205" customFormat="1" x14ac:dyDescent="0.3">
      <c r="FZ1121" s="169"/>
      <c r="GA1121" s="169"/>
      <c r="GB1121" s="169"/>
      <c r="GC1121" s="169"/>
      <c r="GD1121" s="169"/>
      <c r="GE1121" s="169"/>
      <c r="GF1121" s="169"/>
      <c r="GG1121" s="169"/>
      <c r="GW1121" s="951"/>
    </row>
    <row r="1122" spans="182:205" customFormat="1" x14ac:dyDescent="0.3">
      <c r="FZ1122" s="169"/>
      <c r="GA1122" s="169"/>
      <c r="GB1122" s="169"/>
      <c r="GC1122" s="169"/>
      <c r="GD1122" s="169"/>
      <c r="GE1122" s="169"/>
      <c r="GF1122" s="169"/>
      <c r="GG1122" s="169"/>
      <c r="GW1122" s="951"/>
    </row>
    <row r="1123" spans="182:205" customFormat="1" x14ac:dyDescent="0.3">
      <c r="FZ1123" s="169"/>
      <c r="GA1123" s="169"/>
      <c r="GB1123" s="169"/>
      <c r="GC1123" s="169"/>
      <c r="GD1123" s="169"/>
      <c r="GE1123" s="169"/>
      <c r="GF1123" s="169"/>
      <c r="GG1123" s="169"/>
      <c r="GW1123" s="951"/>
    </row>
    <row r="1124" spans="182:205" customFormat="1" x14ac:dyDescent="0.3">
      <c r="FZ1124" s="169"/>
      <c r="GA1124" s="169"/>
      <c r="GB1124" s="169"/>
      <c r="GC1124" s="169"/>
      <c r="GD1124" s="169"/>
      <c r="GE1124" s="169"/>
      <c r="GF1124" s="169"/>
      <c r="GG1124" s="169"/>
      <c r="GW1124" s="951"/>
    </row>
    <row r="1125" spans="182:205" customFormat="1" x14ac:dyDescent="0.3">
      <c r="FZ1125" s="169"/>
      <c r="GA1125" s="169"/>
      <c r="GB1125" s="169"/>
      <c r="GC1125" s="169"/>
      <c r="GD1125" s="169"/>
      <c r="GE1125" s="169"/>
      <c r="GF1125" s="169"/>
      <c r="GG1125" s="169"/>
      <c r="GW1125" s="951"/>
    </row>
    <row r="1126" spans="182:205" customFormat="1" x14ac:dyDescent="0.3">
      <c r="FZ1126" s="169"/>
      <c r="GA1126" s="169"/>
      <c r="GB1126" s="169"/>
      <c r="GC1126" s="169"/>
      <c r="GD1126" s="169"/>
      <c r="GE1126" s="169"/>
      <c r="GF1126" s="169"/>
      <c r="GG1126" s="169"/>
      <c r="GW1126" s="951"/>
    </row>
    <row r="1127" spans="182:205" customFormat="1" x14ac:dyDescent="0.3">
      <c r="FZ1127" s="169"/>
      <c r="GA1127" s="169"/>
      <c r="GB1127" s="169"/>
      <c r="GC1127" s="169"/>
      <c r="GD1127" s="169"/>
      <c r="GE1127" s="169"/>
      <c r="GF1127" s="169"/>
      <c r="GG1127" s="169"/>
      <c r="GW1127" s="951"/>
    </row>
    <row r="1128" spans="182:205" customFormat="1" x14ac:dyDescent="0.3">
      <c r="FZ1128" s="169"/>
      <c r="GA1128" s="169"/>
      <c r="GB1128" s="169"/>
      <c r="GC1128" s="169"/>
      <c r="GD1128" s="169"/>
      <c r="GE1128" s="169"/>
      <c r="GF1128" s="169"/>
      <c r="GG1128" s="169"/>
      <c r="GW1128" s="951"/>
    </row>
    <row r="1129" spans="182:205" customFormat="1" x14ac:dyDescent="0.3">
      <c r="FZ1129" s="169"/>
      <c r="GA1129" s="169"/>
      <c r="GB1129" s="169"/>
      <c r="GC1129" s="169"/>
      <c r="GD1129" s="169"/>
      <c r="GE1129" s="169"/>
      <c r="GF1129" s="169"/>
      <c r="GG1129" s="169"/>
      <c r="GW1129" s="951"/>
    </row>
    <row r="1130" spans="182:205" customFormat="1" x14ac:dyDescent="0.3">
      <c r="FZ1130" s="169"/>
      <c r="GA1130" s="169"/>
      <c r="GB1130" s="169"/>
      <c r="GC1130" s="169"/>
      <c r="GD1130" s="169"/>
      <c r="GE1130" s="169"/>
      <c r="GF1130" s="169"/>
      <c r="GG1130" s="169"/>
      <c r="GW1130" s="951"/>
    </row>
    <row r="1131" spans="182:205" customFormat="1" x14ac:dyDescent="0.3">
      <c r="FZ1131" s="169"/>
      <c r="GA1131" s="169"/>
      <c r="GB1131" s="169"/>
      <c r="GC1131" s="169"/>
      <c r="GD1131" s="169"/>
      <c r="GE1131" s="169"/>
      <c r="GF1131" s="169"/>
      <c r="GG1131" s="169"/>
      <c r="GW1131" s="951"/>
    </row>
    <row r="1132" spans="182:205" customFormat="1" x14ac:dyDescent="0.3">
      <c r="FZ1132" s="169"/>
      <c r="GA1132" s="169"/>
      <c r="GB1132" s="169"/>
      <c r="GC1132" s="169"/>
      <c r="GD1132" s="169"/>
      <c r="GE1132" s="169"/>
      <c r="GF1132" s="169"/>
      <c r="GG1132" s="169"/>
      <c r="GW1132" s="951"/>
    </row>
    <row r="1133" spans="182:205" customFormat="1" x14ac:dyDescent="0.3">
      <c r="FZ1133" s="169"/>
      <c r="GA1133" s="169"/>
      <c r="GB1133" s="169"/>
      <c r="GC1133" s="169"/>
      <c r="GD1133" s="169"/>
      <c r="GE1133" s="169"/>
      <c r="GF1133" s="169"/>
      <c r="GG1133" s="169"/>
      <c r="GW1133" s="951"/>
    </row>
    <row r="1134" spans="182:205" customFormat="1" x14ac:dyDescent="0.3">
      <c r="FZ1134" s="169"/>
      <c r="GA1134" s="169"/>
      <c r="GB1134" s="169"/>
      <c r="GC1134" s="169"/>
      <c r="GD1134" s="169"/>
      <c r="GE1134" s="169"/>
      <c r="GF1134" s="169"/>
      <c r="GG1134" s="169"/>
      <c r="GW1134" s="951"/>
    </row>
    <row r="1135" spans="182:205" customFormat="1" x14ac:dyDescent="0.3">
      <c r="FZ1135" s="169"/>
      <c r="GA1135" s="169"/>
      <c r="GB1135" s="169"/>
      <c r="GC1135" s="169"/>
      <c r="GD1135" s="169"/>
      <c r="GE1135" s="169"/>
      <c r="GF1135" s="169"/>
      <c r="GG1135" s="169"/>
      <c r="GW1135" s="951"/>
    </row>
    <row r="1136" spans="182:205" customFormat="1" x14ac:dyDescent="0.3">
      <c r="FZ1136" s="169"/>
      <c r="GA1136" s="169"/>
      <c r="GB1136" s="169"/>
      <c r="GC1136" s="169"/>
      <c r="GD1136" s="169"/>
      <c r="GE1136" s="169"/>
      <c r="GF1136" s="169"/>
      <c r="GG1136" s="169"/>
      <c r="GW1136" s="951"/>
    </row>
    <row r="1137" spans="182:205" customFormat="1" x14ac:dyDescent="0.3">
      <c r="FZ1137" s="169"/>
      <c r="GA1137" s="169"/>
      <c r="GB1137" s="169"/>
      <c r="GC1137" s="169"/>
      <c r="GD1137" s="169"/>
      <c r="GE1137" s="169"/>
      <c r="GF1137" s="169"/>
      <c r="GG1137" s="169"/>
      <c r="GW1137" s="951"/>
    </row>
    <row r="1138" spans="182:205" customFormat="1" x14ac:dyDescent="0.3">
      <c r="FZ1138" s="169"/>
      <c r="GA1138" s="169"/>
      <c r="GB1138" s="169"/>
      <c r="GC1138" s="169"/>
      <c r="GD1138" s="169"/>
      <c r="GE1138" s="169"/>
      <c r="GF1138" s="169"/>
      <c r="GG1138" s="169"/>
      <c r="GW1138" s="951"/>
    </row>
    <row r="1139" spans="182:205" customFormat="1" x14ac:dyDescent="0.3">
      <c r="FZ1139" s="169"/>
      <c r="GA1139" s="169"/>
      <c r="GB1139" s="169"/>
      <c r="GC1139" s="169"/>
      <c r="GD1139" s="169"/>
      <c r="GE1139" s="169"/>
      <c r="GF1139" s="169"/>
      <c r="GG1139" s="169"/>
      <c r="GW1139" s="951"/>
    </row>
    <row r="1140" spans="182:205" customFormat="1" x14ac:dyDescent="0.3">
      <c r="FZ1140" s="169"/>
      <c r="GA1140" s="169"/>
      <c r="GB1140" s="169"/>
      <c r="GC1140" s="169"/>
      <c r="GD1140" s="169"/>
      <c r="GE1140" s="169"/>
      <c r="GF1140" s="169"/>
      <c r="GG1140" s="169"/>
      <c r="GW1140" s="951"/>
    </row>
    <row r="1141" spans="182:205" customFormat="1" x14ac:dyDescent="0.3">
      <c r="FZ1141" s="169"/>
      <c r="GA1141" s="169"/>
      <c r="GB1141" s="169"/>
      <c r="GC1141" s="169"/>
      <c r="GD1141" s="169"/>
      <c r="GE1141" s="169"/>
      <c r="GF1141" s="169"/>
      <c r="GG1141" s="169"/>
      <c r="GW1141" s="951"/>
    </row>
    <row r="1142" spans="182:205" customFormat="1" x14ac:dyDescent="0.3">
      <c r="FZ1142" s="169"/>
      <c r="GA1142" s="169"/>
      <c r="GB1142" s="169"/>
      <c r="GC1142" s="169"/>
      <c r="GD1142" s="169"/>
      <c r="GE1142" s="169"/>
      <c r="GF1142" s="169"/>
      <c r="GG1142" s="169"/>
      <c r="GW1142" s="951"/>
    </row>
    <row r="1143" spans="182:205" customFormat="1" x14ac:dyDescent="0.3">
      <c r="FZ1143" s="169"/>
      <c r="GA1143" s="169"/>
      <c r="GB1143" s="169"/>
      <c r="GC1143" s="169"/>
      <c r="GD1143" s="169"/>
      <c r="GE1143" s="169"/>
      <c r="GF1143" s="169"/>
      <c r="GG1143" s="169"/>
      <c r="GW1143" s="951"/>
    </row>
    <row r="1144" spans="182:205" customFormat="1" x14ac:dyDescent="0.3">
      <c r="FZ1144" s="169"/>
      <c r="GA1144" s="169"/>
      <c r="GB1144" s="169"/>
      <c r="GC1144" s="169"/>
      <c r="GD1144" s="169"/>
      <c r="GE1144" s="169"/>
      <c r="GF1144" s="169"/>
      <c r="GG1144" s="169"/>
      <c r="GW1144" s="951"/>
    </row>
    <row r="1145" spans="182:205" customFormat="1" x14ac:dyDescent="0.3">
      <c r="FZ1145" s="169"/>
      <c r="GA1145" s="169"/>
      <c r="GB1145" s="169"/>
      <c r="GC1145" s="169"/>
      <c r="GD1145" s="169"/>
      <c r="GE1145" s="169"/>
      <c r="GF1145" s="169"/>
      <c r="GG1145" s="169"/>
      <c r="GW1145" s="951"/>
    </row>
    <row r="1146" spans="182:205" customFormat="1" x14ac:dyDescent="0.3">
      <c r="FZ1146" s="169"/>
      <c r="GA1146" s="169"/>
      <c r="GB1146" s="169"/>
      <c r="GC1146" s="169"/>
      <c r="GD1146" s="169"/>
      <c r="GE1146" s="169"/>
      <c r="GF1146" s="169"/>
      <c r="GG1146" s="169"/>
      <c r="GW1146" s="951"/>
    </row>
    <row r="1147" spans="182:205" customFormat="1" x14ac:dyDescent="0.3">
      <c r="FZ1147" s="169"/>
      <c r="GA1147" s="169"/>
      <c r="GB1147" s="169"/>
      <c r="GC1147" s="169"/>
      <c r="GD1147" s="169"/>
      <c r="GE1147" s="169"/>
      <c r="GF1147" s="169"/>
      <c r="GG1147" s="169"/>
      <c r="GW1147" s="951"/>
    </row>
    <row r="1148" spans="182:205" customFormat="1" x14ac:dyDescent="0.3">
      <c r="FZ1148" s="169"/>
      <c r="GA1148" s="169"/>
      <c r="GB1148" s="169"/>
      <c r="GC1148" s="169"/>
      <c r="GD1148" s="169"/>
      <c r="GE1148" s="169"/>
      <c r="GF1148" s="169"/>
      <c r="GG1148" s="169"/>
      <c r="GW1148" s="951"/>
    </row>
    <row r="1149" spans="182:205" customFormat="1" x14ac:dyDescent="0.3">
      <c r="FZ1149" s="169"/>
      <c r="GA1149" s="169"/>
      <c r="GB1149" s="169"/>
      <c r="GC1149" s="169"/>
      <c r="GD1149" s="169"/>
      <c r="GE1149" s="169"/>
      <c r="GF1149" s="169"/>
      <c r="GG1149" s="169"/>
      <c r="GW1149" s="951"/>
    </row>
    <row r="1150" spans="182:205" customFormat="1" x14ac:dyDescent="0.3">
      <c r="FZ1150" s="169"/>
      <c r="GA1150" s="169"/>
      <c r="GB1150" s="169"/>
      <c r="GC1150" s="169"/>
      <c r="GD1150" s="169"/>
      <c r="GE1150" s="169"/>
      <c r="GF1150" s="169"/>
      <c r="GG1150" s="169"/>
      <c r="GW1150" s="951"/>
    </row>
    <row r="1151" spans="182:205" customFormat="1" x14ac:dyDescent="0.3">
      <c r="FZ1151" s="169"/>
      <c r="GA1151" s="169"/>
      <c r="GB1151" s="169"/>
      <c r="GC1151" s="169"/>
      <c r="GD1151" s="169"/>
      <c r="GE1151" s="169"/>
      <c r="GF1151" s="169"/>
      <c r="GG1151" s="169"/>
      <c r="GW1151" s="951"/>
    </row>
    <row r="1152" spans="182:205" customFormat="1" x14ac:dyDescent="0.3">
      <c r="FZ1152" s="169"/>
      <c r="GA1152" s="169"/>
      <c r="GB1152" s="169"/>
      <c r="GC1152" s="169"/>
      <c r="GD1152" s="169"/>
      <c r="GE1152" s="169"/>
      <c r="GF1152" s="169"/>
      <c r="GG1152" s="169"/>
      <c r="GW1152" s="951"/>
    </row>
    <row r="1153" spans="182:205" customFormat="1" x14ac:dyDescent="0.3">
      <c r="FZ1153" s="169"/>
      <c r="GA1153" s="169"/>
      <c r="GB1153" s="169"/>
      <c r="GC1153" s="169"/>
      <c r="GD1153" s="169"/>
      <c r="GE1153" s="169"/>
      <c r="GF1153" s="169"/>
      <c r="GG1153" s="169"/>
      <c r="GW1153" s="951"/>
    </row>
    <row r="1154" spans="182:205" customFormat="1" x14ac:dyDescent="0.3">
      <c r="FZ1154" s="169"/>
      <c r="GA1154" s="169"/>
      <c r="GB1154" s="169"/>
      <c r="GC1154" s="169"/>
      <c r="GD1154" s="169"/>
      <c r="GE1154" s="169"/>
      <c r="GF1154" s="169"/>
      <c r="GG1154" s="169"/>
      <c r="GW1154" s="951"/>
    </row>
    <row r="1155" spans="182:205" customFormat="1" x14ac:dyDescent="0.3">
      <c r="FZ1155" s="169"/>
      <c r="GA1155" s="169"/>
      <c r="GB1155" s="169"/>
      <c r="GC1155" s="169"/>
      <c r="GD1155" s="169"/>
      <c r="GE1155" s="169"/>
      <c r="GF1155" s="169"/>
      <c r="GG1155" s="169"/>
      <c r="GW1155" s="951"/>
    </row>
    <row r="1156" spans="182:205" customFormat="1" x14ac:dyDescent="0.3">
      <c r="FZ1156" s="169"/>
      <c r="GA1156" s="169"/>
      <c r="GB1156" s="169"/>
      <c r="GC1156" s="169"/>
      <c r="GD1156" s="169"/>
      <c r="GE1156" s="169"/>
      <c r="GF1156" s="169"/>
      <c r="GG1156" s="169"/>
      <c r="GW1156" s="951"/>
    </row>
    <row r="1157" spans="182:205" customFormat="1" x14ac:dyDescent="0.3">
      <c r="FZ1157" s="169"/>
      <c r="GA1157" s="169"/>
      <c r="GB1157" s="169"/>
      <c r="GC1157" s="169"/>
      <c r="GD1157" s="169"/>
      <c r="GE1157" s="169"/>
      <c r="GF1157" s="169"/>
      <c r="GG1157" s="169"/>
      <c r="GW1157" s="951"/>
    </row>
    <row r="1158" spans="182:205" customFormat="1" x14ac:dyDescent="0.3">
      <c r="FZ1158" s="169"/>
      <c r="GA1158" s="169"/>
      <c r="GB1158" s="169"/>
      <c r="GC1158" s="169"/>
      <c r="GD1158" s="169"/>
      <c r="GE1158" s="169"/>
      <c r="GF1158" s="169"/>
      <c r="GG1158" s="169"/>
      <c r="GW1158" s="951"/>
    </row>
    <row r="1159" spans="182:205" customFormat="1" x14ac:dyDescent="0.3">
      <c r="FZ1159" s="169"/>
      <c r="GA1159" s="169"/>
      <c r="GB1159" s="169"/>
      <c r="GC1159" s="169"/>
      <c r="GD1159" s="169"/>
      <c r="GE1159" s="169"/>
      <c r="GF1159" s="169"/>
      <c r="GG1159" s="169"/>
      <c r="GW1159" s="951"/>
    </row>
    <row r="1160" spans="182:205" customFormat="1" x14ac:dyDescent="0.3">
      <c r="FZ1160" s="169"/>
      <c r="GA1160" s="169"/>
      <c r="GB1160" s="169"/>
      <c r="GC1160" s="169"/>
      <c r="GD1160" s="169"/>
      <c r="GE1160" s="169"/>
      <c r="GF1160" s="169"/>
      <c r="GG1160" s="169"/>
      <c r="GW1160" s="951"/>
    </row>
    <row r="1161" spans="182:205" customFormat="1" x14ac:dyDescent="0.3">
      <c r="FZ1161" s="169"/>
      <c r="GA1161" s="169"/>
      <c r="GB1161" s="169"/>
      <c r="GC1161" s="169"/>
      <c r="GD1161" s="169"/>
      <c r="GE1161" s="169"/>
      <c r="GF1161" s="169"/>
      <c r="GG1161" s="169"/>
      <c r="GW1161" s="951"/>
    </row>
    <row r="1162" spans="182:205" customFormat="1" x14ac:dyDescent="0.3">
      <c r="FZ1162" s="169"/>
      <c r="GA1162" s="169"/>
      <c r="GB1162" s="169"/>
      <c r="GC1162" s="169"/>
      <c r="GD1162" s="169"/>
      <c r="GE1162" s="169"/>
      <c r="GF1162" s="169"/>
      <c r="GG1162" s="169"/>
      <c r="GW1162" s="951"/>
    </row>
    <row r="1163" spans="182:205" customFormat="1" x14ac:dyDescent="0.3">
      <c r="FZ1163" s="169"/>
      <c r="GA1163" s="169"/>
      <c r="GB1163" s="169"/>
      <c r="GC1163" s="169"/>
      <c r="GD1163" s="169"/>
      <c r="GE1163" s="169"/>
      <c r="GF1163" s="169"/>
      <c r="GG1163" s="169"/>
      <c r="GW1163" s="951"/>
    </row>
    <row r="1164" spans="182:205" customFormat="1" x14ac:dyDescent="0.3">
      <c r="FZ1164" s="169"/>
      <c r="GA1164" s="169"/>
      <c r="GB1164" s="169"/>
      <c r="GC1164" s="169"/>
      <c r="GD1164" s="169"/>
      <c r="GE1164" s="169"/>
      <c r="GF1164" s="169"/>
      <c r="GG1164" s="169"/>
      <c r="GW1164" s="951"/>
    </row>
    <row r="1165" spans="182:205" customFormat="1" x14ac:dyDescent="0.3">
      <c r="FZ1165" s="169"/>
      <c r="GA1165" s="169"/>
      <c r="GB1165" s="169"/>
      <c r="GC1165" s="169"/>
      <c r="GD1165" s="169"/>
      <c r="GE1165" s="169"/>
      <c r="GF1165" s="169"/>
      <c r="GG1165" s="169"/>
      <c r="GW1165" s="951"/>
    </row>
    <row r="1166" spans="182:205" customFormat="1" x14ac:dyDescent="0.3">
      <c r="FZ1166" s="169"/>
      <c r="GA1166" s="169"/>
      <c r="GB1166" s="169"/>
      <c r="GC1166" s="169"/>
      <c r="GD1166" s="169"/>
      <c r="GE1166" s="169"/>
      <c r="GF1166" s="169"/>
      <c r="GG1166" s="169"/>
      <c r="GW1166" s="951"/>
    </row>
    <row r="1167" spans="182:205" customFormat="1" x14ac:dyDescent="0.3">
      <c r="FZ1167" s="169"/>
      <c r="GA1167" s="169"/>
      <c r="GB1167" s="169"/>
      <c r="GC1167" s="169"/>
      <c r="GD1167" s="169"/>
      <c r="GE1167" s="169"/>
      <c r="GF1167" s="169"/>
      <c r="GG1167" s="169"/>
      <c r="GW1167" s="951"/>
    </row>
    <row r="1168" spans="182:205" customFormat="1" x14ac:dyDescent="0.3">
      <c r="FZ1168" s="169"/>
      <c r="GA1168" s="169"/>
      <c r="GB1168" s="169"/>
      <c r="GC1168" s="169"/>
      <c r="GD1168" s="169"/>
      <c r="GE1168" s="169"/>
      <c r="GF1168" s="169"/>
      <c r="GG1168" s="169"/>
      <c r="GW1168" s="951"/>
    </row>
    <row r="1169" spans="182:205" customFormat="1" x14ac:dyDescent="0.3">
      <c r="FZ1169" s="169"/>
      <c r="GA1169" s="169"/>
      <c r="GB1169" s="169"/>
      <c r="GC1169" s="169"/>
      <c r="GD1169" s="169"/>
      <c r="GE1169" s="169"/>
      <c r="GF1169" s="169"/>
      <c r="GG1169" s="169"/>
      <c r="GW1169" s="951"/>
    </row>
    <row r="1170" spans="182:205" customFormat="1" x14ac:dyDescent="0.3">
      <c r="FZ1170" s="169"/>
      <c r="GA1170" s="169"/>
      <c r="GB1170" s="169"/>
      <c r="GC1170" s="169"/>
      <c r="GD1170" s="169"/>
      <c r="GE1170" s="169"/>
      <c r="GF1170" s="169"/>
      <c r="GG1170" s="169"/>
      <c r="GW1170" s="951"/>
    </row>
    <row r="1171" spans="182:205" customFormat="1" x14ac:dyDescent="0.3">
      <c r="FZ1171" s="169"/>
      <c r="GA1171" s="169"/>
      <c r="GB1171" s="169"/>
      <c r="GC1171" s="169"/>
      <c r="GD1171" s="169"/>
      <c r="GE1171" s="169"/>
      <c r="GF1171" s="169"/>
      <c r="GG1171" s="169"/>
      <c r="GW1171" s="951"/>
    </row>
    <row r="1172" spans="182:205" customFormat="1" x14ac:dyDescent="0.3">
      <c r="FZ1172" s="169"/>
      <c r="GA1172" s="169"/>
      <c r="GB1172" s="169"/>
      <c r="GC1172" s="169"/>
      <c r="GD1172" s="169"/>
      <c r="GE1172" s="169"/>
      <c r="GF1172" s="169"/>
      <c r="GG1172" s="169"/>
      <c r="GW1172" s="951"/>
    </row>
    <row r="1173" spans="182:205" customFormat="1" x14ac:dyDescent="0.3">
      <c r="FZ1173" s="169"/>
      <c r="GA1173" s="169"/>
      <c r="GB1173" s="169"/>
      <c r="GC1173" s="169"/>
      <c r="GD1173" s="169"/>
      <c r="GE1173" s="169"/>
      <c r="GF1173" s="169"/>
      <c r="GG1173" s="169"/>
      <c r="GW1173" s="951"/>
    </row>
    <row r="1174" spans="182:205" customFormat="1" x14ac:dyDescent="0.3">
      <c r="FZ1174" s="169"/>
      <c r="GA1174" s="169"/>
      <c r="GB1174" s="169"/>
      <c r="GC1174" s="169"/>
      <c r="GD1174" s="169"/>
      <c r="GE1174" s="169"/>
      <c r="GF1174" s="169"/>
      <c r="GG1174" s="169"/>
      <c r="GW1174" s="951"/>
    </row>
    <row r="1175" spans="182:205" customFormat="1" x14ac:dyDescent="0.3">
      <c r="FZ1175" s="169"/>
      <c r="GA1175" s="169"/>
      <c r="GB1175" s="169"/>
      <c r="GC1175" s="169"/>
      <c r="GD1175" s="169"/>
      <c r="GE1175" s="169"/>
      <c r="GF1175" s="169"/>
      <c r="GG1175" s="169"/>
      <c r="GW1175" s="951"/>
    </row>
    <row r="1176" spans="182:205" customFormat="1" x14ac:dyDescent="0.3">
      <c r="FZ1176" s="169"/>
      <c r="GA1176" s="169"/>
      <c r="GB1176" s="169"/>
      <c r="GC1176" s="169"/>
      <c r="GD1176" s="169"/>
      <c r="GE1176" s="169"/>
      <c r="GF1176" s="169"/>
      <c r="GG1176" s="169"/>
      <c r="GW1176" s="951"/>
    </row>
    <row r="1177" spans="182:205" customFormat="1" x14ac:dyDescent="0.3">
      <c r="FZ1177" s="169"/>
      <c r="GA1177" s="169"/>
      <c r="GB1177" s="169"/>
      <c r="GC1177" s="169"/>
      <c r="GD1177" s="169"/>
      <c r="GE1177" s="169"/>
      <c r="GF1177" s="169"/>
      <c r="GG1177" s="169"/>
      <c r="GW1177" s="951"/>
    </row>
    <row r="1178" spans="182:205" customFormat="1" x14ac:dyDescent="0.3">
      <c r="FZ1178" s="169"/>
      <c r="GA1178" s="169"/>
      <c r="GB1178" s="169"/>
      <c r="GC1178" s="169"/>
      <c r="GD1178" s="169"/>
      <c r="GE1178" s="169"/>
      <c r="GF1178" s="169"/>
      <c r="GG1178" s="169"/>
      <c r="GW1178" s="951"/>
    </row>
    <row r="1179" spans="182:205" customFormat="1" x14ac:dyDescent="0.3">
      <c r="FZ1179" s="169"/>
      <c r="GA1179" s="169"/>
      <c r="GB1179" s="169"/>
      <c r="GC1179" s="169"/>
      <c r="GD1179" s="169"/>
      <c r="GE1179" s="169"/>
      <c r="GF1179" s="169"/>
      <c r="GG1179" s="169"/>
      <c r="GW1179" s="951"/>
    </row>
    <row r="1180" spans="182:205" customFormat="1" x14ac:dyDescent="0.3">
      <c r="FZ1180" s="169"/>
      <c r="GA1180" s="169"/>
      <c r="GB1180" s="169"/>
      <c r="GC1180" s="169"/>
      <c r="GD1180" s="169"/>
      <c r="GE1180" s="169"/>
      <c r="GF1180" s="169"/>
      <c r="GG1180" s="169"/>
      <c r="GW1180" s="951"/>
    </row>
    <row r="1181" spans="182:205" customFormat="1" x14ac:dyDescent="0.3">
      <c r="FZ1181" s="169"/>
      <c r="GA1181" s="169"/>
      <c r="GB1181" s="169"/>
      <c r="GC1181" s="169"/>
      <c r="GD1181" s="169"/>
      <c r="GE1181" s="169"/>
      <c r="GF1181" s="169"/>
      <c r="GG1181" s="169"/>
      <c r="GW1181" s="951"/>
    </row>
    <row r="1182" spans="182:205" customFormat="1" x14ac:dyDescent="0.3">
      <c r="FZ1182" s="169"/>
      <c r="GA1182" s="169"/>
      <c r="GB1182" s="169"/>
      <c r="GC1182" s="169"/>
      <c r="GD1182" s="169"/>
      <c r="GE1182" s="169"/>
      <c r="GF1182" s="169"/>
      <c r="GG1182" s="169"/>
      <c r="GW1182" s="951"/>
    </row>
    <row r="1183" spans="182:205" customFormat="1" x14ac:dyDescent="0.3">
      <c r="FZ1183" s="169"/>
      <c r="GA1183" s="169"/>
      <c r="GB1183" s="169"/>
      <c r="GC1183" s="169"/>
      <c r="GD1183" s="169"/>
      <c r="GE1183" s="169"/>
      <c r="GF1183" s="169"/>
      <c r="GG1183" s="169"/>
      <c r="GW1183" s="951"/>
    </row>
    <row r="1184" spans="182:205" customFormat="1" x14ac:dyDescent="0.3">
      <c r="FZ1184" s="169"/>
      <c r="GA1184" s="169"/>
      <c r="GB1184" s="169"/>
      <c r="GC1184" s="169"/>
      <c r="GD1184" s="169"/>
      <c r="GE1184" s="169"/>
      <c r="GF1184" s="169"/>
      <c r="GG1184" s="169"/>
      <c r="GW1184" s="951"/>
    </row>
    <row r="1185" spans="182:205" customFormat="1" x14ac:dyDescent="0.3">
      <c r="FZ1185" s="169"/>
      <c r="GA1185" s="169"/>
      <c r="GB1185" s="169"/>
      <c r="GC1185" s="169"/>
      <c r="GD1185" s="169"/>
      <c r="GE1185" s="169"/>
      <c r="GF1185" s="169"/>
      <c r="GG1185" s="169"/>
      <c r="GW1185" s="951"/>
    </row>
    <row r="1186" spans="182:205" customFormat="1" x14ac:dyDescent="0.3">
      <c r="FZ1186" s="169"/>
      <c r="GA1186" s="169"/>
      <c r="GB1186" s="169"/>
      <c r="GC1186" s="169"/>
      <c r="GD1186" s="169"/>
      <c r="GE1186" s="169"/>
      <c r="GF1186" s="169"/>
      <c r="GG1186" s="169"/>
      <c r="GW1186" s="951"/>
    </row>
    <row r="1187" spans="182:205" customFormat="1" x14ac:dyDescent="0.3">
      <c r="FZ1187" s="169"/>
      <c r="GA1187" s="169"/>
      <c r="GB1187" s="169"/>
      <c r="GC1187" s="169"/>
      <c r="GD1187" s="169"/>
      <c r="GE1187" s="169"/>
      <c r="GF1187" s="169"/>
      <c r="GG1187" s="169"/>
      <c r="GW1187" s="951"/>
    </row>
    <row r="1188" spans="182:205" customFormat="1" x14ac:dyDescent="0.3">
      <c r="FZ1188" s="169"/>
      <c r="GA1188" s="169"/>
      <c r="GB1188" s="169"/>
      <c r="GC1188" s="169"/>
      <c r="GD1188" s="169"/>
      <c r="GE1188" s="169"/>
      <c r="GF1188" s="169"/>
      <c r="GG1188" s="169"/>
      <c r="GW1188" s="951"/>
    </row>
    <row r="1189" spans="182:205" customFormat="1" x14ac:dyDescent="0.3">
      <c r="FZ1189" s="169"/>
      <c r="GA1189" s="169"/>
      <c r="GB1189" s="169"/>
      <c r="GC1189" s="169"/>
      <c r="GD1189" s="169"/>
      <c r="GE1189" s="169"/>
      <c r="GF1189" s="169"/>
      <c r="GG1189" s="169"/>
      <c r="GW1189" s="951"/>
    </row>
    <row r="1190" spans="182:205" customFormat="1" x14ac:dyDescent="0.3">
      <c r="FZ1190" s="169"/>
      <c r="GA1190" s="169"/>
      <c r="GB1190" s="169"/>
      <c r="GC1190" s="169"/>
      <c r="GD1190" s="169"/>
      <c r="GE1190" s="169"/>
      <c r="GF1190" s="169"/>
      <c r="GG1190" s="169"/>
      <c r="GW1190" s="951"/>
    </row>
    <row r="1191" spans="182:205" customFormat="1" x14ac:dyDescent="0.3">
      <c r="FZ1191" s="169"/>
      <c r="GA1191" s="169"/>
      <c r="GB1191" s="169"/>
      <c r="GC1191" s="169"/>
      <c r="GD1191" s="169"/>
      <c r="GE1191" s="169"/>
      <c r="GF1191" s="169"/>
      <c r="GG1191" s="169"/>
      <c r="GW1191" s="951"/>
    </row>
    <row r="1192" spans="182:205" customFormat="1" x14ac:dyDescent="0.3">
      <c r="FZ1192" s="169"/>
      <c r="GA1192" s="169"/>
      <c r="GB1192" s="169"/>
      <c r="GC1192" s="169"/>
      <c r="GD1192" s="169"/>
      <c r="GE1192" s="169"/>
      <c r="GF1192" s="169"/>
      <c r="GG1192" s="169"/>
      <c r="GW1192" s="951"/>
    </row>
    <row r="1193" spans="182:205" customFormat="1" x14ac:dyDescent="0.3">
      <c r="FZ1193" s="169"/>
      <c r="GA1193" s="169"/>
      <c r="GB1193" s="169"/>
      <c r="GC1193" s="169"/>
      <c r="GD1193" s="169"/>
      <c r="GE1193" s="169"/>
      <c r="GF1193" s="169"/>
      <c r="GG1193" s="169"/>
      <c r="GW1193" s="951"/>
    </row>
    <row r="1194" spans="182:205" customFormat="1" x14ac:dyDescent="0.3">
      <c r="FZ1194" s="169"/>
      <c r="GA1194" s="169"/>
      <c r="GB1194" s="169"/>
      <c r="GC1194" s="169"/>
      <c r="GD1194" s="169"/>
      <c r="GE1194" s="169"/>
      <c r="GF1194" s="169"/>
      <c r="GG1194" s="169"/>
      <c r="GW1194" s="951"/>
    </row>
    <row r="1195" spans="182:205" customFormat="1" x14ac:dyDescent="0.3">
      <c r="FZ1195" s="169"/>
      <c r="GA1195" s="169"/>
      <c r="GB1195" s="169"/>
      <c r="GC1195" s="169"/>
      <c r="GD1195" s="169"/>
      <c r="GE1195" s="169"/>
      <c r="GF1195" s="169"/>
      <c r="GG1195" s="169"/>
      <c r="GW1195" s="951"/>
    </row>
    <row r="1196" spans="182:205" customFormat="1" x14ac:dyDescent="0.3">
      <c r="FZ1196" s="169"/>
      <c r="GA1196" s="169"/>
      <c r="GB1196" s="169"/>
      <c r="GC1196" s="169"/>
      <c r="GD1196" s="169"/>
      <c r="GE1196" s="169"/>
      <c r="GF1196" s="169"/>
      <c r="GG1196" s="169"/>
      <c r="GW1196" s="951"/>
    </row>
    <row r="1197" spans="182:205" customFormat="1" x14ac:dyDescent="0.3">
      <c r="FZ1197" s="169"/>
      <c r="GA1197" s="169"/>
      <c r="GB1197" s="169"/>
      <c r="GC1197" s="169"/>
      <c r="GD1197" s="169"/>
      <c r="GE1197" s="169"/>
      <c r="GF1197" s="169"/>
      <c r="GG1197" s="169"/>
      <c r="GW1197" s="951"/>
    </row>
    <row r="1198" spans="182:205" customFormat="1" x14ac:dyDescent="0.3">
      <c r="FZ1198" s="169"/>
      <c r="GA1198" s="169"/>
      <c r="GB1198" s="169"/>
      <c r="GC1198" s="169"/>
      <c r="GD1198" s="169"/>
      <c r="GE1198" s="169"/>
      <c r="GF1198" s="169"/>
      <c r="GG1198" s="169"/>
      <c r="GW1198" s="951"/>
    </row>
    <row r="1199" spans="182:205" customFormat="1" x14ac:dyDescent="0.3">
      <c r="FZ1199" s="169"/>
      <c r="GA1199" s="169"/>
      <c r="GB1199" s="169"/>
      <c r="GC1199" s="169"/>
      <c r="GD1199" s="169"/>
      <c r="GE1199" s="169"/>
      <c r="GF1199" s="169"/>
      <c r="GG1199" s="169"/>
      <c r="GW1199" s="951"/>
    </row>
    <row r="1200" spans="182:205" customFormat="1" x14ac:dyDescent="0.3">
      <c r="FZ1200" s="169"/>
      <c r="GA1200" s="169"/>
      <c r="GB1200" s="169"/>
      <c r="GC1200" s="169"/>
      <c r="GD1200" s="169"/>
      <c r="GE1200" s="169"/>
      <c r="GF1200" s="169"/>
      <c r="GG1200" s="169"/>
      <c r="GW1200" s="951"/>
    </row>
    <row r="1201" spans="182:205" customFormat="1" x14ac:dyDescent="0.3">
      <c r="FZ1201" s="169"/>
      <c r="GA1201" s="169"/>
      <c r="GB1201" s="169"/>
      <c r="GC1201" s="169"/>
      <c r="GD1201" s="169"/>
      <c r="GE1201" s="169"/>
      <c r="GF1201" s="169"/>
      <c r="GG1201" s="169"/>
      <c r="GW1201" s="951"/>
    </row>
    <row r="1202" spans="182:205" customFormat="1" x14ac:dyDescent="0.3">
      <c r="FZ1202" s="169"/>
      <c r="GA1202" s="169"/>
      <c r="GB1202" s="169"/>
      <c r="GC1202" s="169"/>
      <c r="GD1202" s="169"/>
      <c r="GE1202" s="169"/>
      <c r="GF1202" s="169"/>
      <c r="GG1202" s="169"/>
      <c r="GW1202" s="951"/>
    </row>
    <row r="1203" spans="182:205" customFormat="1" x14ac:dyDescent="0.3">
      <c r="FZ1203" s="169"/>
      <c r="GA1203" s="169"/>
      <c r="GB1203" s="169"/>
      <c r="GC1203" s="169"/>
      <c r="GD1203" s="169"/>
      <c r="GE1203" s="169"/>
      <c r="GF1203" s="169"/>
      <c r="GG1203" s="169"/>
      <c r="GW1203" s="951"/>
    </row>
    <row r="1204" spans="182:205" customFormat="1" x14ac:dyDescent="0.3">
      <c r="FZ1204" s="169"/>
      <c r="GA1204" s="169"/>
      <c r="GB1204" s="169"/>
      <c r="GC1204" s="169"/>
      <c r="GD1204" s="169"/>
      <c r="GE1204" s="169"/>
      <c r="GF1204" s="169"/>
      <c r="GG1204" s="169"/>
      <c r="GW1204" s="951"/>
    </row>
    <row r="1205" spans="182:205" customFormat="1" x14ac:dyDescent="0.3">
      <c r="FZ1205" s="169"/>
      <c r="GA1205" s="169"/>
      <c r="GB1205" s="169"/>
      <c r="GC1205" s="169"/>
      <c r="GD1205" s="169"/>
      <c r="GE1205" s="169"/>
      <c r="GF1205" s="169"/>
      <c r="GG1205" s="169"/>
      <c r="GW1205" s="951"/>
    </row>
    <row r="1206" spans="182:205" customFormat="1" x14ac:dyDescent="0.3">
      <c r="FZ1206" s="169"/>
      <c r="GA1206" s="169"/>
      <c r="GB1206" s="169"/>
      <c r="GC1206" s="169"/>
      <c r="GD1206" s="169"/>
      <c r="GE1206" s="169"/>
      <c r="GF1206" s="169"/>
      <c r="GG1206" s="169"/>
      <c r="GW1206" s="951"/>
    </row>
    <row r="1207" spans="182:205" customFormat="1" x14ac:dyDescent="0.3">
      <c r="FZ1207" s="169"/>
      <c r="GA1207" s="169"/>
      <c r="GB1207" s="169"/>
      <c r="GC1207" s="169"/>
      <c r="GD1207" s="169"/>
      <c r="GE1207" s="169"/>
      <c r="GF1207" s="169"/>
      <c r="GG1207" s="169"/>
      <c r="GW1207" s="951"/>
    </row>
    <row r="1208" spans="182:205" customFormat="1" x14ac:dyDescent="0.3">
      <c r="FZ1208" s="169"/>
      <c r="GA1208" s="169"/>
      <c r="GB1208" s="169"/>
      <c r="GC1208" s="169"/>
      <c r="GD1208" s="169"/>
      <c r="GE1208" s="169"/>
      <c r="GF1208" s="169"/>
      <c r="GG1208" s="169"/>
      <c r="GW1208" s="951"/>
    </row>
    <row r="1209" spans="182:205" customFormat="1" x14ac:dyDescent="0.3">
      <c r="FZ1209" s="169"/>
      <c r="GA1209" s="169"/>
      <c r="GB1209" s="169"/>
      <c r="GC1209" s="169"/>
      <c r="GD1209" s="169"/>
      <c r="GE1209" s="169"/>
      <c r="GF1209" s="169"/>
      <c r="GG1209" s="169"/>
      <c r="GW1209" s="951"/>
    </row>
    <row r="1210" spans="182:205" customFormat="1" x14ac:dyDescent="0.3">
      <c r="FZ1210" s="169"/>
      <c r="GA1210" s="169"/>
      <c r="GB1210" s="169"/>
      <c r="GC1210" s="169"/>
      <c r="GD1210" s="169"/>
      <c r="GE1210" s="169"/>
      <c r="GF1210" s="169"/>
      <c r="GG1210" s="169"/>
      <c r="GW1210" s="951"/>
    </row>
    <row r="1211" spans="182:205" customFormat="1" x14ac:dyDescent="0.3">
      <c r="FZ1211" s="169"/>
      <c r="GA1211" s="169"/>
      <c r="GB1211" s="169"/>
      <c r="GC1211" s="169"/>
      <c r="GD1211" s="169"/>
      <c r="GE1211" s="169"/>
      <c r="GF1211" s="169"/>
      <c r="GG1211" s="169"/>
      <c r="GW1211" s="951"/>
    </row>
    <row r="1212" spans="182:205" customFormat="1" x14ac:dyDescent="0.3">
      <c r="FZ1212" s="169"/>
      <c r="GA1212" s="169"/>
      <c r="GB1212" s="169"/>
      <c r="GC1212" s="169"/>
      <c r="GD1212" s="169"/>
      <c r="GE1212" s="169"/>
      <c r="GF1212" s="169"/>
      <c r="GG1212" s="169"/>
      <c r="GW1212" s="951"/>
    </row>
    <row r="1213" spans="182:205" customFormat="1" x14ac:dyDescent="0.3">
      <c r="FZ1213" s="169"/>
      <c r="GA1213" s="169"/>
      <c r="GB1213" s="169"/>
      <c r="GC1213" s="169"/>
      <c r="GD1213" s="169"/>
      <c r="GE1213" s="169"/>
      <c r="GF1213" s="169"/>
      <c r="GG1213" s="169"/>
      <c r="GW1213" s="951"/>
    </row>
    <row r="1214" spans="182:205" customFormat="1" x14ac:dyDescent="0.3">
      <c r="FZ1214" s="169"/>
      <c r="GA1214" s="169"/>
      <c r="GB1214" s="169"/>
      <c r="GC1214" s="169"/>
      <c r="GD1214" s="169"/>
      <c r="GE1214" s="169"/>
      <c r="GF1214" s="169"/>
      <c r="GG1214" s="169"/>
      <c r="GW1214" s="951"/>
    </row>
    <row r="1215" spans="182:205" customFormat="1" x14ac:dyDescent="0.3">
      <c r="FZ1215" s="169"/>
      <c r="GA1215" s="169"/>
      <c r="GB1215" s="169"/>
      <c r="GC1215" s="169"/>
      <c r="GD1215" s="169"/>
      <c r="GE1215" s="169"/>
      <c r="GF1215" s="169"/>
      <c r="GG1215" s="169"/>
      <c r="GW1215" s="951"/>
    </row>
    <row r="1216" spans="182:205" customFormat="1" x14ac:dyDescent="0.3">
      <c r="FZ1216" s="169"/>
      <c r="GA1216" s="169"/>
      <c r="GB1216" s="169"/>
      <c r="GC1216" s="169"/>
      <c r="GD1216" s="169"/>
      <c r="GE1216" s="169"/>
      <c r="GF1216" s="169"/>
      <c r="GG1216" s="169"/>
      <c r="GW1216" s="951"/>
    </row>
    <row r="1217" spans="182:205" customFormat="1" x14ac:dyDescent="0.3">
      <c r="FZ1217" s="169"/>
      <c r="GA1217" s="169"/>
      <c r="GB1217" s="169"/>
      <c r="GC1217" s="169"/>
      <c r="GD1217" s="169"/>
      <c r="GE1217" s="169"/>
      <c r="GF1217" s="169"/>
      <c r="GG1217" s="169"/>
      <c r="GW1217" s="951"/>
    </row>
    <row r="1218" spans="182:205" customFormat="1" x14ac:dyDescent="0.3">
      <c r="FZ1218" s="169"/>
      <c r="GA1218" s="169"/>
      <c r="GB1218" s="169"/>
      <c r="GC1218" s="169"/>
      <c r="GD1218" s="169"/>
      <c r="GE1218" s="169"/>
      <c r="GF1218" s="169"/>
      <c r="GG1218" s="169"/>
      <c r="GW1218" s="951"/>
    </row>
    <row r="1219" spans="182:205" customFormat="1" x14ac:dyDescent="0.3">
      <c r="FZ1219" s="169"/>
      <c r="GA1219" s="169"/>
      <c r="GB1219" s="169"/>
      <c r="GC1219" s="169"/>
      <c r="GD1219" s="169"/>
      <c r="GE1219" s="169"/>
      <c r="GF1219" s="169"/>
      <c r="GG1219" s="169"/>
      <c r="GW1219" s="951"/>
    </row>
    <row r="1220" spans="182:205" customFormat="1" x14ac:dyDescent="0.3">
      <c r="FZ1220" s="169"/>
      <c r="GA1220" s="169"/>
      <c r="GB1220" s="169"/>
      <c r="GC1220" s="169"/>
      <c r="GD1220" s="169"/>
      <c r="GE1220" s="169"/>
      <c r="GF1220" s="169"/>
      <c r="GG1220" s="169"/>
      <c r="GW1220" s="951"/>
    </row>
    <row r="1221" spans="182:205" customFormat="1" x14ac:dyDescent="0.3">
      <c r="FZ1221" s="169"/>
      <c r="GA1221" s="169"/>
      <c r="GB1221" s="169"/>
      <c r="GC1221" s="169"/>
      <c r="GD1221" s="169"/>
      <c r="GE1221" s="169"/>
      <c r="GF1221" s="169"/>
      <c r="GG1221" s="169"/>
      <c r="GW1221" s="951"/>
    </row>
    <row r="1222" spans="182:205" customFormat="1" x14ac:dyDescent="0.3">
      <c r="FZ1222" s="169"/>
      <c r="GA1222" s="169"/>
      <c r="GB1222" s="169"/>
      <c r="GC1222" s="169"/>
      <c r="GD1222" s="169"/>
      <c r="GE1222" s="169"/>
      <c r="GF1222" s="169"/>
      <c r="GG1222" s="169"/>
      <c r="GW1222" s="951"/>
    </row>
    <row r="1223" spans="182:205" customFormat="1" x14ac:dyDescent="0.3">
      <c r="FZ1223" s="169"/>
      <c r="GA1223" s="169"/>
      <c r="GB1223" s="169"/>
      <c r="GC1223" s="169"/>
      <c r="GD1223" s="169"/>
      <c r="GE1223" s="169"/>
      <c r="GF1223" s="169"/>
      <c r="GG1223" s="169"/>
      <c r="GW1223" s="951"/>
    </row>
    <row r="1224" spans="182:205" customFormat="1" x14ac:dyDescent="0.3">
      <c r="FZ1224" s="169"/>
      <c r="GA1224" s="169"/>
      <c r="GB1224" s="169"/>
      <c r="GC1224" s="169"/>
      <c r="GD1224" s="169"/>
      <c r="GE1224" s="169"/>
      <c r="GF1224" s="169"/>
      <c r="GG1224" s="169"/>
      <c r="GW1224" s="951"/>
    </row>
    <row r="1225" spans="182:205" customFormat="1" x14ac:dyDescent="0.3">
      <c r="FZ1225" s="169"/>
      <c r="GA1225" s="169"/>
      <c r="GB1225" s="169"/>
      <c r="GC1225" s="169"/>
      <c r="GD1225" s="169"/>
      <c r="GE1225" s="169"/>
      <c r="GF1225" s="169"/>
      <c r="GG1225" s="169"/>
      <c r="GW1225" s="951"/>
    </row>
    <row r="1226" spans="182:205" customFormat="1" x14ac:dyDescent="0.3">
      <c r="FZ1226" s="169"/>
      <c r="GA1226" s="169"/>
      <c r="GB1226" s="169"/>
      <c r="GC1226" s="169"/>
      <c r="GD1226" s="169"/>
      <c r="GE1226" s="169"/>
      <c r="GF1226" s="169"/>
      <c r="GG1226" s="169"/>
      <c r="GW1226" s="951"/>
    </row>
    <row r="1227" spans="182:205" customFormat="1" x14ac:dyDescent="0.3">
      <c r="FZ1227" s="169"/>
      <c r="GA1227" s="169"/>
      <c r="GB1227" s="169"/>
      <c r="GC1227" s="169"/>
      <c r="GD1227" s="169"/>
      <c r="GE1227" s="169"/>
      <c r="GF1227" s="169"/>
      <c r="GG1227" s="169"/>
      <c r="GW1227" s="951"/>
    </row>
    <row r="1228" spans="182:205" customFormat="1" x14ac:dyDescent="0.3">
      <c r="FZ1228" s="169"/>
      <c r="GA1228" s="169"/>
      <c r="GB1228" s="169"/>
      <c r="GC1228" s="169"/>
      <c r="GD1228" s="169"/>
      <c r="GE1228" s="169"/>
      <c r="GF1228" s="169"/>
      <c r="GG1228" s="169"/>
      <c r="GW1228" s="951"/>
    </row>
    <row r="1229" spans="182:205" customFormat="1" x14ac:dyDescent="0.3">
      <c r="FZ1229" s="169"/>
      <c r="GA1229" s="169"/>
      <c r="GB1229" s="169"/>
      <c r="GC1229" s="169"/>
      <c r="GD1229" s="169"/>
      <c r="GE1229" s="169"/>
      <c r="GF1229" s="169"/>
      <c r="GG1229" s="169"/>
      <c r="GW1229" s="951"/>
    </row>
    <row r="1230" spans="182:205" customFormat="1" x14ac:dyDescent="0.3">
      <c r="FZ1230" s="169"/>
      <c r="GA1230" s="169"/>
      <c r="GB1230" s="169"/>
      <c r="GC1230" s="169"/>
      <c r="GD1230" s="169"/>
      <c r="GE1230" s="169"/>
      <c r="GF1230" s="169"/>
      <c r="GG1230" s="169"/>
      <c r="GW1230" s="951"/>
    </row>
    <row r="1231" spans="182:205" customFormat="1" x14ac:dyDescent="0.3">
      <c r="FZ1231" s="169"/>
      <c r="GA1231" s="169"/>
      <c r="GB1231" s="169"/>
      <c r="GC1231" s="169"/>
      <c r="GD1231" s="169"/>
      <c r="GE1231" s="169"/>
      <c r="GF1231" s="169"/>
      <c r="GG1231" s="169"/>
      <c r="GW1231" s="951"/>
    </row>
    <row r="1232" spans="182:205" customFormat="1" x14ac:dyDescent="0.3">
      <c r="FZ1232" s="169"/>
      <c r="GA1232" s="169"/>
      <c r="GB1232" s="169"/>
      <c r="GC1232" s="169"/>
      <c r="GD1232" s="169"/>
      <c r="GE1232" s="169"/>
      <c r="GF1232" s="169"/>
      <c r="GG1232" s="169"/>
      <c r="GW1232" s="951"/>
    </row>
    <row r="1233" spans="182:205" customFormat="1" x14ac:dyDescent="0.3">
      <c r="FZ1233" s="169"/>
      <c r="GA1233" s="169"/>
      <c r="GB1233" s="169"/>
      <c r="GC1233" s="169"/>
      <c r="GD1233" s="169"/>
      <c r="GE1233" s="169"/>
      <c r="GF1233" s="169"/>
      <c r="GG1233" s="169"/>
      <c r="GW1233" s="951"/>
    </row>
    <row r="1234" spans="182:205" customFormat="1" x14ac:dyDescent="0.3">
      <c r="FZ1234" s="169"/>
      <c r="GA1234" s="169"/>
      <c r="GB1234" s="169"/>
      <c r="GC1234" s="169"/>
      <c r="GD1234" s="169"/>
      <c r="GE1234" s="169"/>
      <c r="GF1234" s="169"/>
      <c r="GG1234" s="169"/>
      <c r="GW1234" s="951"/>
    </row>
    <row r="1235" spans="182:205" customFormat="1" x14ac:dyDescent="0.3">
      <c r="FZ1235" s="169"/>
      <c r="GA1235" s="169"/>
      <c r="GB1235" s="169"/>
      <c r="GC1235" s="169"/>
      <c r="GD1235" s="169"/>
      <c r="GE1235" s="169"/>
      <c r="GF1235" s="169"/>
      <c r="GG1235" s="169"/>
      <c r="GW1235" s="951"/>
    </row>
    <row r="1236" spans="182:205" customFormat="1" x14ac:dyDescent="0.3">
      <c r="FZ1236" s="169"/>
      <c r="GA1236" s="169"/>
      <c r="GB1236" s="169"/>
      <c r="GC1236" s="169"/>
      <c r="GD1236" s="169"/>
      <c r="GE1236" s="169"/>
      <c r="GF1236" s="169"/>
      <c r="GG1236" s="169"/>
      <c r="GW1236" s="951"/>
    </row>
    <row r="1237" spans="182:205" customFormat="1" x14ac:dyDescent="0.3">
      <c r="FZ1237" s="169"/>
      <c r="GA1237" s="169"/>
      <c r="GB1237" s="169"/>
      <c r="GC1237" s="169"/>
      <c r="GD1237" s="169"/>
      <c r="GE1237" s="169"/>
      <c r="GF1237" s="169"/>
      <c r="GG1237" s="169"/>
      <c r="GW1237" s="951"/>
    </row>
    <row r="1238" spans="182:205" customFormat="1" x14ac:dyDescent="0.3">
      <c r="FZ1238" s="169"/>
      <c r="GA1238" s="169"/>
      <c r="GB1238" s="169"/>
      <c r="GC1238" s="169"/>
      <c r="GD1238" s="169"/>
      <c r="GE1238" s="169"/>
      <c r="GF1238" s="169"/>
      <c r="GG1238" s="169"/>
      <c r="GW1238" s="951"/>
    </row>
    <row r="1239" spans="182:205" customFormat="1" x14ac:dyDescent="0.3">
      <c r="FZ1239" s="169"/>
      <c r="GA1239" s="169"/>
      <c r="GB1239" s="169"/>
      <c r="GC1239" s="169"/>
      <c r="GD1239" s="169"/>
      <c r="GE1239" s="169"/>
      <c r="GF1239" s="169"/>
      <c r="GG1239" s="169"/>
      <c r="GW1239" s="951"/>
    </row>
    <row r="1240" spans="182:205" customFormat="1" x14ac:dyDescent="0.3">
      <c r="FZ1240" s="169"/>
      <c r="GA1240" s="169"/>
      <c r="GB1240" s="169"/>
      <c r="GC1240" s="169"/>
      <c r="GD1240" s="169"/>
      <c r="GE1240" s="169"/>
      <c r="GF1240" s="169"/>
      <c r="GG1240" s="169"/>
      <c r="GW1240" s="951"/>
    </row>
    <row r="1241" spans="182:205" customFormat="1" x14ac:dyDescent="0.3">
      <c r="FZ1241" s="169"/>
      <c r="GA1241" s="169"/>
      <c r="GB1241" s="169"/>
      <c r="GC1241" s="169"/>
      <c r="GD1241" s="169"/>
      <c r="GE1241" s="169"/>
      <c r="GF1241" s="169"/>
      <c r="GG1241" s="169"/>
      <c r="GW1241" s="951"/>
    </row>
    <row r="1242" spans="182:205" customFormat="1" x14ac:dyDescent="0.3">
      <c r="FZ1242" s="169"/>
      <c r="GA1242" s="169"/>
      <c r="GB1242" s="169"/>
      <c r="GC1242" s="169"/>
      <c r="GD1242" s="169"/>
      <c r="GE1242" s="169"/>
      <c r="GF1242" s="169"/>
      <c r="GG1242" s="169"/>
      <c r="GW1242" s="951"/>
    </row>
    <row r="1243" spans="182:205" customFormat="1" x14ac:dyDescent="0.3">
      <c r="FZ1243" s="169"/>
      <c r="GA1243" s="169"/>
      <c r="GB1243" s="169"/>
      <c r="GC1243" s="169"/>
      <c r="GD1243" s="169"/>
      <c r="GE1243" s="169"/>
      <c r="GF1243" s="169"/>
      <c r="GG1243" s="169"/>
      <c r="GW1243" s="951"/>
    </row>
    <row r="1244" spans="182:205" customFormat="1" x14ac:dyDescent="0.3">
      <c r="FZ1244" s="169"/>
      <c r="GA1244" s="169"/>
      <c r="GB1244" s="169"/>
      <c r="GC1244" s="169"/>
      <c r="GD1244" s="169"/>
      <c r="GE1244" s="169"/>
      <c r="GF1244" s="169"/>
      <c r="GG1244" s="169"/>
      <c r="GW1244" s="951"/>
    </row>
    <row r="1245" spans="182:205" customFormat="1" x14ac:dyDescent="0.3">
      <c r="FZ1245" s="169"/>
      <c r="GA1245" s="169"/>
      <c r="GB1245" s="169"/>
      <c r="GC1245" s="169"/>
      <c r="GD1245" s="169"/>
      <c r="GE1245" s="169"/>
      <c r="GF1245" s="169"/>
      <c r="GG1245" s="169"/>
      <c r="GW1245" s="951"/>
    </row>
    <row r="1246" spans="182:205" customFormat="1" x14ac:dyDescent="0.3">
      <c r="FZ1246" s="169"/>
      <c r="GA1246" s="169"/>
      <c r="GB1246" s="169"/>
      <c r="GC1246" s="169"/>
      <c r="GD1246" s="169"/>
      <c r="GE1246" s="169"/>
      <c r="GF1246" s="169"/>
      <c r="GG1246" s="169"/>
      <c r="GW1246" s="951"/>
    </row>
    <row r="1247" spans="182:205" customFormat="1" x14ac:dyDescent="0.3">
      <c r="FZ1247" s="169"/>
      <c r="GA1247" s="169"/>
      <c r="GB1247" s="169"/>
      <c r="GC1247" s="169"/>
      <c r="GD1247" s="169"/>
      <c r="GE1247" s="169"/>
      <c r="GF1247" s="169"/>
      <c r="GG1247" s="169"/>
      <c r="GW1247" s="951"/>
    </row>
    <row r="1248" spans="182:205" customFormat="1" x14ac:dyDescent="0.3">
      <c r="FZ1248" s="169"/>
      <c r="GA1248" s="169"/>
      <c r="GB1248" s="169"/>
      <c r="GC1248" s="169"/>
      <c r="GD1248" s="169"/>
      <c r="GE1248" s="169"/>
      <c r="GF1248" s="169"/>
      <c r="GG1248" s="169"/>
      <c r="GW1248" s="951"/>
    </row>
    <row r="1249" spans="182:205" customFormat="1" x14ac:dyDescent="0.3">
      <c r="FZ1249" s="169"/>
      <c r="GA1249" s="169"/>
      <c r="GB1249" s="169"/>
      <c r="GC1249" s="169"/>
      <c r="GD1249" s="169"/>
      <c r="GE1249" s="169"/>
      <c r="GF1249" s="169"/>
      <c r="GG1249" s="169"/>
      <c r="GW1249" s="951"/>
    </row>
    <row r="1250" spans="182:205" customFormat="1" x14ac:dyDescent="0.3">
      <c r="FZ1250" s="169"/>
      <c r="GA1250" s="169"/>
      <c r="GB1250" s="169"/>
      <c r="GC1250" s="169"/>
      <c r="GD1250" s="169"/>
      <c r="GE1250" s="169"/>
      <c r="GF1250" s="169"/>
      <c r="GG1250" s="169"/>
      <c r="GW1250" s="951"/>
    </row>
    <row r="1251" spans="182:205" customFormat="1" x14ac:dyDescent="0.3">
      <c r="FZ1251" s="169"/>
      <c r="GA1251" s="169"/>
      <c r="GB1251" s="169"/>
      <c r="GC1251" s="169"/>
      <c r="GD1251" s="169"/>
      <c r="GE1251" s="169"/>
      <c r="GF1251" s="169"/>
      <c r="GG1251" s="169"/>
      <c r="GW1251" s="951"/>
    </row>
    <row r="1252" spans="182:205" customFormat="1" x14ac:dyDescent="0.3">
      <c r="FZ1252" s="169"/>
      <c r="GA1252" s="169"/>
      <c r="GB1252" s="169"/>
      <c r="GC1252" s="169"/>
      <c r="GD1252" s="169"/>
      <c r="GE1252" s="169"/>
      <c r="GF1252" s="169"/>
      <c r="GG1252" s="169"/>
      <c r="GW1252" s="951"/>
    </row>
    <row r="1253" spans="182:205" customFormat="1" x14ac:dyDescent="0.3">
      <c r="FZ1253" s="169"/>
      <c r="GA1253" s="169"/>
      <c r="GB1253" s="169"/>
      <c r="GC1253" s="169"/>
      <c r="GD1253" s="169"/>
      <c r="GE1253" s="169"/>
      <c r="GF1253" s="169"/>
      <c r="GG1253" s="169"/>
      <c r="GW1253" s="951"/>
    </row>
    <row r="1254" spans="182:205" customFormat="1" x14ac:dyDescent="0.3">
      <c r="FZ1254" s="169"/>
      <c r="GA1254" s="169"/>
      <c r="GB1254" s="169"/>
      <c r="GC1254" s="169"/>
      <c r="GD1254" s="169"/>
      <c r="GE1254" s="169"/>
      <c r="GF1254" s="169"/>
      <c r="GG1254" s="169"/>
      <c r="GW1254" s="951"/>
    </row>
    <row r="1255" spans="182:205" customFormat="1" x14ac:dyDescent="0.3">
      <c r="FZ1255" s="169"/>
      <c r="GA1255" s="169"/>
      <c r="GB1255" s="169"/>
      <c r="GC1255" s="169"/>
      <c r="GD1255" s="169"/>
      <c r="GE1255" s="169"/>
      <c r="GF1255" s="169"/>
      <c r="GG1255" s="169"/>
      <c r="GW1255" s="951"/>
    </row>
    <row r="1256" spans="182:205" customFormat="1" x14ac:dyDescent="0.3">
      <c r="FZ1256" s="169"/>
      <c r="GA1256" s="169"/>
      <c r="GB1256" s="169"/>
      <c r="GC1256" s="169"/>
      <c r="GD1256" s="169"/>
      <c r="GE1256" s="169"/>
      <c r="GF1256" s="169"/>
      <c r="GG1256" s="169"/>
      <c r="GW1256" s="951"/>
    </row>
    <row r="1257" spans="182:205" customFormat="1" x14ac:dyDescent="0.3">
      <c r="FZ1257" s="169"/>
      <c r="GA1257" s="169"/>
      <c r="GB1257" s="169"/>
      <c r="GC1257" s="169"/>
      <c r="GD1257" s="169"/>
      <c r="GE1257" s="169"/>
      <c r="GF1257" s="169"/>
      <c r="GG1257" s="169"/>
      <c r="GW1257" s="951"/>
    </row>
    <row r="1258" spans="182:205" customFormat="1" x14ac:dyDescent="0.3">
      <c r="FZ1258" s="169"/>
      <c r="GA1258" s="169"/>
      <c r="GB1258" s="169"/>
      <c r="GC1258" s="169"/>
      <c r="GD1258" s="169"/>
      <c r="GE1258" s="169"/>
      <c r="GF1258" s="169"/>
      <c r="GG1258" s="169"/>
      <c r="GW1258" s="951"/>
    </row>
    <row r="1259" spans="182:205" customFormat="1" x14ac:dyDescent="0.3">
      <c r="FZ1259" s="169"/>
      <c r="GA1259" s="169"/>
      <c r="GB1259" s="169"/>
      <c r="GC1259" s="169"/>
      <c r="GD1259" s="169"/>
      <c r="GE1259" s="169"/>
      <c r="GF1259" s="169"/>
      <c r="GG1259" s="169"/>
      <c r="GW1259" s="951"/>
    </row>
    <row r="1260" spans="182:205" customFormat="1" x14ac:dyDescent="0.3">
      <c r="FZ1260" s="169"/>
      <c r="GA1260" s="169"/>
      <c r="GB1260" s="169"/>
      <c r="GC1260" s="169"/>
      <c r="GD1260" s="169"/>
      <c r="GE1260" s="169"/>
      <c r="GF1260" s="169"/>
      <c r="GG1260" s="169"/>
      <c r="GW1260" s="951"/>
    </row>
    <row r="1261" spans="182:205" customFormat="1" x14ac:dyDescent="0.3">
      <c r="FZ1261" s="169"/>
      <c r="GA1261" s="169"/>
      <c r="GB1261" s="169"/>
      <c r="GC1261" s="169"/>
      <c r="GD1261" s="169"/>
      <c r="GE1261" s="169"/>
      <c r="GF1261" s="169"/>
      <c r="GG1261" s="169"/>
      <c r="GW1261" s="951"/>
    </row>
    <row r="1262" spans="182:205" customFormat="1" x14ac:dyDescent="0.3">
      <c r="FZ1262" s="169"/>
      <c r="GA1262" s="169"/>
      <c r="GB1262" s="169"/>
      <c r="GC1262" s="169"/>
      <c r="GD1262" s="169"/>
      <c r="GE1262" s="169"/>
      <c r="GF1262" s="169"/>
      <c r="GG1262" s="169"/>
      <c r="GW1262" s="951"/>
    </row>
    <row r="1263" spans="182:205" customFormat="1" x14ac:dyDescent="0.3">
      <c r="FZ1263" s="169"/>
      <c r="GA1263" s="169"/>
      <c r="GB1263" s="169"/>
      <c r="GC1263" s="169"/>
      <c r="GD1263" s="169"/>
      <c r="GE1263" s="169"/>
      <c r="GF1263" s="169"/>
      <c r="GG1263" s="169"/>
      <c r="GW1263" s="951"/>
    </row>
    <row r="1264" spans="182:205" customFormat="1" x14ac:dyDescent="0.3">
      <c r="FZ1264" s="169"/>
      <c r="GA1264" s="169"/>
      <c r="GB1264" s="169"/>
      <c r="GC1264" s="169"/>
      <c r="GD1264" s="169"/>
      <c r="GE1264" s="169"/>
      <c r="GF1264" s="169"/>
      <c r="GG1264" s="169"/>
      <c r="GW1264" s="951"/>
    </row>
    <row r="1265" spans="182:205" customFormat="1" x14ac:dyDescent="0.3">
      <c r="FZ1265" s="169"/>
      <c r="GA1265" s="169"/>
      <c r="GB1265" s="169"/>
      <c r="GC1265" s="169"/>
      <c r="GD1265" s="169"/>
      <c r="GE1265" s="169"/>
      <c r="GF1265" s="169"/>
      <c r="GG1265" s="169"/>
      <c r="GW1265" s="951"/>
    </row>
    <row r="1266" spans="182:205" customFormat="1" x14ac:dyDescent="0.3">
      <c r="FZ1266" s="169"/>
      <c r="GA1266" s="169"/>
      <c r="GB1266" s="169"/>
      <c r="GC1266" s="169"/>
      <c r="GD1266" s="169"/>
      <c r="GE1266" s="169"/>
      <c r="GF1266" s="169"/>
      <c r="GG1266" s="169"/>
      <c r="GW1266" s="951"/>
    </row>
    <row r="1267" spans="182:205" customFormat="1" x14ac:dyDescent="0.3">
      <c r="FZ1267" s="169"/>
      <c r="GA1267" s="169"/>
      <c r="GB1267" s="169"/>
      <c r="GC1267" s="169"/>
      <c r="GD1267" s="169"/>
      <c r="GE1267" s="169"/>
      <c r="GF1267" s="169"/>
      <c r="GG1267" s="169"/>
      <c r="GW1267" s="951"/>
    </row>
    <row r="1268" spans="182:205" customFormat="1" x14ac:dyDescent="0.3">
      <c r="FZ1268" s="169"/>
      <c r="GA1268" s="169"/>
      <c r="GB1268" s="169"/>
      <c r="GC1268" s="169"/>
      <c r="GD1268" s="169"/>
      <c r="GE1268" s="169"/>
      <c r="GF1268" s="169"/>
      <c r="GG1268" s="169"/>
      <c r="GW1268" s="951"/>
    </row>
    <row r="1269" spans="182:205" customFormat="1" x14ac:dyDescent="0.3">
      <c r="FZ1269" s="169"/>
      <c r="GA1269" s="169"/>
      <c r="GB1269" s="169"/>
      <c r="GC1269" s="169"/>
      <c r="GD1269" s="169"/>
      <c r="GE1269" s="169"/>
      <c r="GF1269" s="169"/>
      <c r="GG1269" s="169"/>
      <c r="GW1269" s="951"/>
    </row>
    <row r="1270" spans="182:205" customFormat="1" x14ac:dyDescent="0.3">
      <c r="FZ1270" s="169"/>
      <c r="GA1270" s="169"/>
      <c r="GB1270" s="169"/>
      <c r="GC1270" s="169"/>
      <c r="GD1270" s="169"/>
      <c r="GE1270" s="169"/>
      <c r="GF1270" s="169"/>
      <c r="GG1270" s="169"/>
      <c r="GW1270" s="951"/>
    </row>
    <row r="1271" spans="182:205" customFormat="1" x14ac:dyDescent="0.3">
      <c r="FZ1271" s="169"/>
      <c r="GA1271" s="169"/>
      <c r="GB1271" s="169"/>
      <c r="GC1271" s="169"/>
      <c r="GD1271" s="169"/>
      <c r="GE1271" s="169"/>
      <c r="GF1271" s="169"/>
      <c r="GG1271" s="169"/>
      <c r="GW1271" s="951"/>
    </row>
    <row r="1272" spans="182:205" customFormat="1" x14ac:dyDescent="0.3">
      <c r="FZ1272" s="169"/>
      <c r="GA1272" s="169"/>
      <c r="GB1272" s="169"/>
      <c r="GC1272" s="169"/>
      <c r="GD1272" s="169"/>
      <c r="GE1272" s="169"/>
      <c r="GF1272" s="169"/>
      <c r="GG1272" s="169"/>
      <c r="GW1272" s="951"/>
    </row>
    <row r="1273" spans="182:205" customFormat="1" x14ac:dyDescent="0.3">
      <c r="FZ1273" s="169"/>
      <c r="GA1273" s="169"/>
      <c r="GB1273" s="169"/>
      <c r="GC1273" s="169"/>
      <c r="GD1273" s="169"/>
      <c r="GE1273" s="169"/>
      <c r="GF1273" s="169"/>
      <c r="GG1273" s="169"/>
      <c r="GW1273" s="951"/>
    </row>
    <row r="1274" spans="182:205" customFormat="1" x14ac:dyDescent="0.3">
      <c r="FZ1274" s="169"/>
      <c r="GA1274" s="169"/>
      <c r="GB1274" s="169"/>
      <c r="GC1274" s="169"/>
      <c r="GD1274" s="169"/>
      <c r="GE1274" s="169"/>
      <c r="GF1274" s="169"/>
      <c r="GG1274" s="169"/>
      <c r="GW1274" s="951"/>
    </row>
    <row r="1275" spans="182:205" customFormat="1" x14ac:dyDescent="0.3">
      <c r="FZ1275" s="169"/>
      <c r="GA1275" s="169"/>
      <c r="GB1275" s="169"/>
      <c r="GC1275" s="169"/>
      <c r="GD1275" s="169"/>
      <c r="GE1275" s="169"/>
      <c r="GF1275" s="169"/>
      <c r="GG1275" s="169"/>
      <c r="GW1275" s="951"/>
    </row>
    <row r="1276" spans="182:205" customFormat="1" x14ac:dyDescent="0.3">
      <c r="FZ1276" s="169"/>
      <c r="GA1276" s="169"/>
      <c r="GB1276" s="169"/>
      <c r="GC1276" s="169"/>
      <c r="GD1276" s="169"/>
      <c r="GE1276" s="169"/>
      <c r="GF1276" s="169"/>
      <c r="GG1276" s="169"/>
      <c r="GW1276" s="951"/>
    </row>
    <row r="1277" spans="182:205" customFormat="1" x14ac:dyDescent="0.3">
      <c r="FZ1277" s="169"/>
      <c r="GA1277" s="169"/>
      <c r="GB1277" s="169"/>
      <c r="GC1277" s="169"/>
      <c r="GD1277" s="169"/>
      <c r="GE1277" s="169"/>
      <c r="GF1277" s="169"/>
      <c r="GG1277" s="169"/>
      <c r="GW1277" s="951"/>
    </row>
    <row r="1278" spans="182:205" customFormat="1" x14ac:dyDescent="0.3">
      <c r="FZ1278" s="169"/>
      <c r="GA1278" s="169"/>
      <c r="GB1278" s="169"/>
      <c r="GC1278" s="169"/>
      <c r="GD1278" s="169"/>
      <c r="GE1278" s="169"/>
      <c r="GF1278" s="169"/>
      <c r="GG1278" s="169"/>
      <c r="GW1278" s="951"/>
    </row>
    <row r="1279" spans="182:205" customFormat="1" x14ac:dyDescent="0.3">
      <c r="FZ1279" s="169"/>
      <c r="GA1279" s="169"/>
      <c r="GB1279" s="169"/>
      <c r="GC1279" s="169"/>
      <c r="GD1279" s="169"/>
      <c r="GE1279" s="169"/>
      <c r="GF1279" s="169"/>
      <c r="GG1279" s="169"/>
      <c r="GW1279" s="951"/>
    </row>
    <row r="1280" spans="182:205" customFormat="1" x14ac:dyDescent="0.3">
      <c r="FZ1280" s="169"/>
      <c r="GA1280" s="169"/>
      <c r="GB1280" s="169"/>
      <c r="GC1280" s="169"/>
      <c r="GD1280" s="169"/>
      <c r="GE1280" s="169"/>
      <c r="GF1280" s="169"/>
      <c r="GG1280" s="169"/>
      <c r="GW1280" s="951"/>
    </row>
    <row r="1281" spans="182:205" customFormat="1" x14ac:dyDescent="0.3">
      <c r="FZ1281" s="169"/>
      <c r="GA1281" s="169"/>
      <c r="GB1281" s="169"/>
      <c r="GC1281" s="169"/>
      <c r="GD1281" s="169"/>
      <c r="GE1281" s="169"/>
      <c r="GF1281" s="169"/>
      <c r="GG1281" s="169"/>
      <c r="GW1281" s="951"/>
    </row>
    <row r="1282" spans="182:205" customFormat="1" x14ac:dyDescent="0.3">
      <c r="FZ1282" s="169"/>
      <c r="GA1282" s="169"/>
      <c r="GB1282" s="169"/>
      <c r="GC1282" s="169"/>
      <c r="GD1282" s="169"/>
      <c r="GE1282" s="169"/>
      <c r="GF1282" s="169"/>
      <c r="GG1282" s="169"/>
      <c r="GW1282" s="951"/>
    </row>
    <row r="1283" spans="182:205" customFormat="1" x14ac:dyDescent="0.3">
      <c r="FZ1283" s="169"/>
      <c r="GA1283" s="169"/>
      <c r="GB1283" s="169"/>
      <c r="GC1283" s="169"/>
      <c r="GD1283" s="169"/>
      <c r="GE1283" s="169"/>
      <c r="GF1283" s="169"/>
      <c r="GG1283" s="169"/>
      <c r="GW1283" s="951"/>
    </row>
    <row r="1284" spans="182:205" customFormat="1" x14ac:dyDescent="0.3">
      <c r="FZ1284" s="169"/>
      <c r="GA1284" s="169"/>
      <c r="GB1284" s="169"/>
      <c r="GC1284" s="169"/>
      <c r="GD1284" s="169"/>
      <c r="GE1284" s="169"/>
      <c r="GF1284" s="169"/>
      <c r="GG1284" s="169"/>
      <c r="GW1284" s="951"/>
    </row>
    <row r="1285" spans="182:205" customFormat="1" x14ac:dyDescent="0.3">
      <c r="FZ1285" s="169"/>
      <c r="GA1285" s="169"/>
      <c r="GB1285" s="169"/>
      <c r="GC1285" s="169"/>
      <c r="GD1285" s="169"/>
      <c r="GE1285" s="169"/>
      <c r="GF1285" s="169"/>
      <c r="GG1285" s="169"/>
      <c r="GW1285" s="951"/>
    </row>
    <row r="1286" spans="182:205" customFormat="1" x14ac:dyDescent="0.3">
      <c r="FZ1286" s="169"/>
      <c r="GA1286" s="169"/>
      <c r="GB1286" s="169"/>
      <c r="GC1286" s="169"/>
      <c r="GD1286" s="169"/>
      <c r="GE1286" s="169"/>
      <c r="GF1286" s="169"/>
      <c r="GG1286" s="169"/>
      <c r="GW1286" s="951"/>
    </row>
    <row r="1287" spans="182:205" customFormat="1" x14ac:dyDescent="0.3">
      <c r="FZ1287" s="169"/>
      <c r="GA1287" s="169"/>
      <c r="GB1287" s="169"/>
      <c r="GC1287" s="169"/>
      <c r="GD1287" s="169"/>
      <c r="GE1287" s="169"/>
      <c r="GF1287" s="169"/>
      <c r="GG1287" s="169"/>
      <c r="GW1287" s="951"/>
    </row>
    <row r="1288" spans="182:205" customFormat="1" x14ac:dyDescent="0.3">
      <c r="FZ1288" s="169"/>
      <c r="GA1288" s="169"/>
      <c r="GB1288" s="169"/>
      <c r="GC1288" s="169"/>
      <c r="GD1288" s="169"/>
      <c r="GE1288" s="169"/>
      <c r="GF1288" s="169"/>
      <c r="GG1288" s="169"/>
      <c r="GW1288" s="951"/>
    </row>
    <row r="1289" spans="182:205" customFormat="1" x14ac:dyDescent="0.3">
      <c r="FZ1289" s="169"/>
      <c r="GA1289" s="169"/>
      <c r="GB1289" s="169"/>
      <c r="GC1289" s="169"/>
      <c r="GD1289" s="169"/>
      <c r="GE1289" s="169"/>
      <c r="GF1289" s="169"/>
      <c r="GG1289" s="169"/>
      <c r="GW1289" s="951"/>
    </row>
    <row r="1290" spans="182:205" customFormat="1" x14ac:dyDescent="0.3">
      <c r="FZ1290" s="169"/>
      <c r="GA1290" s="169"/>
      <c r="GB1290" s="169"/>
      <c r="GC1290" s="169"/>
      <c r="GD1290" s="169"/>
      <c r="GE1290" s="169"/>
      <c r="GF1290" s="169"/>
      <c r="GG1290" s="169"/>
      <c r="GW1290" s="951"/>
    </row>
    <row r="1291" spans="182:205" customFormat="1" x14ac:dyDescent="0.3">
      <c r="FZ1291" s="169"/>
      <c r="GA1291" s="169"/>
      <c r="GB1291" s="169"/>
      <c r="GC1291" s="169"/>
      <c r="GD1291" s="169"/>
      <c r="GE1291" s="169"/>
      <c r="GF1291" s="169"/>
      <c r="GG1291" s="169"/>
      <c r="GW1291" s="951"/>
    </row>
    <row r="1292" spans="182:205" customFormat="1" x14ac:dyDescent="0.3">
      <c r="FZ1292" s="169"/>
      <c r="GA1292" s="169"/>
      <c r="GB1292" s="169"/>
      <c r="GC1292" s="169"/>
      <c r="GD1292" s="169"/>
      <c r="GE1292" s="169"/>
      <c r="GF1292" s="169"/>
      <c r="GG1292" s="169"/>
      <c r="GW1292" s="951"/>
    </row>
    <row r="1293" spans="182:205" customFormat="1" x14ac:dyDescent="0.3">
      <c r="FZ1293" s="169"/>
      <c r="GA1293" s="169"/>
      <c r="GB1293" s="169"/>
      <c r="GC1293" s="169"/>
      <c r="GD1293" s="169"/>
      <c r="GE1293" s="169"/>
      <c r="GF1293" s="169"/>
      <c r="GG1293" s="169"/>
      <c r="GW1293" s="951"/>
    </row>
    <row r="1294" spans="182:205" customFormat="1" x14ac:dyDescent="0.3">
      <c r="FZ1294" s="169"/>
      <c r="GA1294" s="169"/>
      <c r="GB1294" s="169"/>
      <c r="GC1294" s="169"/>
      <c r="GD1294" s="169"/>
      <c r="GE1294" s="169"/>
      <c r="GF1294" s="169"/>
      <c r="GG1294" s="169"/>
      <c r="GW1294" s="951"/>
    </row>
    <row r="1295" spans="182:205" customFormat="1" x14ac:dyDescent="0.3">
      <c r="FZ1295" s="169"/>
      <c r="GA1295" s="169"/>
      <c r="GB1295" s="169"/>
      <c r="GC1295" s="169"/>
      <c r="GD1295" s="169"/>
      <c r="GE1295" s="169"/>
      <c r="GF1295" s="169"/>
      <c r="GG1295" s="169"/>
      <c r="GW1295" s="951"/>
    </row>
    <row r="1296" spans="182:205" customFormat="1" x14ac:dyDescent="0.3">
      <c r="FZ1296" s="169"/>
      <c r="GA1296" s="169"/>
      <c r="GB1296" s="169"/>
      <c r="GC1296" s="169"/>
      <c r="GD1296" s="169"/>
      <c r="GE1296" s="169"/>
      <c r="GF1296" s="169"/>
      <c r="GG1296" s="169"/>
      <c r="GW1296" s="951"/>
    </row>
    <row r="1297" spans="182:205" customFormat="1" x14ac:dyDescent="0.3">
      <c r="FZ1297" s="169"/>
      <c r="GA1297" s="169"/>
      <c r="GB1297" s="169"/>
      <c r="GC1297" s="169"/>
      <c r="GD1297" s="169"/>
      <c r="GE1297" s="169"/>
      <c r="GF1297" s="169"/>
      <c r="GG1297" s="169"/>
      <c r="GW1297" s="951"/>
    </row>
    <row r="1298" spans="182:205" customFormat="1" x14ac:dyDescent="0.3">
      <c r="FZ1298" s="169"/>
      <c r="GA1298" s="169"/>
      <c r="GB1298" s="169"/>
      <c r="GC1298" s="169"/>
      <c r="GD1298" s="169"/>
      <c r="GE1298" s="169"/>
      <c r="GF1298" s="169"/>
      <c r="GG1298" s="169"/>
      <c r="GW1298" s="951"/>
    </row>
    <row r="1299" spans="182:205" customFormat="1" x14ac:dyDescent="0.3">
      <c r="FZ1299" s="169"/>
      <c r="GA1299" s="169"/>
      <c r="GB1299" s="169"/>
      <c r="GC1299" s="169"/>
      <c r="GD1299" s="169"/>
      <c r="GE1299" s="169"/>
      <c r="GF1299" s="169"/>
      <c r="GG1299" s="169"/>
      <c r="GW1299" s="951"/>
    </row>
    <row r="1300" spans="182:205" customFormat="1" x14ac:dyDescent="0.3">
      <c r="FZ1300" s="169"/>
      <c r="GA1300" s="169"/>
      <c r="GB1300" s="169"/>
      <c r="GC1300" s="169"/>
      <c r="GD1300" s="169"/>
      <c r="GE1300" s="169"/>
      <c r="GF1300" s="169"/>
      <c r="GG1300" s="169"/>
      <c r="GW1300" s="951"/>
    </row>
    <row r="1301" spans="182:205" customFormat="1" x14ac:dyDescent="0.3">
      <c r="FZ1301" s="169"/>
      <c r="GA1301" s="169"/>
      <c r="GB1301" s="169"/>
      <c r="GC1301" s="169"/>
      <c r="GD1301" s="169"/>
      <c r="GE1301" s="169"/>
      <c r="GF1301" s="169"/>
      <c r="GG1301" s="169"/>
      <c r="GW1301" s="951"/>
    </row>
    <row r="1302" spans="182:205" customFormat="1" x14ac:dyDescent="0.3">
      <c r="FZ1302" s="169"/>
      <c r="GA1302" s="169"/>
      <c r="GB1302" s="169"/>
      <c r="GC1302" s="169"/>
      <c r="GD1302" s="169"/>
      <c r="GE1302" s="169"/>
      <c r="GF1302" s="169"/>
      <c r="GG1302" s="169"/>
      <c r="GW1302" s="951"/>
    </row>
    <row r="1303" spans="182:205" customFormat="1" x14ac:dyDescent="0.3">
      <c r="FZ1303" s="169"/>
      <c r="GA1303" s="169"/>
      <c r="GB1303" s="169"/>
      <c r="GC1303" s="169"/>
      <c r="GD1303" s="169"/>
      <c r="GE1303" s="169"/>
      <c r="GF1303" s="169"/>
      <c r="GG1303" s="169"/>
      <c r="GW1303" s="951"/>
    </row>
    <row r="1304" spans="182:205" customFormat="1" x14ac:dyDescent="0.3">
      <c r="FZ1304" s="169"/>
      <c r="GA1304" s="169"/>
      <c r="GB1304" s="169"/>
      <c r="GC1304" s="169"/>
      <c r="GD1304" s="169"/>
      <c r="GE1304" s="169"/>
      <c r="GF1304" s="169"/>
      <c r="GG1304" s="169"/>
      <c r="GW1304" s="951"/>
    </row>
    <row r="1305" spans="182:205" customFormat="1" x14ac:dyDescent="0.3">
      <c r="FZ1305" s="169"/>
      <c r="GA1305" s="169"/>
      <c r="GB1305" s="169"/>
      <c r="GC1305" s="169"/>
      <c r="GD1305" s="169"/>
      <c r="GE1305" s="169"/>
      <c r="GF1305" s="169"/>
      <c r="GG1305" s="169"/>
      <c r="GW1305" s="951"/>
    </row>
    <row r="1306" spans="182:205" customFormat="1" x14ac:dyDescent="0.3">
      <c r="FZ1306" s="169"/>
      <c r="GA1306" s="169"/>
      <c r="GB1306" s="169"/>
      <c r="GC1306" s="169"/>
      <c r="GD1306" s="169"/>
      <c r="GE1306" s="169"/>
      <c r="GF1306" s="169"/>
      <c r="GG1306" s="169"/>
      <c r="GW1306" s="951"/>
    </row>
    <row r="1307" spans="182:205" customFormat="1" x14ac:dyDescent="0.3">
      <c r="FZ1307" s="169"/>
      <c r="GA1307" s="169"/>
      <c r="GB1307" s="169"/>
      <c r="GC1307" s="169"/>
      <c r="GD1307" s="169"/>
      <c r="GE1307" s="169"/>
      <c r="GF1307" s="169"/>
      <c r="GG1307" s="169"/>
      <c r="GW1307" s="951"/>
    </row>
    <row r="1308" spans="182:205" customFormat="1" x14ac:dyDescent="0.3">
      <c r="FZ1308" s="169"/>
      <c r="GA1308" s="169"/>
      <c r="GB1308" s="169"/>
      <c r="GC1308" s="169"/>
      <c r="GD1308" s="169"/>
      <c r="GE1308" s="169"/>
      <c r="GF1308" s="169"/>
      <c r="GG1308" s="169"/>
      <c r="GW1308" s="951"/>
    </row>
    <row r="1309" spans="182:205" customFormat="1" x14ac:dyDescent="0.3">
      <c r="FZ1309" s="169"/>
      <c r="GA1309" s="169"/>
      <c r="GB1309" s="169"/>
      <c r="GC1309" s="169"/>
      <c r="GD1309" s="169"/>
      <c r="GE1309" s="169"/>
      <c r="GF1309" s="169"/>
      <c r="GG1309" s="169"/>
      <c r="GW1309" s="951"/>
    </row>
    <row r="1310" spans="182:205" customFormat="1" x14ac:dyDescent="0.3">
      <c r="FZ1310" s="169"/>
      <c r="GA1310" s="169"/>
      <c r="GB1310" s="169"/>
      <c r="GC1310" s="169"/>
      <c r="GD1310" s="169"/>
      <c r="GE1310" s="169"/>
      <c r="GF1310" s="169"/>
      <c r="GG1310" s="169"/>
      <c r="GW1310" s="951"/>
    </row>
    <row r="1311" spans="182:205" customFormat="1" x14ac:dyDescent="0.3">
      <c r="FZ1311" s="169"/>
      <c r="GA1311" s="169"/>
      <c r="GB1311" s="169"/>
      <c r="GC1311" s="169"/>
      <c r="GD1311" s="169"/>
      <c r="GE1311" s="169"/>
      <c r="GF1311" s="169"/>
      <c r="GG1311" s="169"/>
      <c r="GW1311" s="951"/>
    </row>
    <row r="1312" spans="182:205" customFormat="1" x14ac:dyDescent="0.3">
      <c r="FZ1312" s="169"/>
      <c r="GA1312" s="169"/>
      <c r="GB1312" s="169"/>
      <c r="GC1312" s="169"/>
      <c r="GD1312" s="169"/>
      <c r="GE1312" s="169"/>
      <c r="GF1312" s="169"/>
      <c r="GG1312" s="169"/>
      <c r="GW1312" s="951"/>
    </row>
    <row r="1313" spans="182:205" customFormat="1" x14ac:dyDescent="0.3">
      <c r="FZ1313" s="169"/>
      <c r="GA1313" s="169"/>
      <c r="GB1313" s="169"/>
      <c r="GC1313" s="169"/>
      <c r="GD1313" s="169"/>
      <c r="GE1313" s="169"/>
      <c r="GF1313" s="169"/>
      <c r="GG1313" s="169"/>
      <c r="GW1313" s="951"/>
    </row>
    <row r="1314" spans="182:205" customFormat="1" x14ac:dyDescent="0.3">
      <c r="FZ1314" s="169"/>
      <c r="GA1314" s="169"/>
      <c r="GB1314" s="169"/>
      <c r="GC1314" s="169"/>
      <c r="GD1314" s="169"/>
      <c r="GE1314" s="169"/>
      <c r="GF1314" s="169"/>
      <c r="GG1314" s="169"/>
      <c r="GW1314" s="951"/>
    </row>
    <row r="1315" spans="182:205" customFormat="1" x14ac:dyDescent="0.3">
      <c r="FZ1315" s="169"/>
      <c r="GA1315" s="169"/>
      <c r="GB1315" s="169"/>
      <c r="GC1315" s="169"/>
      <c r="GD1315" s="169"/>
      <c r="GE1315" s="169"/>
      <c r="GF1315" s="169"/>
      <c r="GG1315" s="169"/>
      <c r="GW1315" s="951"/>
    </row>
    <row r="1316" spans="182:205" customFormat="1" x14ac:dyDescent="0.3">
      <c r="FZ1316" s="169"/>
      <c r="GA1316" s="169"/>
      <c r="GB1316" s="169"/>
      <c r="GC1316" s="169"/>
      <c r="GD1316" s="169"/>
      <c r="GE1316" s="169"/>
      <c r="GF1316" s="169"/>
      <c r="GG1316" s="169"/>
      <c r="GW1316" s="951"/>
    </row>
    <row r="1317" spans="182:205" customFormat="1" x14ac:dyDescent="0.3">
      <c r="FZ1317" s="169"/>
      <c r="GA1317" s="169"/>
      <c r="GB1317" s="169"/>
      <c r="GC1317" s="169"/>
      <c r="GD1317" s="169"/>
      <c r="GE1317" s="169"/>
      <c r="GF1317" s="169"/>
      <c r="GG1317" s="169"/>
      <c r="GW1317" s="951"/>
    </row>
    <row r="1318" spans="182:205" customFormat="1" x14ac:dyDescent="0.3">
      <c r="FZ1318" s="169"/>
      <c r="GA1318" s="169"/>
      <c r="GB1318" s="169"/>
      <c r="GC1318" s="169"/>
      <c r="GD1318" s="169"/>
      <c r="GE1318" s="169"/>
      <c r="GF1318" s="169"/>
      <c r="GG1318" s="169"/>
      <c r="GW1318" s="951"/>
    </row>
    <row r="1319" spans="182:205" customFormat="1" x14ac:dyDescent="0.3">
      <c r="FZ1319" s="169"/>
      <c r="GA1319" s="169"/>
      <c r="GB1319" s="169"/>
      <c r="GC1319" s="169"/>
      <c r="GD1319" s="169"/>
      <c r="GE1319" s="169"/>
      <c r="GF1319" s="169"/>
      <c r="GG1319" s="169"/>
      <c r="GW1319" s="951"/>
    </row>
    <row r="1320" spans="182:205" customFormat="1" x14ac:dyDescent="0.3">
      <c r="FZ1320" s="169"/>
      <c r="GA1320" s="169"/>
      <c r="GB1320" s="169"/>
      <c r="GC1320" s="169"/>
      <c r="GD1320" s="169"/>
      <c r="GE1320" s="169"/>
      <c r="GF1320" s="169"/>
      <c r="GG1320" s="169"/>
      <c r="GW1320" s="951"/>
    </row>
    <row r="1321" spans="182:205" customFormat="1" x14ac:dyDescent="0.3">
      <c r="FZ1321" s="169"/>
      <c r="GA1321" s="169"/>
      <c r="GB1321" s="169"/>
      <c r="GC1321" s="169"/>
      <c r="GD1321" s="169"/>
      <c r="GE1321" s="169"/>
      <c r="GF1321" s="169"/>
      <c r="GG1321" s="169"/>
      <c r="GW1321" s="951"/>
    </row>
    <row r="1322" spans="182:205" customFormat="1" x14ac:dyDescent="0.3">
      <c r="FZ1322" s="169"/>
      <c r="GA1322" s="169"/>
      <c r="GB1322" s="169"/>
      <c r="GC1322" s="169"/>
      <c r="GD1322" s="169"/>
      <c r="GE1322" s="169"/>
      <c r="GF1322" s="169"/>
      <c r="GG1322" s="169"/>
      <c r="GW1322" s="951"/>
    </row>
    <row r="1323" spans="182:205" customFormat="1" x14ac:dyDescent="0.3">
      <c r="FZ1323" s="169"/>
      <c r="GA1323" s="169"/>
      <c r="GB1323" s="169"/>
      <c r="GC1323" s="169"/>
      <c r="GD1323" s="169"/>
      <c r="GE1323" s="169"/>
      <c r="GF1323" s="169"/>
      <c r="GG1323" s="169"/>
      <c r="GW1323" s="951"/>
    </row>
    <row r="1324" spans="182:205" customFormat="1" x14ac:dyDescent="0.3">
      <c r="FZ1324" s="169"/>
      <c r="GA1324" s="169"/>
      <c r="GB1324" s="169"/>
      <c r="GC1324" s="169"/>
      <c r="GD1324" s="169"/>
      <c r="GE1324" s="169"/>
      <c r="GF1324" s="169"/>
      <c r="GG1324" s="169"/>
      <c r="GW1324" s="951"/>
    </row>
    <row r="1325" spans="182:205" customFormat="1" x14ac:dyDescent="0.3">
      <c r="FZ1325" s="169"/>
      <c r="GA1325" s="169"/>
      <c r="GB1325" s="169"/>
      <c r="GC1325" s="169"/>
      <c r="GD1325" s="169"/>
      <c r="GE1325" s="169"/>
      <c r="GF1325" s="169"/>
      <c r="GG1325" s="169"/>
      <c r="GW1325" s="951"/>
    </row>
    <row r="1326" spans="182:205" customFormat="1" x14ac:dyDescent="0.3">
      <c r="FZ1326" s="169"/>
      <c r="GA1326" s="169"/>
      <c r="GB1326" s="169"/>
      <c r="GC1326" s="169"/>
      <c r="GD1326" s="169"/>
      <c r="GE1326" s="169"/>
      <c r="GF1326" s="169"/>
      <c r="GG1326" s="169"/>
      <c r="GW1326" s="951"/>
    </row>
    <row r="1327" spans="182:205" customFormat="1" x14ac:dyDescent="0.3">
      <c r="FZ1327" s="169"/>
      <c r="GA1327" s="169"/>
      <c r="GB1327" s="169"/>
      <c r="GC1327" s="169"/>
      <c r="GD1327" s="169"/>
      <c r="GE1327" s="169"/>
      <c r="GF1327" s="169"/>
      <c r="GG1327" s="169"/>
      <c r="GW1327" s="951"/>
    </row>
    <row r="1328" spans="182:205" customFormat="1" x14ac:dyDescent="0.3">
      <c r="FZ1328" s="169"/>
      <c r="GA1328" s="169"/>
      <c r="GB1328" s="169"/>
      <c r="GC1328" s="169"/>
      <c r="GD1328" s="169"/>
      <c r="GE1328" s="169"/>
      <c r="GF1328" s="169"/>
      <c r="GG1328" s="169"/>
      <c r="GW1328" s="951"/>
    </row>
    <row r="1329" spans="182:205" customFormat="1" x14ac:dyDescent="0.3">
      <c r="FZ1329" s="169"/>
      <c r="GA1329" s="169"/>
      <c r="GB1329" s="169"/>
      <c r="GC1329" s="169"/>
      <c r="GD1329" s="169"/>
      <c r="GE1329" s="169"/>
      <c r="GF1329" s="169"/>
      <c r="GG1329" s="169"/>
      <c r="GW1329" s="951"/>
    </row>
    <row r="1330" spans="182:205" customFormat="1" x14ac:dyDescent="0.3">
      <c r="FZ1330" s="169"/>
      <c r="GA1330" s="169"/>
      <c r="GB1330" s="169"/>
      <c r="GC1330" s="169"/>
      <c r="GD1330" s="169"/>
      <c r="GE1330" s="169"/>
      <c r="GF1330" s="169"/>
      <c r="GG1330" s="169"/>
      <c r="GW1330" s="951"/>
    </row>
    <row r="1331" spans="182:205" customFormat="1" x14ac:dyDescent="0.3">
      <c r="FZ1331" s="169"/>
      <c r="GA1331" s="169"/>
      <c r="GB1331" s="169"/>
      <c r="GC1331" s="169"/>
      <c r="GD1331" s="169"/>
      <c r="GE1331" s="169"/>
      <c r="GF1331" s="169"/>
      <c r="GG1331" s="169"/>
      <c r="GW1331" s="951"/>
    </row>
    <row r="1332" spans="182:205" customFormat="1" x14ac:dyDescent="0.3">
      <c r="FZ1332" s="169"/>
      <c r="GA1332" s="169"/>
      <c r="GB1332" s="169"/>
      <c r="GC1332" s="169"/>
      <c r="GD1332" s="169"/>
      <c r="GE1332" s="169"/>
      <c r="GF1332" s="169"/>
      <c r="GG1332" s="169"/>
      <c r="GW1332" s="951"/>
    </row>
    <row r="1333" spans="182:205" customFormat="1" x14ac:dyDescent="0.3">
      <c r="FZ1333" s="169"/>
      <c r="GA1333" s="169"/>
      <c r="GB1333" s="169"/>
      <c r="GC1333" s="169"/>
      <c r="GD1333" s="169"/>
      <c r="GE1333" s="169"/>
      <c r="GF1333" s="169"/>
      <c r="GG1333" s="169"/>
      <c r="GW1333" s="951"/>
    </row>
    <row r="1334" spans="182:205" customFormat="1" x14ac:dyDescent="0.3">
      <c r="FZ1334" s="169"/>
      <c r="GA1334" s="169"/>
      <c r="GB1334" s="169"/>
      <c r="GC1334" s="169"/>
      <c r="GD1334" s="169"/>
      <c r="GE1334" s="169"/>
      <c r="GF1334" s="169"/>
      <c r="GG1334" s="169"/>
      <c r="GW1334" s="951"/>
    </row>
    <row r="1335" spans="182:205" customFormat="1" x14ac:dyDescent="0.3">
      <c r="FZ1335" s="169"/>
      <c r="GA1335" s="169"/>
      <c r="GB1335" s="169"/>
      <c r="GC1335" s="169"/>
      <c r="GD1335" s="169"/>
      <c r="GE1335" s="169"/>
      <c r="GF1335" s="169"/>
      <c r="GG1335" s="169"/>
      <c r="GW1335" s="951"/>
    </row>
    <row r="1336" spans="182:205" customFormat="1" x14ac:dyDescent="0.3">
      <c r="FZ1336" s="169"/>
      <c r="GA1336" s="169"/>
      <c r="GB1336" s="169"/>
      <c r="GC1336" s="169"/>
      <c r="GD1336" s="169"/>
      <c r="GE1336" s="169"/>
      <c r="GF1336" s="169"/>
      <c r="GG1336" s="169"/>
      <c r="GW1336" s="951"/>
    </row>
    <row r="1337" spans="182:205" customFormat="1" x14ac:dyDescent="0.3">
      <c r="FZ1337" s="169"/>
      <c r="GA1337" s="169"/>
      <c r="GB1337" s="169"/>
      <c r="GC1337" s="169"/>
      <c r="GD1337" s="169"/>
      <c r="GE1337" s="169"/>
      <c r="GF1337" s="169"/>
      <c r="GG1337" s="169"/>
      <c r="GW1337" s="951"/>
    </row>
    <row r="1338" spans="182:205" customFormat="1" x14ac:dyDescent="0.3">
      <c r="FZ1338" s="169"/>
      <c r="GA1338" s="169"/>
      <c r="GB1338" s="169"/>
      <c r="GC1338" s="169"/>
      <c r="GD1338" s="169"/>
      <c r="GE1338" s="169"/>
      <c r="GF1338" s="169"/>
      <c r="GG1338" s="169"/>
      <c r="GW1338" s="951"/>
    </row>
    <row r="1339" spans="182:205" customFormat="1" x14ac:dyDescent="0.3">
      <c r="FZ1339" s="169"/>
      <c r="GA1339" s="169"/>
      <c r="GB1339" s="169"/>
      <c r="GC1339" s="169"/>
      <c r="GD1339" s="169"/>
      <c r="GE1339" s="169"/>
      <c r="GF1339" s="169"/>
      <c r="GG1339" s="169"/>
      <c r="GW1339" s="951"/>
    </row>
    <row r="1340" spans="182:205" customFormat="1" x14ac:dyDescent="0.3">
      <c r="FZ1340" s="169"/>
      <c r="GA1340" s="169"/>
      <c r="GB1340" s="169"/>
      <c r="GC1340" s="169"/>
      <c r="GD1340" s="169"/>
      <c r="GE1340" s="169"/>
      <c r="GF1340" s="169"/>
      <c r="GG1340" s="169"/>
      <c r="GW1340" s="951"/>
    </row>
    <row r="1341" spans="182:205" customFormat="1" x14ac:dyDescent="0.3">
      <c r="FZ1341" s="169"/>
      <c r="GA1341" s="169"/>
      <c r="GB1341" s="169"/>
      <c r="GC1341" s="169"/>
      <c r="GD1341" s="169"/>
      <c r="GE1341" s="169"/>
      <c r="GF1341" s="169"/>
      <c r="GG1341" s="169"/>
      <c r="GW1341" s="951"/>
    </row>
    <row r="1342" spans="182:205" customFormat="1" x14ac:dyDescent="0.3">
      <c r="FZ1342" s="169"/>
      <c r="GA1342" s="169"/>
      <c r="GB1342" s="169"/>
      <c r="GC1342" s="169"/>
      <c r="GD1342" s="169"/>
      <c r="GE1342" s="169"/>
      <c r="GF1342" s="169"/>
      <c r="GG1342" s="169"/>
      <c r="GW1342" s="951"/>
    </row>
    <row r="1343" spans="182:205" customFormat="1" x14ac:dyDescent="0.3">
      <c r="FZ1343" s="169"/>
      <c r="GA1343" s="169"/>
      <c r="GB1343" s="169"/>
      <c r="GC1343" s="169"/>
      <c r="GD1343" s="169"/>
      <c r="GE1343" s="169"/>
      <c r="GF1343" s="169"/>
      <c r="GG1343" s="169"/>
      <c r="GW1343" s="951"/>
    </row>
    <row r="1344" spans="182:205" customFormat="1" x14ac:dyDescent="0.3">
      <c r="FZ1344" s="169"/>
      <c r="GA1344" s="169"/>
      <c r="GB1344" s="169"/>
      <c r="GC1344" s="169"/>
      <c r="GD1344" s="169"/>
      <c r="GE1344" s="169"/>
      <c r="GF1344" s="169"/>
      <c r="GG1344" s="169"/>
      <c r="GW1344" s="951"/>
    </row>
    <row r="1345" spans="182:205" customFormat="1" x14ac:dyDescent="0.3">
      <c r="FZ1345" s="169"/>
      <c r="GA1345" s="169"/>
      <c r="GB1345" s="169"/>
      <c r="GC1345" s="169"/>
      <c r="GD1345" s="169"/>
      <c r="GE1345" s="169"/>
      <c r="GF1345" s="169"/>
      <c r="GG1345" s="169"/>
      <c r="GW1345" s="951"/>
    </row>
    <row r="1346" spans="182:205" customFormat="1" x14ac:dyDescent="0.3">
      <c r="FZ1346" s="169"/>
      <c r="GA1346" s="169"/>
      <c r="GB1346" s="169"/>
      <c r="GC1346" s="169"/>
      <c r="GD1346" s="169"/>
      <c r="GE1346" s="169"/>
      <c r="GF1346" s="169"/>
      <c r="GG1346" s="169"/>
      <c r="GW1346" s="951"/>
    </row>
    <row r="1347" spans="182:205" customFormat="1" x14ac:dyDescent="0.3">
      <c r="FZ1347" s="169"/>
      <c r="GA1347" s="169"/>
      <c r="GB1347" s="169"/>
      <c r="GC1347" s="169"/>
      <c r="GD1347" s="169"/>
      <c r="GE1347" s="169"/>
      <c r="GF1347" s="169"/>
      <c r="GG1347" s="169"/>
      <c r="GW1347" s="951"/>
    </row>
    <row r="1348" spans="182:205" customFormat="1" x14ac:dyDescent="0.3">
      <c r="FZ1348" s="169"/>
      <c r="GA1348" s="169"/>
      <c r="GB1348" s="169"/>
      <c r="GC1348" s="169"/>
      <c r="GD1348" s="169"/>
      <c r="GE1348" s="169"/>
      <c r="GF1348" s="169"/>
      <c r="GG1348" s="169"/>
      <c r="GW1348" s="951"/>
    </row>
    <row r="1349" spans="182:205" customFormat="1" x14ac:dyDescent="0.3">
      <c r="FZ1349" s="169"/>
      <c r="GA1349" s="169"/>
      <c r="GB1349" s="169"/>
      <c r="GC1349" s="169"/>
      <c r="GD1349" s="169"/>
      <c r="GE1349" s="169"/>
      <c r="GF1349" s="169"/>
      <c r="GG1349" s="169"/>
      <c r="GW1349" s="951"/>
    </row>
    <row r="1350" spans="182:205" customFormat="1" x14ac:dyDescent="0.3">
      <c r="FZ1350" s="169"/>
      <c r="GA1350" s="169"/>
      <c r="GB1350" s="169"/>
      <c r="GC1350" s="169"/>
      <c r="GD1350" s="169"/>
      <c r="GE1350" s="169"/>
      <c r="GF1350" s="169"/>
      <c r="GG1350" s="169"/>
      <c r="GW1350" s="951"/>
    </row>
    <row r="1351" spans="182:205" customFormat="1" x14ac:dyDescent="0.3">
      <c r="FZ1351" s="169"/>
      <c r="GA1351" s="169"/>
      <c r="GB1351" s="169"/>
      <c r="GC1351" s="169"/>
      <c r="GD1351" s="169"/>
      <c r="GE1351" s="169"/>
      <c r="GF1351" s="169"/>
      <c r="GG1351" s="169"/>
      <c r="GW1351" s="951"/>
    </row>
    <row r="1352" spans="182:205" customFormat="1" x14ac:dyDescent="0.3">
      <c r="FZ1352" s="169"/>
      <c r="GA1352" s="169"/>
      <c r="GB1352" s="169"/>
      <c r="GC1352" s="169"/>
      <c r="GD1352" s="169"/>
      <c r="GE1352" s="169"/>
      <c r="GF1352" s="169"/>
      <c r="GG1352" s="169"/>
      <c r="GW1352" s="951"/>
    </row>
    <row r="1353" spans="182:205" customFormat="1" x14ac:dyDescent="0.3">
      <c r="FZ1353" s="169"/>
      <c r="GA1353" s="169"/>
      <c r="GB1353" s="169"/>
      <c r="GC1353" s="169"/>
      <c r="GD1353" s="169"/>
      <c r="GE1353" s="169"/>
      <c r="GF1353" s="169"/>
      <c r="GG1353" s="169"/>
      <c r="GW1353" s="951"/>
    </row>
    <row r="1354" spans="182:205" customFormat="1" x14ac:dyDescent="0.3">
      <c r="FZ1354" s="169"/>
      <c r="GA1354" s="169"/>
      <c r="GB1354" s="169"/>
      <c r="GC1354" s="169"/>
      <c r="GD1354" s="169"/>
      <c r="GE1354" s="169"/>
      <c r="GF1354" s="169"/>
      <c r="GG1354" s="169"/>
      <c r="GW1354" s="951"/>
    </row>
    <row r="1355" spans="182:205" customFormat="1" x14ac:dyDescent="0.3">
      <c r="FZ1355" s="169"/>
      <c r="GA1355" s="169"/>
      <c r="GB1355" s="169"/>
      <c r="GC1355" s="169"/>
      <c r="GD1355" s="169"/>
      <c r="GE1355" s="169"/>
      <c r="GF1355" s="169"/>
      <c r="GG1355" s="169"/>
      <c r="GW1355" s="951"/>
    </row>
    <row r="1356" spans="182:205" customFormat="1" x14ac:dyDescent="0.3">
      <c r="FZ1356" s="169"/>
      <c r="GA1356" s="169"/>
      <c r="GB1356" s="169"/>
      <c r="GC1356" s="169"/>
      <c r="GD1356" s="169"/>
      <c r="GE1356" s="169"/>
      <c r="GF1356" s="169"/>
      <c r="GG1356" s="169"/>
      <c r="GW1356" s="951"/>
    </row>
    <row r="1357" spans="182:205" customFormat="1" x14ac:dyDescent="0.3">
      <c r="FZ1357" s="169"/>
      <c r="GA1357" s="169"/>
      <c r="GB1357" s="169"/>
      <c r="GC1357" s="169"/>
      <c r="GD1357" s="169"/>
      <c r="GE1357" s="169"/>
      <c r="GF1357" s="169"/>
      <c r="GG1357" s="169"/>
      <c r="GW1357" s="951"/>
    </row>
    <row r="1358" spans="182:205" customFormat="1" x14ac:dyDescent="0.3">
      <c r="FZ1358" s="169"/>
      <c r="GA1358" s="169"/>
      <c r="GB1358" s="169"/>
      <c r="GC1358" s="169"/>
      <c r="GD1358" s="169"/>
      <c r="GE1358" s="169"/>
      <c r="GF1358" s="169"/>
      <c r="GG1358" s="169"/>
      <c r="GW1358" s="951"/>
    </row>
    <row r="1359" spans="182:205" customFormat="1" x14ac:dyDescent="0.3">
      <c r="FZ1359" s="169"/>
      <c r="GA1359" s="169"/>
      <c r="GB1359" s="169"/>
      <c r="GC1359" s="169"/>
      <c r="GD1359" s="169"/>
      <c r="GE1359" s="169"/>
      <c r="GF1359" s="169"/>
      <c r="GG1359" s="169"/>
      <c r="GW1359" s="951"/>
    </row>
    <row r="1360" spans="182:205" customFormat="1" x14ac:dyDescent="0.3">
      <c r="FZ1360" s="169"/>
      <c r="GA1360" s="169"/>
      <c r="GB1360" s="169"/>
      <c r="GC1360" s="169"/>
      <c r="GD1360" s="169"/>
      <c r="GE1360" s="169"/>
      <c r="GF1360" s="169"/>
      <c r="GG1360" s="169"/>
      <c r="GW1360" s="951"/>
    </row>
    <row r="1361" spans="182:205" customFormat="1" x14ac:dyDescent="0.3">
      <c r="FZ1361" s="169"/>
      <c r="GA1361" s="169"/>
      <c r="GB1361" s="169"/>
      <c r="GC1361" s="169"/>
      <c r="GD1361" s="169"/>
      <c r="GE1361" s="169"/>
      <c r="GF1361" s="169"/>
      <c r="GG1361" s="169"/>
      <c r="GW1361" s="951"/>
    </row>
    <row r="1362" spans="182:205" customFormat="1" x14ac:dyDescent="0.3">
      <c r="FZ1362" s="169"/>
      <c r="GA1362" s="169"/>
      <c r="GB1362" s="169"/>
      <c r="GC1362" s="169"/>
      <c r="GD1362" s="169"/>
      <c r="GE1362" s="169"/>
      <c r="GF1362" s="169"/>
      <c r="GG1362" s="169"/>
      <c r="GW1362" s="951"/>
    </row>
    <row r="1363" spans="182:205" customFormat="1" x14ac:dyDescent="0.3">
      <c r="FZ1363" s="169"/>
      <c r="GA1363" s="169"/>
      <c r="GB1363" s="169"/>
      <c r="GC1363" s="169"/>
      <c r="GD1363" s="169"/>
      <c r="GE1363" s="169"/>
      <c r="GF1363" s="169"/>
      <c r="GG1363" s="169"/>
      <c r="GW1363" s="951"/>
    </row>
    <row r="1364" spans="182:205" customFormat="1" x14ac:dyDescent="0.3">
      <c r="FZ1364" s="169"/>
      <c r="GA1364" s="169"/>
      <c r="GB1364" s="169"/>
      <c r="GC1364" s="169"/>
      <c r="GD1364" s="169"/>
      <c r="GE1364" s="169"/>
      <c r="GF1364" s="169"/>
      <c r="GG1364" s="169"/>
      <c r="GW1364" s="951"/>
    </row>
    <row r="1365" spans="182:205" customFormat="1" x14ac:dyDescent="0.3">
      <c r="FZ1365" s="169"/>
      <c r="GA1365" s="169"/>
      <c r="GB1365" s="169"/>
      <c r="GC1365" s="169"/>
      <c r="GD1365" s="169"/>
      <c r="GE1365" s="169"/>
      <c r="GF1365" s="169"/>
      <c r="GG1365" s="169"/>
      <c r="GW1365" s="951"/>
    </row>
    <row r="1366" spans="182:205" customFormat="1" x14ac:dyDescent="0.3">
      <c r="FZ1366" s="169"/>
      <c r="GA1366" s="169"/>
      <c r="GB1366" s="169"/>
      <c r="GC1366" s="169"/>
      <c r="GD1366" s="169"/>
      <c r="GE1366" s="169"/>
      <c r="GF1366" s="169"/>
      <c r="GG1366" s="169"/>
      <c r="GW1366" s="951"/>
    </row>
    <row r="1367" spans="182:205" customFormat="1" x14ac:dyDescent="0.3">
      <c r="FZ1367" s="169"/>
      <c r="GA1367" s="169"/>
      <c r="GB1367" s="169"/>
      <c r="GC1367" s="169"/>
      <c r="GD1367" s="169"/>
      <c r="GE1367" s="169"/>
      <c r="GF1367" s="169"/>
      <c r="GG1367" s="169"/>
      <c r="GW1367" s="951"/>
    </row>
    <row r="1368" spans="182:205" customFormat="1" x14ac:dyDescent="0.3">
      <c r="FZ1368" s="169"/>
      <c r="GA1368" s="169"/>
      <c r="GB1368" s="169"/>
      <c r="GC1368" s="169"/>
      <c r="GD1368" s="169"/>
      <c r="GE1368" s="169"/>
      <c r="GF1368" s="169"/>
      <c r="GG1368" s="169"/>
      <c r="GW1368" s="951"/>
    </row>
    <row r="1369" spans="182:205" customFormat="1" x14ac:dyDescent="0.3">
      <c r="FZ1369" s="169"/>
      <c r="GA1369" s="169"/>
      <c r="GB1369" s="169"/>
      <c r="GC1369" s="169"/>
      <c r="GD1369" s="169"/>
      <c r="GE1369" s="169"/>
      <c r="GF1369" s="169"/>
      <c r="GG1369" s="169"/>
      <c r="GW1369" s="951"/>
    </row>
    <row r="1370" spans="182:205" customFormat="1" x14ac:dyDescent="0.3">
      <c r="FZ1370" s="169"/>
      <c r="GA1370" s="169"/>
      <c r="GB1370" s="169"/>
      <c r="GC1370" s="169"/>
      <c r="GD1370" s="169"/>
      <c r="GE1370" s="169"/>
      <c r="GF1370" s="169"/>
      <c r="GG1370" s="169"/>
      <c r="GW1370" s="951"/>
    </row>
    <row r="1371" spans="182:205" customFormat="1" x14ac:dyDescent="0.3">
      <c r="FZ1371" s="169"/>
      <c r="GA1371" s="169"/>
      <c r="GB1371" s="169"/>
      <c r="GC1371" s="169"/>
      <c r="GD1371" s="169"/>
      <c r="GE1371" s="169"/>
      <c r="GF1371" s="169"/>
      <c r="GG1371" s="169"/>
      <c r="GW1371" s="951"/>
    </row>
    <row r="1372" spans="182:205" customFormat="1" x14ac:dyDescent="0.3">
      <c r="FZ1372" s="169"/>
      <c r="GA1372" s="169"/>
      <c r="GB1372" s="169"/>
      <c r="GC1372" s="169"/>
      <c r="GD1372" s="169"/>
      <c r="GE1372" s="169"/>
      <c r="GF1372" s="169"/>
      <c r="GG1372" s="169"/>
      <c r="GW1372" s="951"/>
    </row>
    <row r="1373" spans="182:205" customFormat="1" x14ac:dyDescent="0.3">
      <c r="FZ1373" s="169"/>
      <c r="GA1373" s="169"/>
      <c r="GB1373" s="169"/>
      <c r="GC1373" s="169"/>
      <c r="GD1373" s="169"/>
      <c r="GE1373" s="169"/>
      <c r="GF1373" s="169"/>
      <c r="GG1373" s="169"/>
      <c r="GW1373" s="951"/>
    </row>
    <row r="1374" spans="182:205" customFormat="1" x14ac:dyDescent="0.3">
      <c r="FZ1374" s="169"/>
      <c r="GA1374" s="169"/>
      <c r="GB1374" s="169"/>
      <c r="GC1374" s="169"/>
      <c r="GD1374" s="169"/>
      <c r="GE1374" s="169"/>
      <c r="GF1374" s="169"/>
      <c r="GG1374" s="169"/>
      <c r="GW1374" s="951"/>
    </row>
    <row r="1375" spans="182:205" customFormat="1" x14ac:dyDescent="0.3">
      <c r="FZ1375" s="169"/>
      <c r="GA1375" s="169"/>
      <c r="GB1375" s="169"/>
      <c r="GC1375" s="169"/>
      <c r="GD1375" s="169"/>
      <c r="GE1375" s="169"/>
      <c r="GF1375" s="169"/>
      <c r="GG1375" s="169"/>
      <c r="GW1375" s="951"/>
    </row>
    <row r="1376" spans="182:205" customFormat="1" x14ac:dyDescent="0.3">
      <c r="FZ1376" s="169"/>
      <c r="GA1376" s="169"/>
      <c r="GB1376" s="169"/>
      <c r="GC1376" s="169"/>
      <c r="GD1376" s="169"/>
      <c r="GE1376" s="169"/>
      <c r="GF1376" s="169"/>
      <c r="GG1376" s="169"/>
      <c r="GW1376" s="951"/>
    </row>
    <row r="1377" spans="182:205" customFormat="1" x14ac:dyDescent="0.3">
      <c r="FZ1377" s="169"/>
      <c r="GA1377" s="169"/>
      <c r="GB1377" s="169"/>
      <c r="GC1377" s="169"/>
      <c r="GD1377" s="169"/>
      <c r="GE1377" s="169"/>
      <c r="GF1377" s="169"/>
      <c r="GG1377" s="169"/>
      <c r="GW1377" s="951"/>
    </row>
    <row r="1378" spans="182:205" customFormat="1" x14ac:dyDescent="0.3">
      <c r="FZ1378" s="169"/>
      <c r="GA1378" s="169"/>
      <c r="GB1378" s="169"/>
      <c r="GC1378" s="169"/>
      <c r="GD1378" s="169"/>
      <c r="GE1378" s="169"/>
      <c r="GF1378" s="169"/>
      <c r="GG1378" s="169"/>
      <c r="GW1378" s="951"/>
    </row>
    <row r="1379" spans="182:205" customFormat="1" x14ac:dyDescent="0.3">
      <c r="FZ1379" s="169"/>
      <c r="GA1379" s="169"/>
      <c r="GB1379" s="169"/>
      <c r="GC1379" s="169"/>
      <c r="GD1379" s="169"/>
      <c r="GE1379" s="169"/>
      <c r="GF1379" s="169"/>
      <c r="GG1379" s="169"/>
      <c r="GW1379" s="951"/>
    </row>
    <row r="1380" spans="182:205" customFormat="1" x14ac:dyDescent="0.3">
      <c r="FZ1380" s="169"/>
      <c r="GA1380" s="169"/>
      <c r="GB1380" s="169"/>
      <c r="GC1380" s="169"/>
      <c r="GD1380" s="169"/>
      <c r="GE1380" s="169"/>
      <c r="GF1380" s="169"/>
      <c r="GG1380" s="169"/>
      <c r="GW1380" s="951"/>
    </row>
    <row r="1381" spans="182:205" customFormat="1" x14ac:dyDescent="0.3">
      <c r="FZ1381" s="169"/>
      <c r="GA1381" s="169"/>
      <c r="GB1381" s="169"/>
      <c r="GC1381" s="169"/>
      <c r="GD1381" s="169"/>
      <c r="GE1381" s="169"/>
      <c r="GF1381" s="169"/>
      <c r="GG1381" s="169"/>
      <c r="GW1381" s="951"/>
    </row>
    <row r="1382" spans="182:205" customFormat="1" x14ac:dyDescent="0.3">
      <c r="FZ1382" s="169"/>
      <c r="GA1382" s="169"/>
      <c r="GB1382" s="169"/>
      <c r="GC1382" s="169"/>
      <c r="GD1382" s="169"/>
      <c r="GE1382" s="169"/>
      <c r="GF1382" s="169"/>
      <c r="GG1382" s="169"/>
      <c r="GW1382" s="951"/>
    </row>
    <row r="1383" spans="182:205" customFormat="1" x14ac:dyDescent="0.3">
      <c r="FZ1383" s="169"/>
      <c r="GA1383" s="169"/>
      <c r="GB1383" s="169"/>
      <c r="GC1383" s="169"/>
      <c r="GD1383" s="169"/>
      <c r="GE1383" s="169"/>
      <c r="GF1383" s="169"/>
      <c r="GG1383" s="169"/>
      <c r="GW1383" s="951"/>
    </row>
    <row r="1384" spans="182:205" customFormat="1" x14ac:dyDescent="0.3">
      <c r="FZ1384" s="169"/>
      <c r="GA1384" s="169"/>
      <c r="GB1384" s="169"/>
      <c r="GC1384" s="169"/>
      <c r="GD1384" s="169"/>
      <c r="GE1384" s="169"/>
      <c r="GF1384" s="169"/>
      <c r="GG1384" s="169"/>
      <c r="GW1384" s="951"/>
    </row>
    <row r="1385" spans="182:205" customFormat="1" x14ac:dyDescent="0.3">
      <c r="FZ1385" s="169"/>
      <c r="GA1385" s="169"/>
      <c r="GB1385" s="169"/>
      <c r="GC1385" s="169"/>
      <c r="GD1385" s="169"/>
      <c r="GE1385" s="169"/>
      <c r="GF1385" s="169"/>
      <c r="GG1385" s="169"/>
      <c r="GW1385" s="951"/>
    </row>
    <row r="1386" spans="182:205" customFormat="1" x14ac:dyDescent="0.3">
      <c r="FZ1386" s="169"/>
      <c r="GA1386" s="169"/>
      <c r="GB1386" s="169"/>
      <c r="GC1386" s="169"/>
      <c r="GD1386" s="169"/>
      <c r="GE1386" s="169"/>
      <c r="GF1386" s="169"/>
      <c r="GG1386" s="169"/>
      <c r="GW1386" s="951"/>
    </row>
    <row r="1387" spans="182:205" customFormat="1" x14ac:dyDescent="0.3">
      <c r="FZ1387" s="169"/>
      <c r="GA1387" s="169"/>
      <c r="GB1387" s="169"/>
      <c r="GC1387" s="169"/>
      <c r="GD1387" s="169"/>
      <c r="GE1387" s="169"/>
      <c r="GF1387" s="169"/>
      <c r="GG1387" s="169"/>
      <c r="GW1387" s="951"/>
    </row>
    <row r="1388" spans="182:205" customFormat="1" x14ac:dyDescent="0.3">
      <c r="FZ1388" s="169"/>
      <c r="GA1388" s="169"/>
      <c r="GB1388" s="169"/>
      <c r="GC1388" s="169"/>
      <c r="GD1388" s="169"/>
      <c r="GE1388" s="169"/>
      <c r="GF1388" s="169"/>
      <c r="GG1388" s="169"/>
      <c r="GW1388" s="951"/>
    </row>
    <row r="1389" spans="182:205" customFormat="1" x14ac:dyDescent="0.3">
      <c r="FZ1389" s="169"/>
      <c r="GA1389" s="169"/>
      <c r="GB1389" s="169"/>
      <c r="GC1389" s="169"/>
      <c r="GD1389" s="169"/>
      <c r="GE1389" s="169"/>
      <c r="GF1389" s="169"/>
      <c r="GG1389" s="169"/>
      <c r="GW1389" s="951"/>
    </row>
    <row r="1390" spans="182:205" customFormat="1" x14ac:dyDescent="0.3">
      <c r="FZ1390" s="169"/>
      <c r="GA1390" s="169"/>
      <c r="GB1390" s="169"/>
      <c r="GC1390" s="169"/>
      <c r="GD1390" s="169"/>
      <c r="GE1390" s="169"/>
      <c r="GF1390" s="169"/>
      <c r="GG1390" s="169"/>
      <c r="GW1390" s="951"/>
    </row>
    <row r="1391" spans="182:205" customFormat="1" x14ac:dyDescent="0.3">
      <c r="FZ1391" s="169"/>
      <c r="GA1391" s="169"/>
      <c r="GB1391" s="169"/>
      <c r="GC1391" s="169"/>
      <c r="GD1391" s="169"/>
      <c r="GE1391" s="169"/>
      <c r="GF1391" s="169"/>
      <c r="GG1391" s="169"/>
      <c r="GW1391" s="951"/>
    </row>
    <row r="1392" spans="182:205" customFormat="1" x14ac:dyDescent="0.3">
      <c r="FZ1392" s="169"/>
      <c r="GA1392" s="169"/>
      <c r="GB1392" s="169"/>
      <c r="GC1392" s="169"/>
      <c r="GD1392" s="169"/>
      <c r="GE1392" s="169"/>
      <c r="GF1392" s="169"/>
      <c r="GG1392" s="169"/>
      <c r="GW1392" s="951"/>
    </row>
    <row r="1393" spans="182:205" customFormat="1" x14ac:dyDescent="0.3">
      <c r="FZ1393" s="169"/>
      <c r="GA1393" s="169"/>
      <c r="GB1393" s="169"/>
      <c r="GC1393" s="169"/>
      <c r="GD1393" s="169"/>
      <c r="GE1393" s="169"/>
      <c r="GF1393" s="169"/>
      <c r="GG1393" s="169"/>
      <c r="GW1393" s="951"/>
    </row>
    <row r="1394" spans="182:205" customFormat="1" x14ac:dyDescent="0.3">
      <c r="FZ1394" s="169"/>
      <c r="GA1394" s="169"/>
      <c r="GB1394" s="169"/>
      <c r="GC1394" s="169"/>
      <c r="GD1394" s="169"/>
      <c r="GE1394" s="169"/>
      <c r="GF1394" s="169"/>
      <c r="GG1394" s="169"/>
      <c r="GW1394" s="951"/>
    </row>
    <row r="1395" spans="182:205" customFormat="1" x14ac:dyDescent="0.3">
      <c r="FZ1395" s="169"/>
      <c r="GA1395" s="169"/>
      <c r="GB1395" s="169"/>
      <c r="GC1395" s="169"/>
      <c r="GD1395" s="169"/>
      <c r="GE1395" s="169"/>
      <c r="GF1395" s="169"/>
      <c r="GG1395" s="169"/>
      <c r="GW1395" s="951"/>
    </row>
    <row r="1396" spans="182:205" customFormat="1" x14ac:dyDescent="0.3">
      <c r="FZ1396" s="169"/>
      <c r="GA1396" s="169"/>
      <c r="GB1396" s="169"/>
      <c r="GC1396" s="169"/>
      <c r="GD1396" s="169"/>
      <c r="GE1396" s="169"/>
      <c r="GF1396" s="169"/>
      <c r="GG1396" s="169"/>
      <c r="GW1396" s="951"/>
    </row>
    <row r="1397" spans="182:205" customFormat="1" x14ac:dyDescent="0.3">
      <c r="FZ1397" s="169"/>
      <c r="GA1397" s="169"/>
      <c r="GB1397" s="169"/>
      <c r="GC1397" s="169"/>
      <c r="GD1397" s="169"/>
      <c r="GE1397" s="169"/>
      <c r="GF1397" s="169"/>
      <c r="GG1397" s="169"/>
      <c r="GW1397" s="951"/>
    </row>
    <row r="1398" spans="182:205" customFormat="1" x14ac:dyDescent="0.3">
      <c r="FZ1398" s="169"/>
      <c r="GA1398" s="169"/>
      <c r="GB1398" s="169"/>
      <c r="GC1398" s="169"/>
      <c r="GD1398" s="169"/>
      <c r="GE1398" s="169"/>
      <c r="GF1398" s="169"/>
      <c r="GG1398" s="169"/>
      <c r="GW1398" s="951"/>
    </row>
    <row r="1399" spans="182:205" customFormat="1" x14ac:dyDescent="0.3">
      <c r="FZ1399" s="169"/>
      <c r="GA1399" s="169"/>
      <c r="GB1399" s="169"/>
      <c r="GC1399" s="169"/>
      <c r="GD1399" s="169"/>
      <c r="GE1399" s="169"/>
      <c r="GF1399" s="169"/>
      <c r="GG1399" s="169"/>
      <c r="GW1399" s="951"/>
    </row>
    <row r="1400" spans="182:205" customFormat="1" x14ac:dyDescent="0.3">
      <c r="FZ1400" s="169"/>
      <c r="GA1400" s="169"/>
      <c r="GB1400" s="169"/>
      <c r="GC1400" s="169"/>
      <c r="GD1400" s="169"/>
      <c r="GE1400" s="169"/>
      <c r="GF1400" s="169"/>
      <c r="GG1400" s="169"/>
      <c r="GW1400" s="951"/>
    </row>
    <row r="1401" spans="182:205" customFormat="1" x14ac:dyDescent="0.3">
      <c r="FZ1401" s="169"/>
      <c r="GA1401" s="169"/>
      <c r="GB1401" s="169"/>
      <c r="GC1401" s="169"/>
      <c r="GD1401" s="169"/>
      <c r="GE1401" s="169"/>
      <c r="GF1401" s="169"/>
      <c r="GG1401" s="169"/>
      <c r="GW1401" s="951"/>
    </row>
    <row r="1402" spans="182:205" customFormat="1" x14ac:dyDescent="0.3">
      <c r="FZ1402" s="169"/>
      <c r="GA1402" s="169"/>
      <c r="GB1402" s="169"/>
      <c r="GC1402" s="169"/>
      <c r="GD1402" s="169"/>
      <c r="GE1402" s="169"/>
      <c r="GF1402" s="169"/>
      <c r="GG1402" s="169"/>
      <c r="GW1402" s="951"/>
    </row>
    <row r="1403" spans="182:205" customFormat="1" x14ac:dyDescent="0.3">
      <c r="FZ1403" s="169"/>
      <c r="GA1403" s="169"/>
      <c r="GB1403" s="169"/>
      <c r="GC1403" s="169"/>
      <c r="GD1403" s="169"/>
      <c r="GE1403" s="169"/>
      <c r="GF1403" s="169"/>
      <c r="GG1403" s="169"/>
      <c r="GW1403" s="951"/>
    </row>
    <row r="1404" spans="182:205" customFormat="1" x14ac:dyDescent="0.3">
      <c r="FZ1404" s="169"/>
      <c r="GA1404" s="169"/>
      <c r="GB1404" s="169"/>
      <c r="GC1404" s="169"/>
      <c r="GD1404" s="169"/>
      <c r="GE1404" s="169"/>
      <c r="GF1404" s="169"/>
      <c r="GG1404" s="169"/>
      <c r="GW1404" s="951"/>
    </row>
    <row r="1405" spans="182:205" customFormat="1" x14ac:dyDescent="0.3">
      <c r="FZ1405" s="169"/>
      <c r="GA1405" s="169"/>
      <c r="GB1405" s="169"/>
      <c r="GC1405" s="169"/>
      <c r="GD1405" s="169"/>
      <c r="GE1405" s="169"/>
      <c r="GF1405" s="169"/>
      <c r="GG1405" s="169"/>
      <c r="GW1405" s="951"/>
    </row>
    <row r="1406" spans="182:205" customFormat="1" x14ac:dyDescent="0.3">
      <c r="FZ1406" s="169"/>
      <c r="GA1406" s="169"/>
      <c r="GB1406" s="169"/>
      <c r="GC1406" s="169"/>
      <c r="GD1406" s="169"/>
      <c r="GE1406" s="169"/>
      <c r="GF1406" s="169"/>
      <c r="GG1406" s="169"/>
      <c r="GW1406" s="951"/>
    </row>
    <row r="1407" spans="182:205" customFormat="1" x14ac:dyDescent="0.3">
      <c r="FZ1407" s="169"/>
      <c r="GA1407" s="169"/>
      <c r="GB1407" s="169"/>
      <c r="GC1407" s="169"/>
      <c r="GD1407" s="169"/>
      <c r="GE1407" s="169"/>
      <c r="GF1407" s="169"/>
      <c r="GG1407" s="169"/>
      <c r="GW1407" s="951"/>
    </row>
    <row r="1408" spans="182:205" customFormat="1" x14ac:dyDescent="0.3">
      <c r="FZ1408" s="169"/>
      <c r="GA1408" s="169"/>
      <c r="GB1408" s="169"/>
      <c r="GC1408" s="169"/>
      <c r="GD1408" s="169"/>
      <c r="GE1408" s="169"/>
      <c r="GF1408" s="169"/>
      <c r="GG1408" s="169"/>
      <c r="GW1408" s="951"/>
    </row>
    <row r="1409" spans="182:205" customFormat="1" x14ac:dyDescent="0.3">
      <c r="FZ1409" s="169"/>
      <c r="GA1409" s="169"/>
      <c r="GB1409" s="169"/>
      <c r="GC1409" s="169"/>
      <c r="GD1409" s="169"/>
      <c r="GE1409" s="169"/>
      <c r="GF1409" s="169"/>
      <c r="GG1409" s="169"/>
      <c r="GW1409" s="951"/>
    </row>
    <row r="1410" spans="182:205" customFormat="1" x14ac:dyDescent="0.3">
      <c r="FZ1410" s="169"/>
      <c r="GA1410" s="169"/>
      <c r="GB1410" s="169"/>
      <c r="GC1410" s="169"/>
      <c r="GD1410" s="169"/>
      <c r="GE1410" s="169"/>
      <c r="GF1410" s="169"/>
      <c r="GG1410" s="169"/>
      <c r="GW1410" s="951"/>
    </row>
    <row r="1411" spans="182:205" customFormat="1" x14ac:dyDescent="0.3">
      <c r="FZ1411" s="169"/>
      <c r="GA1411" s="169"/>
      <c r="GB1411" s="169"/>
      <c r="GC1411" s="169"/>
      <c r="GD1411" s="169"/>
      <c r="GE1411" s="169"/>
      <c r="GF1411" s="169"/>
      <c r="GG1411" s="169"/>
      <c r="GW1411" s="951"/>
    </row>
    <row r="1412" spans="182:205" customFormat="1" x14ac:dyDescent="0.3">
      <c r="FZ1412" s="169"/>
      <c r="GA1412" s="169"/>
      <c r="GB1412" s="169"/>
      <c r="GC1412" s="169"/>
      <c r="GD1412" s="169"/>
      <c r="GE1412" s="169"/>
      <c r="GF1412" s="169"/>
      <c r="GG1412" s="169"/>
      <c r="GW1412" s="951"/>
    </row>
    <row r="1413" spans="182:205" customFormat="1" x14ac:dyDescent="0.3">
      <c r="FZ1413" s="169"/>
      <c r="GA1413" s="169"/>
      <c r="GB1413" s="169"/>
      <c r="GC1413" s="169"/>
      <c r="GD1413" s="169"/>
      <c r="GE1413" s="169"/>
      <c r="GF1413" s="169"/>
      <c r="GG1413" s="169"/>
      <c r="GW1413" s="951"/>
    </row>
    <row r="1414" spans="182:205" customFormat="1" x14ac:dyDescent="0.3">
      <c r="FZ1414" s="169"/>
      <c r="GA1414" s="169"/>
      <c r="GB1414" s="169"/>
      <c r="GC1414" s="169"/>
      <c r="GD1414" s="169"/>
      <c r="GE1414" s="169"/>
      <c r="GF1414" s="169"/>
      <c r="GG1414" s="169"/>
      <c r="GW1414" s="951"/>
    </row>
    <row r="1415" spans="182:205" customFormat="1" x14ac:dyDescent="0.3">
      <c r="FZ1415" s="169"/>
      <c r="GA1415" s="169"/>
      <c r="GB1415" s="169"/>
      <c r="GC1415" s="169"/>
      <c r="GD1415" s="169"/>
      <c r="GE1415" s="169"/>
      <c r="GF1415" s="169"/>
      <c r="GG1415" s="169"/>
      <c r="GW1415" s="951"/>
    </row>
    <row r="1416" spans="182:205" customFormat="1" x14ac:dyDescent="0.3">
      <c r="FZ1416" s="169"/>
      <c r="GA1416" s="169"/>
      <c r="GB1416" s="169"/>
      <c r="GC1416" s="169"/>
      <c r="GD1416" s="169"/>
      <c r="GE1416" s="169"/>
      <c r="GF1416" s="169"/>
      <c r="GG1416" s="169"/>
      <c r="GW1416" s="951"/>
    </row>
    <row r="1417" spans="182:205" customFormat="1" x14ac:dyDescent="0.3">
      <c r="FZ1417" s="169"/>
      <c r="GA1417" s="169"/>
      <c r="GB1417" s="169"/>
      <c r="GC1417" s="169"/>
      <c r="GD1417" s="169"/>
      <c r="GE1417" s="169"/>
      <c r="GF1417" s="169"/>
      <c r="GG1417" s="169"/>
      <c r="GW1417" s="951"/>
    </row>
    <row r="1418" spans="182:205" customFormat="1" x14ac:dyDescent="0.3">
      <c r="FZ1418" s="169"/>
      <c r="GA1418" s="169"/>
      <c r="GB1418" s="169"/>
      <c r="GC1418" s="169"/>
      <c r="GD1418" s="169"/>
      <c r="GE1418" s="169"/>
      <c r="GF1418" s="169"/>
      <c r="GG1418" s="169"/>
      <c r="GW1418" s="951"/>
    </row>
    <row r="1419" spans="182:205" customFormat="1" x14ac:dyDescent="0.3">
      <c r="FZ1419" s="169"/>
      <c r="GA1419" s="169"/>
      <c r="GB1419" s="169"/>
      <c r="GC1419" s="169"/>
      <c r="GD1419" s="169"/>
      <c r="GE1419" s="169"/>
      <c r="GF1419" s="169"/>
      <c r="GG1419" s="169"/>
      <c r="GW1419" s="951"/>
    </row>
    <row r="1420" spans="182:205" customFormat="1" x14ac:dyDescent="0.3">
      <c r="FZ1420" s="169"/>
      <c r="GA1420" s="169"/>
      <c r="GB1420" s="169"/>
      <c r="GC1420" s="169"/>
      <c r="GD1420" s="169"/>
      <c r="GE1420" s="169"/>
      <c r="GF1420" s="169"/>
      <c r="GG1420" s="169"/>
      <c r="GW1420" s="951"/>
    </row>
    <row r="1421" spans="182:205" customFormat="1" x14ac:dyDescent="0.3">
      <c r="FZ1421" s="169"/>
      <c r="GA1421" s="169"/>
      <c r="GB1421" s="169"/>
      <c r="GC1421" s="169"/>
      <c r="GD1421" s="169"/>
      <c r="GE1421" s="169"/>
      <c r="GF1421" s="169"/>
      <c r="GG1421" s="169"/>
      <c r="GW1421" s="951"/>
    </row>
    <row r="1422" spans="182:205" customFormat="1" x14ac:dyDescent="0.3">
      <c r="FZ1422" s="169"/>
      <c r="GA1422" s="169"/>
      <c r="GB1422" s="169"/>
      <c r="GC1422" s="169"/>
      <c r="GD1422" s="169"/>
      <c r="GE1422" s="169"/>
      <c r="GF1422" s="169"/>
      <c r="GG1422" s="169"/>
      <c r="GW1422" s="951"/>
    </row>
    <row r="1423" spans="182:205" customFormat="1" x14ac:dyDescent="0.3">
      <c r="FZ1423" s="169"/>
      <c r="GA1423" s="169"/>
      <c r="GB1423" s="169"/>
      <c r="GC1423" s="169"/>
      <c r="GD1423" s="169"/>
      <c r="GE1423" s="169"/>
      <c r="GF1423" s="169"/>
      <c r="GG1423" s="169"/>
      <c r="GW1423" s="951"/>
    </row>
    <row r="1424" spans="182:205" customFormat="1" x14ac:dyDescent="0.3">
      <c r="FZ1424" s="169"/>
      <c r="GA1424" s="169"/>
      <c r="GB1424" s="169"/>
      <c r="GC1424" s="169"/>
      <c r="GD1424" s="169"/>
      <c r="GE1424" s="169"/>
      <c r="GF1424" s="169"/>
      <c r="GG1424" s="169"/>
      <c r="GW1424" s="951"/>
    </row>
    <row r="1425" spans="182:205" customFormat="1" x14ac:dyDescent="0.3">
      <c r="FZ1425" s="169"/>
      <c r="GA1425" s="169"/>
      <c r="GB1425" s="169"/>
      <c r="GC1425" s="169"/>
      <c r="GD1425" s="169"/>
      <c r="GE1425" s="169"/>
      <c r="GF1425" s="169"/>
      <c r="GG1425" s="169"/>
      <c r="GW1425" s="951"/>
    </row>
    <row r="1426" spans="182:205" customFormat="1" x14ac:dyDescent="0.3">
      <c r="FZ1426" s="169"/>
      <c r="GA1426" s="169"/>
      <c r="GB1426" s="169"/>
      <c r="GC1426" s="169"/>
      <c r="GD1426" s="169"/>
      <c r="GE1426" s="169"/>
      <c r="GF1426" s="169"/>
      <c r="GG1426" s="169"/>
      <c r="GW1426" s="951"/>
    </row>
    <row r="1427" spans="182:205" customFormat="1" x14ac:dyDescent="0.3">
      <c r="FZ1427" s="169"/>
      <c r="GA1427" s="169"/>
      <c r="GB1427" s="169"/>
      <c r="GC1427" s="169"/>
      <c r="GD1427" s="169"/>
      <c r="GE1427" s="169"/>
      <c r="GF1427" s="169"/>
      <c r="GG1427" s="169"/>
      <c r="GW1427" s="951"/>
    </row>
    <row r="1428" spans="182:205" customFormat="1" x14ac:dyDescent="0.3">
      <c r="FZ1428" s="169"/>
      <c r="GA1428" s="169"/>
      <c r="GB1428" s="169"/>
      <c r="GC1428" s="169"/>
      <c r="GD1428" s="169"/>
      <c r="GE1428" s="169"/>
      <c r="GF1428" s="169"/>
      <c r="GG1428" s="169"/>
      <c r="GW1428" s="951"/>
    </row>
    <row r="1429" spans="182:205" customFormat="1" x14ac:dyDescent="0.3">
      <c r="FZ1429" s="169"/>
      <c r="GA1429" s="169"/>
      <c r="GB1429" s="169"/>
      <c r="GC1429" s="169"/>
      <c r="GD1429" s="169"/>
      <c r="GE1429" s="169"/>
      <c r="GF1429" s="169"/>
      <c r="GG1429" s="169"/>
      <c r="GW1429" s="951"/>
    </row>
    <row r="1430" spans="182:205" customFormat="1" x14ac:dyDescent="0.3">
      <c r="FZ1430" s="169"/>
      <c r="GA1430" s="169"/>
      <c r="GB1430" s="169"/>
      <c r="GC1430" s="169"/>
      <c r="GD1430" s="169"/>
      <c r="GE1430" s="169"/>
      <c r="GF1430" s="169"/>
      <c r="GG1430" s="169"/>
      <c r="GW1430" s="951"/>
    </row>
    <row r="1431" spans="182:205" customFormat="1" x14ac:dyDescent="0.3">
      <c r="FZ1431" s="169"/>
      <c r="GA1431" s="169"/>
      <c r="GB1431" s="169"/>
      <c r="GC1431" s="169"/>
      <c r="GD1431" s="169"/>
      <c r="GE1431" s="169"/>
      <c r="GF1431" s="169"/>
      <c r="GG1431" s="169"/>
      <c r="GW1431" s="951"/>
    </row>
    <row r="1432" spans="182:205" customFormat="1" x14ac:dyDescent="0.3">
      <c r="FZ1432" s="169"/>
      <c r="GA1432" s="169"/>
      <c r="GB1432" s="169"/>
      <c r="GC1432" s="169"/>
      <c r="GD1432" s="169"/>
      <c r="GE1432" s="169"/>
      <c r="GF1432" s="169"/>
      <c r="GG1432" s="169"/>
      <c r="GW1432" s="951"/>
    </row>
    <row r="1433" spans="182:205" customFormat="1" x14ac:dyDescent="0.3">
      <c r="FZ1433" s="169"/>
      <c r="GA1433" s="169"/>
      <c r="GB1433" s="169"/>
      <c r="GC1433" s="169"/>
      <c r="GD1433" s="169"/>
      <c r="GE1433" s="169"/>
      <c r="GF1433" s="169"/>
      <c r="GG1433" s="169"/>
      <c r="GW1433" s="951"/>
    </row>
    <row r="1434" spans="182:205" customFormat="1" x14ac:dyDescent="0.3">
      <c r="FZ1434" s="169"/>
      <c r="GA1434" s="169"/>
      <c r="GB1434" s="169"/>
      <c r="GC1434" s="169"/>
      <c r="GD1434" s="169"/>
      <c r="GE1434" s="169"/>
      <c r="GF1434" s="169"/>
      <c r="GG1434" s="169"/>
      <c r="GW1434" s="951"/>
    </row>
    <row r="1435" spans="182:205" customFormat="1" x14ac:dyDescent="0.3">
      <c r="FZ1435" s="169"/>
      <c r="GA1435" s="169"/>
      <c r="GB1435" s="169"/>
      <c r="GC1435" s="169"/>
      <c r="GD1435" s="169"/>
      <c r="GE1435" s="169"/>
      <c r="GF1435" s="169"/>
      <c r="GG1435" s="169"/>
      <c r="GW1435" s="951"/>
    </row>
    <row r="1436" spans="182:205" customFormat="1" x14ac:dyDescent="0.3">
      <c r="FZ1436" s="169"/>
      <c r="GA1436" s="169"/>
      <c r="GB1436" s="169"/>
      <c r="GC1436" s="169"/>
      <c r="GD1436" s="169"/>
      <c r="GE1436" s="169"/>
      <c r="GF1436" s="169"/>
      <c r="GG1436" s="169"/>
      <c r="GW1436" s="951"/>
    </row>
    <row r="1437" spans="182:205" customFormat="1" x14ac:dyDescent="0.3">
      <c r="FZ1437" s="169"/>
      <c r="GA1437" s="169"/>
      <c r="GB1437" s="169"/>
      <c r="GC1437" s="169"/>
      <c r="GD1437" s="169"/>
      <c r="GE1437" s="169"/>
      <c r="GF1437" s="169"/>
      <c r="GG1437" s="169"/>
      <c r="GW1437" s="951"/>
    </row>
    <row r="1438" spans="182:205" customFormat="1" x14ac:dyDescent="0.3">
      <c r="FZ1438" s="169"/>
      <c r="GA1438" s="169"/>
      <c r="GB1438" s="169"/>
      <c r="GC1438" s="169"/>
      <c r="GD1438" s="169"/>
      <c r="GE1438" s="169"/>
      <c r="GF1438" s="169"/>
      <c r="GG1438" s="169"/>
      <c r="GW1438" s="951"/>
    </row>
    <row r="1439" spans="182:205" customFormat="1" x14ac:dyDescent="0.3">
      <c r="FZ1439" s="169"/>
      <c r="GA1439" s="169"/>
      <c r="GB1439" s="169"/>
      <c r="GC1439" s="169"/>
      <c r="GD1439" s="169"/>
      <c r="GE1439" s="169"/>
      <c r="GF1439" s="169"/>
      <c r="GG1439" s="169"/>
      <c r="GW1439" s="951"/>
    </row>
    <row r="1440" spans="182:205" customFormat="1" x14ac:dyDescent="0.3">
      <c r="FZ1440" s="169"/>
      <c r="GA1440" s="169"/>
      <c r="GB1440" s="169"/>
      <c r="GC1440" s="169"/>
      <c r="GD1440" s="169"/>
      <c r="GE1440" s="169"/>
      <c r="GF1440" s="169"/>
      <c r="GG1440" s="169"/>
      <c r="GW1440" s="951"/>
    </row>
    <row r="1441" spans="182:205" customFormat="1" x14ac:dyDescent="0.3">
      <c r="FZ1441" s="169"/>
      <c r="GA1441" s="169"/>
      <c r="GB1441" s="169"/>
      <c r="GC1441" s="169"/>
      <c r="GD1441" s="169"/>
      <c r="GE1441" s="169"/>
      <c r="GF1441" s="169"/>
      <c r="GG1441" s="169"/>
      <c r="GW1441" s="951"/>
    </row>
    <row r="1442" spans="182:205" customFormat="1" x14ac:dyDescent="0.3">
      <c r="FZ1442" s="169"/>
      <c r="GA1442" s="169"/>
      <c r="GB1442" s="169"/>
      <c r="GC1442" s="169"/>
      <c r="GD1442" s="169"/>
      <c r="GE1442" s="169"/>
      <c r="GF1442" s="169"/>
      <c r="GG1442" s="169"/>
      <c r="GW1442" s="951"/>
    </row>
    <row r="1443" spans="182:205" customFormat="1" x14ac:dyDescent="0.3">
      <c r="FZ1443" s="169"/>
      <c r="GA1443" s="169"/>
      <c r="GB1443" s="169"/>
      <c r="GC1443" s="169"/>
      <c r="GD1443" s="169"/>
      <c r="GE1443" s="169"/>
      <c r="GF1443" s="169"/>
      <c r="GG1443" s="169"/>
      <c r="GW1443" s="951"/>
    </row>
    <row r="1444" spans="182:205" customFormat="1" x14ac:dyDescent="0.3">
      <c r="FZ1444" s="169"/>
      <c r="GA1444" s="169"/>
      <c r="GB1444" s="169"/>
      <c r="GC1444" s="169"/>
      <c r="GD1444" s="169"/>
      <c r="GE1444" s="169"/>
      <c r="GF1444" s="169"/>
      <c r="GG1444" s="169"/>
      <c r="GW1444" s="951"/>
    </row>
    <row r="1445" spans="182:205" customFormat="1" x14ac:dyDescent="0.3">
      <c r="FZ1445" s="169"/>
      <c r="GA1445" s="169"/>
      <c r="GB1445" s="169"/>
      <c r="GC1445" s="169"/>
      <c r="GD1445" s="169"/>
      <c r="GE1445" s="169"/>
      <c r="GF1445" s="169"/>
      <c r="GG1445" s="169"/>
      <c r="GW1445" s="951"/>
    </row>
    <row r="1446" spans="182:205" customFormat="1" x14ac:dyDescent="0.3">
      <c r="FZ1446" s="169"/>
      <c r="GA1446" s="169"/>
      <c r="GB1446" s="169"/>
      <c r="GC1446" s="169"/>
      <c r="GD1446" s="169"/>
      <c r="GE1446" s="169"/>
      <c r="GF1446" s="169"/>
      <c r="GG1446" s="169"/>
      <c r="GW1446" s="951"/>
    </row>
    <row r="1447" spans="182:205" customFormat="1" x14ac:dyDescent="0.3">
      <c r="FZ1447" s="169"/>
      <c r="GA1447" s="169"/>
      <c r="GB1447" s="169"/>
      <c r="GC1447" s="169"/>
      <c r="GD1447" s="169"/>
      <c r="GE1447" s="169"/>
      <c r="GF1447" s="169"/>
      <c r="GG1447" s="169"/>
      <c r="GW1447" s="951"/>
    </row>
    <row r="1448" spans="182:205" customFormat="1" x14ac:dyDescent="0.3">
      <c r="FZ1448" s="169"/>
      <c r="GA1448" s="169"/>
      <c r="GB1448" s="169"/>
      <c r="GC1448" s="169"/>
      <c r="GD1448" s="169"/>
      <c r="GE1448" s="169"/>
      <c r="GF1448" s="169"/>
      <c r="GG1448" s="169"/>
      <c r="GW1448" s="951"/>
    </row>
    <row r="1449" spans="182:205" customFormat="1" x14ac:dyDescent="0.3">
      <c r="FZ1449" s="169"/>
      <c r="GA1449" s="169"/>
      <c r="GB1449" s="169"/>
      <c r="GC1449" s="169"/>
      <c r="GD1449" s="169"/>
      <c r="GE1449" s="169"/>
      <c r="GF1449" s="169"/>
      <c r="GG1449" s="169"/>
      <c r="GW1449" s="951"/>
    </row>
    <row r="1450" spans="182:205" customFormat="1" x14ac:dyDescent="0.3">
      <c r="FZ1450" s="169"/>
      <c r="GA1450" s="169"/>
      <c r="GB1450" s="169"/>
      <c r="GC1450" s="169"/>
      <c r="GD1450" s="169"/>
      <c r="GE1450" s="169"/>
      <c r="GF1450" s="169"/>
      <c r="GG1450" s="169"/>
      <c r="GW1450" s="951"/>
    </row>
    <row r="1451" spans="182:205" customFormat="1" x14ac:dyDescent="0.3">
      <c r="FZ1451" s="169"/>
      <c r="GA1451" s="169"/>
      <c r="GB1451" s="169"/>
      <c r="GC1451" s="169"/>
      <c r="GD1451" s="169"/>
      <c r="GE1451" s="169"/>
      <c r="GF1451" s="169"/>
      <c r="GG1451" s="169"/>
      <c r="GW1451" s="951"/>
    </row>
    <row r="1452" spans="182:205" customFormat="1" x14ac:dyDescent="0.3">
      <c r="FZ1452" s="169"/>
      <c r="GA1452" s="169"/>
      <c r="GB1452" s="169"/>
      <c r="GC1452" s="169"/>
      <c r="GD1452" s="169"/>
      <c r="GE1452" s="169"/>
      <c r="GF1452" s="169"/>
      <c r="GG1452" s="169"/>
      <c r="GW1452" s="951"/>
    </row>
    <row r="1453" spans="182:205" customFormat="1" x14ac:dyDescent="0.3">
      <c r="FZ1453" s="169"/>
      <c r="GA1453" s="169"/>
      <c r="GB1453" s="169"/>
      <c r="GC1453" s="169"/>
      <c r="GD1453" s="169"/>
      <c r="GE1453" s="169"/>
      <c r="GF1453" s="169"/>
      <c r="GG1453" s="169"/>
      <c r="GW1453" s="951"/>
    </row>
    <row r="1454" spans="182:205" customFormat="1" x14ac:dyDescent="0.3">
      <c r="FZ1454" s="169"/>
      <c r="GA1454" s="169"/>
      <c r="GB1454" s="169"/>
      <c r="GC1454" s="169"/>
      <c r="GD1454" s="169"/>
      <c r="GE1454" s="169"/>
      <c r="GF1454" s="169"/>
      <c r="GG1454" s="169"/>
      <c r="GW1454" s="951"/>
    </row>
    <row r="1455" spans="182:205" customFormat="1" x14ac:dyDescent="0.3">
      <c r="FZ1455" s="169"/>
      <c r="GA1455" s="169"/>
      <c r="GB1455" s="169"/>
      <c r="GC1455" s="169"/>
      <c r="GD1455" s="169"/>
      <c r="GE1455" s="169"/>
      <c r="GF1455" s="169"/>
      <c r="GG1455" s="169"/>
      <c r="GW1455" s="951"/>
    </row>
    <row r="1456" spans="182:205" customFormat="1" x14ac:dyDescent="0.3">
      <c r="FZ1456" s="169"/>
      <c r="GA1456" s="169"/>
      <c r="GB1456" s="169"/>
      <c r="GC1456" s="169"/>
      <c r="GD1456" s="169"/>
      <c r="GE1456" s="169"/>
      <c r="GF1456" s="169"/>
      <c r="GG1456" s="169"/>
      <c r="GW1456" s="951"/>
    </row>
    <row r="1457" spans="182:205" customFormat="1" x14ac:dyDescent="0.3">
      <c r="FZ1457" s="169"/>
      <c r="GA1457" s="169"/>
      <c r="GB1457" s="169"/>
      <c r="GC1457" s="169"/>
      <c r="GD1457" s="169"/>
      <c r="GE1457" s="169"/>
      <c r="GF1457" s="169"/>
      <c r="GG1457" s="169"/>
      <c r="GW1457" s="951"/>
    </row>
    <row r="1458" spans="182:205" customFormat="1" x14ac:dyDescent="0.3">
      <c r="FZ1458" s="169"/>
      <c r="GA1458" s="169"/>
      <c r="GB1458" s="169"/>
      <c r="GC1458" s="169"/>
      <c r="GD1458" s="169"/>
      <c r="GE1458" s="169"/>
      <c r="GF1458" s="169"/>
      <c r="GG1458" s="169"/>
      <c r="GW1458" s="951"/>
    </row>
    <row r="1459" spans="182:205" customFormat="1" x14ac:dyDescent="0.3">
      <c r="FZ1459" s="169"/>
      <c r="GA1459" s="169"/>
      <c r="GB1459" s="169"/>
      <c r="GC1459" s="169"/>
      <c r="GD1459" s="169"/>
      <c r="GE1459" s="169"/>
      <c r="GF1459" s="169"/>
      <c r="GG1459" s="169"/>
      <c r="GW1459" s="951"/>
    </row>
    <row r="1460" spans="182:205" customFormat="1" x14ac:dyDescent="0.3">
      <c r="FZ1460" s="169"/>
      <c r="GA1460" s="169"/>
      <c r="GB1460" s="169"/>
      <c r="GC1460" s="169"/>
      <c r="GD1460" s="169"/>
      <c r="GE1460" s="169"/>
      <c r="GF1460" s="169"/>
      <c r="GG1460" s="169"/>
      <c r="GW1460" s="951"/>
    </row>
    <row r="1461" spans="182:205" customFormat="1" x14ac:dyDescent="0.3">
      <c r="FZ1461" s="169"/>
      <c r="GA1461" s="169"/>
      <c r="GB1461" s="169"/>
      <c r="GC1461" s="169"/>
      <c r="GD1461" s="169"/>
      <c r="GE1461" s="169"/>
      <c r="GF1461" s="169"/>
      <c r="GG1461" s="169"/>
      <c r="GW1461" s="951"/>
    </row>
    <row r="1462" spans="182:205" customFormat="1" x14ac:dyDescent="0.3">
      <c r="FZ1462" s="169"/>
      <c r="GA1462" s="169"/>
      <c r="GB1462" s="169"/>
      <c r="GC1462" s="169"/>
      <c r="GD1462" s="169"/>
      <c r="GE1462" s="169"/>
      <c r="GF1462" s="169"/>
      <c r="GG1462" s="169"/>
      <c r="GW1462" s="951"/>
    </row>
    <row r="1463" spans="182:205" customFormat="1" x14ac:dyDescent="0.3">
      <c r="FZ1463" s="169"/>
      <c r="GA1463" s="169"/>
      <c r="GB1463" s="169"/>
      <c r="GC1463" s="169"/>
      <c r="GD1463" s="169"/>
      <c r="GE1463" s="169"/>
      <c r="GF1463" s="169"/>
      <c r="GG1463" s="169"/>
      <c r="GW1463" s="951"/>
    </row>
    <row r="1464" spans="182:205" customFormat="1" x14ac:dyDescent="0.3">
      <c r="FZ1464" s="169"/>
      <c r="GA1464" s="169"/>
      <c r="GB1464" s="169"/>
      <c r="GC1464" s="169"/>
      <c r="GD1464" s="169"/>
      <c r="GE1464" s="169"/>
      <c r="GF1464" s="169"/>
      <c r="GG1464" s="169"/>
      <c r="GW1464" s="951"/>
    </row>
    <row r="1465" spans="182:205" customFormat="1" x14ac:dyDescent="0.3">
      <c r="FZ1465" s="169"/>
      <c r="GA1465" s="169"/>
      <c r="GB1465" s="169"/>
      <c r="GC1465" s="169"/>
      <c r="GD1465" s="169"/>
      <c r="GE1465" s="169"/>
      <c r="GF1465" s="169"/>
      <c r="GG1465" s="169"/>
      <c r="GW1465" s="951"/>
    </row>
    <row r="1466" spans="182:205" customFormat="1" x14ac:dyDescent="0.3">
      <c r="FZ1466" s="169"/>
      <c r="GA1466" s="169"/>
      <c r="GB1466" s="169"/>
      <c r="GC1466" s="169"/>
      <c r="GD1466" s="169"/>
      <c r="GE1466" s="169"/>
      <c r="GF1466" s="169"/>
      <c r="GG1466" s="169"/>
      <c r="GW1466" s="951"/>
    </row>
    <row r="1467" spans="182:205" customFormat="1" x14ac:dyDescent="0.3">
      <c r="FZ1467" s="169"/>
      <c r="GA1467" s="169"/>
      <c r="GB1467" s="169"/>
      <c r="GC1467" s="169"/>
      <c r="GD1467" s="169"/>
      <c r="GE1467" s="169"/>
      <c r="GF1467" s="169"/>
      <c r="GG1467" s="169"/>
      <c r="GW1467" s="951"/>
    </row>
    <row r="1468" spans="182:205" customFormat="1" x14ac:dyDescent="0.3">
      <c r="FZ1468" s="169"/>
      <c r="GA1468" s="169"/>
      <c r="GB1468" s="169"/>
      <c r="GC1468" s="169"/>
      <c r="GD1468" s="169"/>
      <c r="GE1468" s="169"/>
      <c r="GF1468" s="169"/>
      <c r="GG1468" s="169"/>
      <c r="GW1468" s="951"/>
    </row>
    <row r="1469" spans="182:205" customFormat="1" x14ac:dyDescent="0.3">
      <c r="FZ1469" s="169"/>
      <c r="GA1469" s="169"/>
      <c r="GB1469" s="169"/>
      <c r="GC1469" s="169"/>
      <c r="GD1469" s="169"/>
      <c r="GE1469" s="169"/>
      <c r="GF1469" s="169"/>
      <c r="GG1469" s="169"/>
      <c r="GW1469" s="951"/>
    </row>
    <row r="1470" spans="182:205" customFormat="1" x14ac:dyDescent="0.3">
      <c r="FZ1470" s="169"/>
      <c r="GA1470" s="169"/>
      <c r="GB1470" s="169"/>
      <c r="GC1470" s="169"/>
      <c r="GD1470" s="169"/>
      <c r="GE1470" s="169"/>
      <c r="GF1470" s="169"/>
      <c r="GG1470" s="169"/>
      <c r="GW1470" s="951"/>
    </row>
    <row r="1471" spans="182:205" customFormat="1" x14ac:dyDescent="0.3">
      <c r="FZ1471" s="169"/>
      <c r="GA1471" s="169"/>
      <c r="GB1471" s="169"/>
      <c r="GC1471" s="169"/>
      <c r="GD1471" s="169"/>
      <c r="GE1471" s="169"/>
      <c r="GF1471" s="169"/>
      <c r="GG1471" s="169"/>
      <c r="GW1471" s="951"/>
    </row>
    <row r="1472" spans="182:205" customFormat="1" x14ac:dyDescent="0.3">
      <c r="FZ1472" s="169"/>
      <c r="GA1472" s="169"/>
      <c r="GB1472" s="169"/>
      <c r="GC1472" s="169"/>
      <c r="GD1472" s="169"/>
      <c r="GE1472" s="169"/>
      <c r="GF1472" s="169"/>
      <c r="GG1472" s="169"/>
      <c r="GW1472" s="951"/>
    </row>
    <row r="1473" spans="182:205" customFormat="1" x14ac:dyDescent="0.3">
      <c r="FZ1473" s="169"/>
      <c r="GA1473" s="169"/>
      <c r="GB1473" s="169"/>
      <c r="GC1473" s="169"/>
      <c r="GD1473" s="169"/>
      <c r="GE1473" s="169"/>
      <c r="GF1473" s="169"/>
      <c r="GG1473" s="169"/>
      <c r="GW1473" s="951"/>
    </row>
    <row r="1474" spans="182:205" customFormat="1" x14ac:dyDescent="0.3">
      <c r="FZ1474" s="169"/>
      <c r="GA1474" s="169"/>
      <c r="GB1474" s="169"/>
      <c r="GC1474" s="169"/>
      <c r="GD1474" s="169"/>
      <c r="GE1474" s="169"/>
      <c r="GF1474" s="169"/>
      <c r="GG1474" s="169"/>
      <c r="GW1474" s="951"/>
    </row>
    <row r="1475" spans="182:205" customFormat="1" x14ac:dyDescent="0.3">
      <c r="FZ1475" s="169"/>
      <c r="GA1475" s="169"/>
      <c r="GB1475" s="169"/>
      <c r="GC1475" s="169"/>
      <c r="GD1475" s="169"/>
      <c r="GE1475" s="169"/>
      <c r="GF1475" s="169"/>
      <c r="GG1475" s="169"/>
      <c r="GW1475" s="951"/>
    </row>
    <row r="1476" spans="182:205" customFormat="1" x14ac:dyDescent="0.3">
      <c r="FZ1476" s="169"/>
      <c r="GA1476" s="169"/>
      <c r="GB1476" s="169"/>
      <c r="GC1476" s="169"/>
      <c r="GD1476" s="169"/>
      <c r="GE1476" s="169"/>
      <c r="GF1476" s="169"/>
      <c r="GG1476" s="169"/>
      <c r="GW1476" s="951"/>
    </row>
    <row r="1477" spans="182:205" customFormat="1" x14ac:dyDescent="0.3">
      <c r="FZ1477" s="169"/>
      <c r="GA1477" s="169"/>
      <c r="GB1477" s="169"/>
      <c r="GC1477" s="169"/>
      <c r="GD1477" s="169"/>
      <c r="GE1477" s="169"/>
      <c r="GF1477" s="169"/>
      <c r="GG1477" s="169"/>
      <c r="GW1477" s="951"/>
    </row>
    <row r="1478" spans="182:205" customFormat="1" x14ac:dyDescent="0.3">
      <c r="FZ1478" s="169"/>
      <c r="GA1478" s="169"/>
      <c r="GB1478" s="169"/>
      <c r="GC1478" s="169"/>
      <c r="GD1478" s="169"/>
      <c r="GE1478" s="169"/>
      <c r="GF1478" s="169"/>
      <c r="GG1478" s="169"/>
      <c r="GW1478" s="951"/>
    </row>
    <row r="1479" spans="182:205" customFormat="1" x14ac:dyDescent="0.3">
      <c r="FZ1479" s="169"/>
      <c r="GA1479" s="169"/>
      <c r="GB1479" s="169"/>
      <c r="GC1479" s="169"/>
      <c r="GD1479" s="169"/>
      <c r="GE1479" s="169"/>
      <c r="GF1479" s="169"/>
      <c r="GG1479" s="169"/>
      <c r="GW1479" s="951"/>
    </row>
    <row r="1480" spans="182:205" customFormat="1" x14ac:dyDescent="0.3">
      <c r="FZ1480" s="169"/>
      <c r="GA1480" s="169"/>
      <c r="GB1480" s="169"/>
      <c r="GC1480" s="169"/>
      <c r="GD1480" s="169"/>
      <c r="GE1480" s="169"/>
      <c r="GF1480" s="169"/>
      <c r="GG1480" s="169"/>
      <c r="GW1480" s="951"/>
    </row>
    <row r="1481" spans="182:205" customFormat="1" x14ac:dyDescent="0.3">
      <c r="FZ1481" s="169"/>
      <c r="GA1481" s="169"/>
      <c r="GB1481" s="169"/>
      <c r="GC1481" s="169"/>
      <c r="GD1481" s="169"/>
      <c r="GE1481" s="169"/>
      <c r="GF1481" s="169"/>
      <c r="GG1481" s="169"/>
      <c r="GW1481" s="951"/>
    </row>
    <row r="1482" spans="182:205" customFormat="1" x14ac:dyDescent="0.3">
      <c r="FZ1482" s="169"/>
      <c r="GA1482" s="169"/>
      <c r="GB1482" s="169"/>
      <c r="GC1482" s="169"/>
      <c r="GD1482" s="169"/>
      <c r="GE1482" s="169"/>
      <c r="GF1482" s="169"/>
      <c r="GG1482" s="169"/>
      <c r="GW1482" s="951"/>
    </row>
    <row r="1483" spans="182:205" customFormat="1" x14ac:dyDescent="0.3">
      <c r="FZ1483" s="169"/>
      <c r="GA1483" s="169"/>
      <c r="GB1483" s="169"/>
      <c r="GC1483" s="169"/>
      <c r="GD1483" s="169"/>
      <c r="GE1483" s="169"/>
      <c r="GF1483" s="169"/>
      <c r="GG1483" s="169"/>
      <c r="GW1483" s="951"/>
    </row>
    <row r="1484" spans="182:205" customFormat="1" x14ac:dyDescent="0.3">
      <c r="FZ1484" s="169"/>
      <c r="GA1484" s="169"/>
      <c r="GB1484" s="169"/>
      <c r="GC1484" s="169"/>
      <c r="GD1484" s="169"/>
      <c r="GE1484" s="169"/>
      <c r="GF1484" s="169"/>
      <c r="GG1484" s="169"/>
      <c r="GW1484" s="951"/>
    </row>
    <row r="1485" spans="182:205" customFormat="1" x14ac:dyDescent="0.3">
      <c r="FZ1485" s="169"/>
      <c r="GA1485" s="169"/>
      <c r="GB1485" s="169"/>
      <c r="GC1485" s="169"/>
      <c r="GD1485" s="169"/>
      <c r="GE1485" s="169"/>
      <c r="GF1485" s="169"/>
      <c r="GG1485" s="169"/>
      <c r="GW1485" s="951"/>
    </row>
    <row r="1486" spans="182:205" customFormat="1" x14ac:dyDescent="0.3">
      <c r="FZ1486" s="169"/>
      <c r="GA1486" s="169"/>
      <c r="GB1486" s="169"/>
      <c r="GC1486" s="169"/>
      <c r="GD1486" s="169"/>
      <c r="GE1486" s="169"/>
      <c r="GF1486" s="169"/>
      <c r="GG1486" s="169"/>
      <c r="GW1486" s="951"/>
    </row>
    <row r="1487" spans="182:205" customFormat="1" x14ac:dyDescent="0.3">
      <c r="FZ1487" s="169"/>
      <c r="GA1487" s="169"/>
      <c r="GB1487" s="169"/>
      <c r="GC1487" s="169"/>
      <c r="GD1487" s="169"/>
      <c r="GE1487" s="169"/>
      <c r="GF1487" s="169"/>
      <c r="GG1487" s="169"/>
      <c r="GW1487" s="951"/>
    </row>
    <row r="1488" spans="182:205" customFormat="1" x14ac:dyDescent="0.3">
      <c r="FZ1488" s="169"/>
      <c r="GA1488" s="169"/>
      <c r="GB1488" s="169"/>
      <c r="GC1488" s="169"/>
      <c r="GD1488" s="169"/>
      <c r="GE1488" s="169"/>
      <c r="GF1488" s="169"/>
      <c r="GG1488" s="169"/>
      <c r="GW1488" s="951"/>
    </row>
    <row r="1489" spans="182:205" customFormat="1" x14ac:dyDescent="0.3">
      <c r="FZ1489" s="169"/>
      <c r="GA1489" s="169"/>
      <c r="GB1489" s="169"/>
      <c r="GC1489" s="169"/>
      <c r="GD1489" s="169"/>
      <c r="GE1489" s="169"/>
      <c r="GF1489" s="169"/>
      <c r="GG1489" s="169"/>
      <c r="GW1489" s="951"/>
    </row>
    <row r="1490" spans="182:205" customFormat="1" x14ac:dyDescent="0.3">
      <c r="FZ1490" s="169"/>
      <c r="GA1490" s="169"/>
      <c r="GB1490" s="169"/>
      <c r="GC1490" s="169"/>
      <c r="GD1490" s="169"/>
      <c r="GE1490" s="169"/>
      <c r="GF1490" s="169"/>
      <c r="GG1490" s="169"/>
      <c r="GW1490" s="951"/>
    </row>
    <row r="1491" spans="182:205" customFormat="1" x14ac:dyDescent="0.3">
      <c r="FZ1491" s="169"/>
      <c r="GA1491" s="169"/>
      <c r="GB1491" s="169"/>
      <c r="GC1491" s="169"/>
      <c r="GD1491" s="169"/>
      <c r="GE1491" s="169"/>
      <c r="GF1491" s="169"/>
      <c r="GG1491" s="169"/>
      <c r="GW1491" s="951"/>
    </row>
    <row r="1492" spans="182:205" customFormat="1" x14ac:dyDescent="0.3">
      <c r="FZ1492" s="169"/>
      <c r="GA1492" s="169"/>
      <c r="GB1492" s="169"/>
      <c r="GC1492" s="169"/>
      <c r="GD1492" s="169"/>
      <c r="GE1492" s="169"/>
      <c r="GF1492" s="169"/>
      <c r="GG1492" s="169"/>
      <c r="GW1492" s="951"/>
    </row>
    <row r="1493" spans="182:205" customFormat="1" x14ac:dyDescent="0.3">
      <c r="FZ1493" s="169"/>
      <c r="GA1493" s="169"/>
      <c r="GB1493" s="169"/>
      <c r="GC1493" s="169"/>
      <c r="GD1493" s="169"/>
      <c r="GE1493" s="169"/>
      <c r="GF1493" s="169"/>
      <c r="GG1493" s="169"/>
      <c r="GW1493" s="951"/>
    </row>
    <row r="1494" spans="182:205" customFormat="1" x14ac:dyDescent="0.3">
      <c r="FZ1494" s="169"/>
      <c r="GA1494" s="169"/>
      <c r="GB1494" s="169"/>
      <c r="GC1494" s="169"/>
      <c r="GD1494" s="169"/>
      <c r="GE1494" s="169"/>
      <c r="GF1494" s="169"/>
      <c r="GG1494" s="169"/>
      <c r="GW1494" s="951"/>
    </row>
    <row r="1495" spans="182:205" customFormat="1" x14ac:dyDescent="0.3">
      <c r="FZ1495" s="169"/>
      <c r="GA1495" s="169"/>
      <c r="GB1495" s="169"/>
      <c r="GC1495" s="169"/>
      <c r="GD1495" s="169"/>
      <c r="GE1495" s="169"/>
      <c r="GF1495" s="169"/>
      <c r="GG1495" s="169"/>
      <c r="GW1495" s="951"/>
    </row>
    <row r="1496" spans="182:205" customFormat="1" x14ac:dyDescent="0.3">
      <c r="FZ1496" s="169"/>
      <c r="GA1496" s="169"/>
      <c r="GB1496" s="169"/>
      <c r="GC1496" s="169"/>
      <c r="GD1496" s="169"/>
      <c r="GE1496" s="169"/>
      <c r="GF1496" s="169"/>
      <c r="GG1496" s="169"/>
      <c r="GW1496" s="951"/>
    </row>
    <row r="1497" spans="182:205" customFormat="1" x14ac:dyDescent="0.3">
      <c r="FZ1497" s="169"/>
      <c r="GA1497" s="169"/>
      <c r="GB1497" s="169"/>
      <c r="GC1497" s="169"/>
      <c r="GD1497" s="169"/>
      <c r="GE1497" s="169"/>
      <c r="GF1497" s="169"/>
      <c r="GG1497" s="169"/>
      <c r="GW1497" s="951"/>
    </row>
    <row r="1498" spans="182:205" customFormat="1" x14ac:dyDescent="0.3">
      <c r="FZ1498" s="169"/>
      <c r="GA1498" s="169"/>
      <c r="GB1498" s="169"/>
      <c r="GC1498" s="169"/>
      <c r="GD1498" s="169"/>
      <c r="GE1498" s="169"/>
      <c r="GF1498" s="169"/>
      <c r="GG1498" s="169"/>
      <c r="GW1498" s="951"/>
    </row>
    <row r="1499" spans="182:205" customFormat="1" x14ac:dyDescent="0.3">
      <c r="FZ1499" s="169"/>
      <c r="GA1499" s="169"/>
      <c r="GB1499" s="169"/>
      <c r="GC1499" s="169"/>
      <c r="GD1499" s="169"/>
      <c r="GE1499" s="169"/>
      <c r="GF1499" s="169"/>
      <c r="GG1499" s="169"/>
      <c r="GW1499" s="951"/>
    </row>
    <row r="1500" spans="182:205" customFormat="1" x14ac:dyDescent="0.3">
      <c r="FZ1500" s="169"/>
      <c r="GA1500" s="169"/>
      <c r="GB1500" s="169"/>
      <c r="GC1500" s="169"/>
      <c r="GD1500" s="169"/>
      <c r="GE1500" s="169"/>
      <c r="GF1500" s="169"/>
      <c r="GG1500" s="169"/>
      <c r="GW1500" s="951"/>
    </row>
    <row r="1501" spans="182:205" customFormat="1" x14ac:dyDescent="0.3">
      <c r="FZ1501" s="169"/>
      <c r="GA1501" s="169"/>
      <c r="GB1501" s="169"/>
      <c r="GC1501" s="169"/>
      <c r="GD1501" s="169"/>
      <c r="GE1501" s="169"/>
      <c r="GF1501" s="169"/>
      <c r="GG1501" s="169"/>
      <c r="GW1501" s="951"/>
    </row>
    <row r="1502" spans="182:205" customFormat="1" x14ac:dyDescent="0.3">
      <c r="FZ1502" s="169"/>
      <c r="GA1502" s="169"/>
      <c r="GB1502" s="169"/>
      <c r="GC1502" s="169"/>
      <c r="GD1502" s="169"/>
      <c r="GE1502" s="169"/>
      <c r="GF1502" s="169"/>
      <c r="GG1502" s="169"/>
      <c r="GW1502" s="951"/>
    </row>
    <row r="1503" spans="182:205" customFormat="1" x14ac:dyDescent="0.3">
      <c r="FZ1503" s="169"/>
      <c r="GA1503" s="169"/>
      <c r="GB1503" s="169"/>
      <c r="GC1503" s="169"/>
      <c r="GD1503" s="169"/>
      <c r="GE1503" s="169"/>
      <c r="GF1503" s="169"/>
      <c r="GG1503" s="169"/>
      <c r="GW1503" s="951"/>
    </row>
    <row r="1504" spans="182:205" customFormat="1" x14ac:dyDescent="0.3">
      <c r="FZ1504" s="169"/>
      <c r="GA1504" s="169"/>
      <c r="GB1504" s="169"/>
      <c r="GC1504" s="169"/>
      <c r="GD1504" s="169"/>
      <c r="GE1504" s="169"/>
      <c r="GF1504" s="169"/>
      <c r="GG1504" s="169"/>
      <c r="GW1504" s="951"/>
    </row>
    <row r="1505" spans="182:205" customFormat="1" x14ac:dyDescent="0.3">
      <c r="FZ1505" s="169"/>
      <c r="GA1505" s="169"/>
      <c r="GB1505" s="169"/>
      <c r="GC1505" s="169"/>
      <c r="GD1505" s="169"/>
      <c r="GE1505" s="169"/>
      <c r="GF1505" s="169"/>
      <c r="GG1505" s="169"/>
      <c r="GW1505" s="951"/>
    </row>
    <row r="1506" spans="182:205" customFormat="1" x14ac:dyDescent="0.3">
      <c r="FZ1506" s="169"/>
      <c r="GA1506" s="169"/>
      <c r="GB1506" s="169"/>
      <c r="GC1506" s="169"/>
      <c r="GD1506" s="169"/>
      <c r="GE1506" s="169"/>
      <c r="GF1506" s="169"/>
      <c r="GG1506" s="169"/>
      <c r="GW1506" s="951"/>
    </row>
    <row r="1507" spans="182:205" customFormat="1" x14ac:dyDescent="0.3">
      <c r="FZ1507" s="169"/>
      <c r="GA1507" s="169"/>
      <c r="GB1507" s="169"/>
      <c r="GC1507" s="169"/>
      <c r="GD1507" s="169"/>
      <c r="GE1507" s="169"/>
      <c r="GF1507" s="169"/>
      <c r="GG1507" s="169"/>
      <c r="GW1507" s="951"/>
    </row>
    <row r="1508" spans="182:205" customFormat="1" x14ac:dyDescent="0.3">
      <c r="FZ1508" s="169"/>
      <c r="GA1508" s="169"/>
      <c r="GB1508" s="169"/>
      <c r="GC1508" s="169"/>
      <c r="GD1508" s="169"/>
      <c r="GE1508" s="169"/>
      <c r="GF1508" s="169"/>
      <c r="GG1508" s="169"/>
      <c r="GW1508" s="951"/>
    </row>
    <row r="1509" spans="182:205" customFormat="1" x14ac:dyDescent="0.3">
      <c r="FZ1509" s="169"/>
      <c r="GA1509" s="169"/>
      <c r="GB1509" s="169"/>
      <c r="GC1509" s="169"/>
      <c r="GD1509" s="169"/>
      <c r="GE1509" s="169"/>
      <c r="GF1509" s="169"/>
      <c r="GG1509" s="169"/>
      <c r="GW1509" s="951"/>
    </row>
    <row r="1510" spans="182:205" customFormat="1" x14ac:dyDescent="0.3">
      <c r="FZ1510" s="169"/>
      <c r="GA1510" s="169"/>
      <c r="GB1510" s="169"/>
      <c r="GC1510" s="169"/>
      <c r="GD1510" s="169"/>
      <c r="GE1510" s="169"/>
      <c r="GF1510" s="169"/>
      <c r="GG1510" s="169"/>
      <c r="GW1510" s="951"/>
    </row>
    <row r="1511" spans="182:205" customFormat="1" x14ac:dyDescent="0.3">
      <c r="FZ1511" s="169"/>
      <c r="GA1511" s="169"/>
      <c r="GB1511" s="169"/>
      <c r="GC1511" s="169"/>
      <c r="GD1511" s="169"/>
      <c r="GE1511" s="169"/>
      <c r="GF1511" s="169"/>
      <c r="GG1511" s="169"/>
      <c r="GW1511" s="951"/>
    </row>
    <row r="1512" spans="182:205" customFormat="1" x14ac:dyDescent="0.3">
      <c r="FZ1512" s="169"/>
      <c r="GA1512" s="169"/>
      <c r="GB1512" s="169"/>
      <c r="GC1512" s="169"/>
      <c r="GD1512" s="169"/>
      <c r="GE1512" s="169"/>
      <c r="GF1512" s="169"/>
      <c r="GG1512" s="169"/>
      <c r="GW1512" s="951"/>
    </row>
    <row r="1513" spans="182:205" customFormat="1" x14ac:dyDescent="0.3">
      <c r="FZ1513" s="169"/>
      <c r="GA1513" s="169"/>
      <c r="GB1513" s="169"/>
      <c r="GC1513" s="169"/>
      <c r="GD1513" s="169"/>
      <c r="GE1513" s="169"/>
      <c r="GF1513" s="169"/>
      <c r="GG1513" s="169"/>
      <c r="GW1513" s="951"/>
    </row>
    <row r="1514" spans="182:205" customFormat="1" x14ac:dyDescent="0.3">
      <c r="FZ1514" s="169"/>
      <c r="GA1514" s="169"/>
      <c r="GB1514" s="169"/>
      <c r="GC1514" s="169"/>
      <c r="GD1514" s="169"/>
      <c r="GE1514" s="169"/>
      <c r="GF1514" s="169"/>
      <c r="GG1514" s="169"/>
      <c r="GW1514" s="951"/>
    </row>
    <row r="1515" spans="182:205" customFormat="1" x14ac:dyDescent="0.3">
      <c r="FZ1515" s="169"/>
      <c r="GA1515" s="169"/>
      <c r="GB1515" s="169"/>
      <c r="GC1515" s="169"/>
      <c r="GD1515" s="169"/>
      <c r="GE1515" s="169"/>
      <c r="GF1515" s="169"/>
      <c r="GG1515" s="169"/>
      <c r="GW1515" s="951"/>
    </row>
    <row r="1516" spans="182:205" customFormat="1" x14ac:dyDescent="0.3">
      <c r="FZ1516" s="169"/>
      <c r="GA1516" s="169"/>
      <c r="GB1516" s="169"/>
      <c r="GC1516" s="169"/>
      <c r="GD1516" s="169"/>
      <c r="GE1516" s="169"/>
      <c r="GF1516" s="169"/>
      <c r="GG1516" s="169"/>
      <c r="GW1516" s="951"/>
    </row>
    <row r="1517" spans="182:205" customFormat="1" x14ac:dyDescent="0.3">
      <c r="FZ1517" s="169"/>
      <c r="GA1517" s="169"/>
      <c r="GB1517" s="169"/>
      <c r="GC1517" s="169"/>
      <c r="GD1517" s="169"/>
      <c r="GE1517" s="169"/>
      <c r="GF1517" s="169"/>
      <c r="GG1517" s="169"/>
      <c r="GW1517" s="951"/>
    </row>
    <row r="1518" spans="182:205" customFormat="1" x14ac:dyDescent="0.3">
      <c r="FZ1518" s="169"/>
      <c r="GA1518" s="169"/>
      <c r="GB1518" s="169"/>
      <c r="GC1518" s="169"/>
      <c r="GD1518" s="169"/>
      <c r="GE1518" s="169"/>
      <c r="GF1518" s="169"/>
      <c r="GG1518" s="169"/>
      <c r="GW1518" s="951"/>
    </row>
    <row r="1519" spans="182:205" customFormat="1" x14ac:dyDescent="0.3">
      <c r="FZ1519" s="169"/>
      <c r="GA1519" s="169"/>
      <c r="GB1519" s="169"/>
      <c r="GC1519" s="169"/>
      <c r="GD1519" s="169"/>
      <c r="GE1519" s="169"/>
      <c r="GF1519" s="169"/>
      <c r="GG1519" s="169"/>
      <c r="GW1519" s="951"/>
    </row>
    <row r="1520" spans="182:205" customFormat="1" x14ac:dyDescent="0.3">
      <c r="FZ1520" s="169"/>
      <c r="GA1520" s="169"/>
      <c r="GB1520" s="169"/>
      <c r="GC1520" s="169"/>
      <c r="GD1520" s="169"/>
      <c r="GE1520" s="169"/>
      <c r="GF1520" s="169"/>
      <c r="GG1520" s="169"/>
      <c r="GW1520" s="951"/>
    </row>
    <row r="1521" spans="182:205" customFormat="1" x14ac:dyDescent="0.3">
      <c r="FZ1521" s="169"/>
      <c r="GA1521" s="169"/>
      <c r="GB1521" s="169"/>
      <c r="GC1521" s="169"/>
      <c r="GD1521" s="169"/>
      <c r="GE1521" s="169"/>
      <c r="GF1521" s="169"/>
      <c r="GG1521" s="169"/>
      <c r="GW1521" s="951"/>
    </row>
    <row r="1522" spans="182:205" customFormat="1" x14ac:dyDescent="0.3">
      <c r="FZ1522" s="169"/>
      <c r="GA1522" s="169"/>
      <c r="GB1522" s="169"/>
      <c r="GC1522" s="169"/>
      <c r="GD1522" s="169"/>
      <c r="GE1522" s="169"/>
      <c r="GF1522" s="169"/>
      <c r="GG1522" s="169"/>
      <c r="GW1522" s="951"/>
    </row>
    <row r="1523" spans="182:205" customFormat="1" x14ac:dyDescent="0.3">
      <c r="FZ1523" s="169"/>
      <c r="GA1523" s="169"/>
      <c r="GB1523" s="169"/>
      <c r="GC1523" s="169"/>
      <c r="GD1523" s="169"/>
      <c r="GE1523" s="169"/>
      <c r="GF1523" s="169"/>
      <c r="GG1523" s="169"/>
      <c r="GW1523" s="951"/>
    </row>
    <row r="1524" spans="182:205" customFormat="1" x14ac:dyDescent="0.3">
      <c r="FZ1524" s="169"/>
      <c r="GA1524" s="169"/>
      <c r="GB1524" s="169"/>
      <c r="GC1524" s="169"/>
      <c r="GD1524" s="169"/>
      <c r="GE1524" s="169"/>
      <c r="GF1524" s="169"/>
      <c r="GG1524" s="169"/>
      <c r="GW1524" s="951"/>
    </row>
    <row r="1525" spans="182:205" customFormat="1" x14ac:dyDescent="0.3">
      <c r="FZ1525" s="169"/>
      <c r="GA1525" s="169"/>
      <c r="GB1525" s="169"/>
      <c r="GC1525" s="169"/>
      <c r="GD1525" s="169"/>
      <c r="GE1525" s="169"/>
      <c r="GF1525" s="169"/>
      <c r="GG1525" s="169"/>
      <c r="GW1525" s="951"/>
    </row>
    <row r="1526" spans="182:205" customFormat="1" x14ac:dyDescent="0.3">
      <c r="FZ1526" s="169"/>
      <c r="GA1526" s="169"/>
      <c r="GB1526" s="169"/>
      <c r="GC1526" s="169"/>
      <c r="GD1526" s="169"/>
      <c r="GE1526" s="169"/>
      <c r="GF1526" s="169"/>
      <c r="GG1526" s="169"/>
      <c r="GW1526" s="951"/>
    </row>
    <row r="1527" spans="182:205" customFormat="1" x14ac:dyDescent="0.3">
      <c r="FZ1527" s="169"/>
      <c r="GA1527" s="169"/>
      <c r="GB1527" s="169"/>
      <c r="GC1527" s="169"/>
      <c r="GD1527" s="169"/>
      <c r="GE1527" s="169"/>
      <c r="GF1527" s="169"/>
      <c r="GG1527" s="169"/>
      <c r="GW1527" s="951"/>
    </row>
    <row r="1528" spans="182:205" customFormat="1" x14ac:dyDescent="0.3">
      <c r="FZ1528" s="169"/>
      <c r="GA1528" s="169"/>
      <c r="GB1528" s="169"/>
      <c r="GC1528" s="169"/>
      <c r="GD1528" s="169"/>
      <c r="GE1528" s="169"/>
      <c r="GF1528" s="169"/>
      <c r="GG1528" s="169"/>
      <c r="GW1528" s="951"/>
    </row>
    <row r="1529" spans="182:205" customFormat="1" x14ac:dyDescent="0.3">
      <c r="FZ1529" s="169"/>
      <c r="GA1529" s="169"/>
      <c r="GB1529" s="169"/>
      <c r="GC1529" s="169"/>
      <c r="GD1529" s="169"/>
      <c r="GE1529" s="169"/>
      <c r="GF1529" s="169"/>
      <c r="GG1529" s="169"/>
      <c r="GW1529" s="951"/>
    </row>
    <row r="1530" spans="182:205" customFormat="1" x14ac:dyDescent="0.3">
      <c r="FZ1530" s="169"/>
      <c r="GA1530" s="169"/>
      <c r="GB1530" s="169"/>
      <c r="GC1530" s="169"/>
      <c r="GD1530" s="169"/>
      <c r="GE1530" s="169"/>
      <c r="GF1530" s="169"/>
      <c r="GG1530" s="169"/>
      <c r="GW1530" s="951"/>
    </row>
    <row r="1531" spans="182:205" customFormat="1" x14ac:dyDescent="0.3">
      <c r="FZ1531" s="169"/>
      <c r="GA1531" s="169"/>
      <c r="GB1531" s="169"/>
      <c r="GC1531" s="169"/>
      <c r="GD1531" s="169"/>
      <c r="GE1531" s="169"/>
      <c r="GF1531" s="169"/>
      <c r="GG1531" s="169"/>
      <c r="GW1531" s="951"/>
    </row>
    <row r="1532" spans="182:205" customFormat="1" x14ac:dyDescent="0.3">
      <c r="FZ1532" s="169"/>
      <c r="GA1532" s="169"/>
      <c r="GB1532" s="169"/>
      <c r="GC1532" s="169"/>
      <c r="GD1532" s="169"/>
      <c r="GE1532" s="169"/>
      <c r="GF1532" s="169"/>
      <c r="GG1532" s="169"/>
      <c r="GW1532" s="951"/>
    </row>
    <row r="1533" spans="182:205" customFormat="1" x14ac:dyDescent="0.3">
      <c r="FZ1533" s="169"/>
      <c r="GA1533" s="169"/>
      <c r="GB1533" s="169"/>
      <c r="GC1533" s="169"/>
      <c r="GD1533" s="169"/>
      <c r="GE1533" s="169"/>
      <c r="GF1533" s="169"/>
      <c r="GG1533" s="169"/>
      <c r="GW1533" s="951"/>
    </row>
    <row r="1534" spans="182:205" customFormat="1" x14ac:dyDescent="0.3">
      <c r="FZ1534" s="169"/>
      <c r="GA1534" s="169"/>
      <c r="GB1534" s="169"/>
      <c r="GC1534" s="169"/>
      <c r="GD1534" s="169"/>
      <c r="GE1534" s="169"/>
      <c r="GF1534" s="169"/>
      <c r="GG1534" s="169"/>
      <c r="GW1534" s="951"/>
    </row>
    <row r="1535" spans="182:205" customFormat="1" x14ac:dyDescent="0.3">
      <c r="FZ1535" s="169"/>
      <c r="GA1535" s="169"/>
      <c r="GB1535" s="169"/>
      <c r="GC1535" s="169"/>
      <c r="GD1535" s="169"/>
      <c r="GE1535" s="169"/>
      <c r="GF1535" s="169"/>
      <c r="GG1535" s="169"/>
      <c r="GW1535" s="951"/>
    </row>
    <row r="1536" spans="182:205" customFormat="1" x14ac:dyDescent="0.3">
      <c r="FZ1536" s="169"/>
      <c r="GA1536" s="169"/>
      <c r="GB1536" s="169"/>
      <c r="GC1536" s="169"/>
      <c r="GD1536" s="169"/>
      <c r="GE1536" s="169"/>
      <c r="GF1536" s="169"/>
      <c r="GG1536" s="169"/>
      <c r="GW1536" s="951"/>
    </row>
    <row r="1537" spans="182:205" customFormat="1" x14ac:dyDescent="0.3">
      <c r="FZ1537" s="169"/>
      <c r="GA1537" s="169"/>
      <c r="GB1537" s="169"/>
      <c r="GC1537" s="169"/>
      <c r="GD1537" s="169"/>
      <c r="GE1537" s="169"/>
      <c r="GF1537" s="169"/>
      <c r="GG1537" s="169"/>
      <c r="GW1537" s="951"/>
    </row>
    <row r="1538" spans="182:205" customFormat="1" x14ac:dyDescent="0.3">
      <c r="FZ1538" s="169"/>
      <c r="GA1538" s="169"/>
      <c r="GB1538" s="169"/>
      <c r="GC1538" s="169"/>
      <c r="GD1538" s="169"/>
      <c r="GE1538" s="169"/>
      <c r="GF1538" s="169"/>
      <c r="GG1538" s="169"/>
      <c r="GW1538" s="951"/>
    </row>
    <row r="1539" spans="182:205" customFormat="1" x14ac:dyDescent="0.3">
      <c r="FZ1539" s="169"/>
      <c r="GA1539" s="169"/>
      <c r="GB1539" s="169"/>
      <c r="GC1539" s="169"/>
      <c r="GD1539" s="169"/>
      <c r="GE1539" s="169"/>
      <c r="GF1539" s="169"/>
      <c r="GG1539" s="169"/>
      <c r="GW1539" s="951"/>
    </row>
    <row r="1540" spans="182:205" customFormat="1" x14ac:dyDescent="0.3">
      <c r="FZ1540" s="169"/>
      <c r="GA1540" s="169"/>
      <c r="GB1540" s="169"/>
      <c r="GC1540" s="169"/>
      <c r="GD1540" s="169"/>
      <c r="GE1540" s="169"/>
      <c r="GF1540" s="169"/>
      <c r="GG1540" s="169"/>
      <c r="GW1540" s="951"/>
    </row>
    <row r="1541" spans="182:205" customFormat="1" x14ac:dyDescent="0.3">
      <c r="FZ1541" s="169"/>
      <c r="GA1541" s="169"/>
      <c r="GB1541" s="169"/>
      <c r="GC1541" s="169"/>
      <c r="GD1541" s="169"/>
      <c r="GE1541" s="169"/>
      <c r="GF1541" s="169"/>
      <c r="GG1541" s="169"/>
      <c r="GW1541" s="951"/>
    </row>
    <row r="1542" spans="182:205" customFormat="1" x14ac:dyDescent="0.3">
      <c r="FZ1542" s="169"/>
      <c r="GA1542" s="169"/>
      <c r="GB1542" s="169"/>
      <c r="GC1542" s="169"/>
      <c r="GD1542" s="169"/>
      <c r="GE1542" s="169"/>
      <c r="GF1542" s="169"/>
      <c r="GG1542" s="169"/>
      <c r="GW1542" s="951"/>
    </row>
    <row r="1543" spans="182:205" customFormat="1" x14ac:dyDescent="0.3">
      <c r="FZ1543" s="169"/>
      <c r="GA1543" s="169"/>
      <c r="GB1543" s="169"/>
      <c r="GC1543" s="169"/>
      <c r="GD1543" s="169"/>
      <c r="GE1543" s="169"/>
      <c r="GF1543" s="169"/>
      <c r="GG1543" s="169"/>
      <c r="GW1543" s="951"/>
    </row>
    <row r="1544" spans="182:205" customFormat="1" x14ac:dyDescent="0.3">
      <c r="FZ1544" s="169"/>
      <c r="GA1544" s="169"/>
      <c r="GB1544" s="169"/>
      <c r="GC1544" s="169"/>
      <c r="GD1544" s="169"/>
      <c r="GE1544" s="169"/>
      <c r="GF1544" s="169"/>
      <c r="GG1544" s="169"/>
      <c r="GW1544" s="951"/>
    </row>
    <row r="1545" spans="182:205" customFormat="1" x14ac:dyDescent="0.3">
      <c r="FZ1545" s="169"/>
      <c r="GA1545" s="169"/>
      <c r="GB1545" s="169"/>
      <c r="GC1545" s="169"/>
      <c r="GD1545" s="169"/>
      <c r="GE1545" s="169"/>
      <c r="GF1545" s="169"/>
      <c r="GG1545" s="169"/>
      <c r="GW1545" s="951"/>
    </row>
    <row r="1546" spans="182:205" customFormat="1" x14ac:dyDescent="0.3">
      <c r="FZ1546" s="169"/>
      <c r="GA1546" s="169"/>
      <c r="GB1546" s="169"/>
      <c r="GC1546" s="169"/>
      <c r="GD1546" s="169"/>
      <c r="GE1546" s="169"/>
      <c r="GF1546" s="169"/>
      <c r="GG1546" s="169"/>
      <c r="GW1546" s="951"/>
    </row>
    <row r="1547" spans="182:205" customFormat="1" x14ac:dyDescent="0.3">
      <c r="FZ1547" s="169"/>
      <c r="GA1547" s="169"/>
      <c r="GB1547" s="169"/>
      <c r="GC1547" s="169"/>
      <c r="GD1547" s="169"/>
      <c r="GE1547" s="169"/>
      <c r="GF1547" s="169"/>
      <c r="GG1547" s="169"/>
      <c r="GW1547" s="951"/>
    </row>
    <row r="1548" spans="182:205" customFormat="1" x14ac:dyDescent="0.3">
      <c r="FZ1548" s="169"/>
      <c r="GA1548" s="169"/>
      <c r="GB1548" s="169"/>
      <c r="GC1548" s="169"/>
      <c r="GD1548" s="169"/>
      <c r="GE1548" s="169"/>
      <c r="GF1548" s="169"/>
      <c r="GG1548" s="169"/>
      <c r="GW1548" s="951"/>
    </row>
    <row r="1549" spans="182:205" customFormat="1" x14ac:dyDescent="0.3">
      <c r="FZ1549" s="169"/>
      <c r="GA1549" s="169"/>
      <c r="GB1549" s="169"/>
      <c r="GC1549" s="169"/>
      <c r="GD1549" s="169"/>
      <c r="GE1549" s="169"/>
      <c r="GF1549" s="169"/>
      <c r="GG1549" s="169"/>
      <c r="GW1549" s="951"/>
    </row>
    <row r="1550" spans="182:205" customFormat="1" x14ac:dyDescent="0.3">
      <c r="FZ1550" s="169"/>
      <c r="GA1550" s="169"/>
      <c r="GB1550" s="169"/>
      <c r="GC1550" s="169"/>
      <c r="GD1550" s="169"/>
      <c r="GE1550" s="169"/>
      <c r="GF1550" s="169"/>
      <c r="GG1550" s="169"/>
      <c r="GW1550" s="951"/>
    </row>
    <row r="1551" spans="182:205" customFormat="1" x14ac:dyDescent="0.3">
      <c r="FZ1551" s="169"/>
      <c r="GA1551" s="169"/>
      <c r="GB1551" s="169"/>
      <c r="GC1551" s="169"/>
      <c r="GD1551" s="169"/>
      <c r="GE1551" s="169"/>
      <c r="GF1551" s="169"/>
      <c r="GG1551" s="169"/>
      <c r="GW1551" s="951"/>
    </row>
    <row r="1552" spans="182:205" customFormat="1" x14ac:dyDescent="0.3">
      <c r="FZ1552" s="169"/>
      <c r="GA1552" s="169"/>
      <c r="GB1552" s="169"/>
      <c r="GC1552" s="169"/>
      <c r="GD1552" s="169"/>
      <c r="GE1552" s="169"/>
      <c r="GF1552" s="169"/>
      <c r="GG1552" s="169"/>
      <c r="GW1552" s="951"/>
    </row>
    <row r="1553" spans="182:205" customFormat="1" x14ac:dyDescent="0.3">
      <c r="FZ1553" s="169"/>
      <c r="GA1553" s="169"/>
      <c r="GB1553" s="169"/>
      <c r="GC1553" s="169"/>
      <c r="GD1553" s="169"/>
      <c r="GE1553" s="169"/>
      <c r="GF1553" s="169"/>
      <c r="GG1553" s="169"/>
      <c r="GW1553" s="951"/>
    </row>
    <row r="1554" spans="182:205" customFormat="1" x14ac:dyDescent="0.3">
      <c r="FZ1554" s="169"/>
      <c r="GA1554" s="169"/>
      <c r="GB1554" s="169"/>
      <c r="GC1554" s="169"/>
      <c r="GD1554" s="169"/>
      <c r="GE1554" s="169"/>
      <c r="GF1554" s="169"/>
      <c r="GG1554" s="169"/>
      <c r="GW1554" s="951"/>
    </row>
    <row r="1555" spans="182:205" customFormat="1" x14ac:dyDescent="0.3">
      <c r="FZ1555" s="169"/>
      <c r="GA1555" s="169"/>
      <c r="GB1555" s="169"/>
      <c r="GC1555" s="169"/>
      <c r="GD1555" s="169"/>
      <c r="GE1555" s="169"/>
      <c r="GF1555" s="169"/>
      <c r="GG1555" s="169"/>
      <c r="GW1555" s="951"/>
    </row>
    <row r="1556" spans="182:205" customFormat="1" x14ac:dyDescent="0.3">
      <c r="FZ1556" s="169"/>
      <c r="GA1556" s="169"/>
      <c r="GB1556" s="169"/>
      <c r="GC1556" s="169"/>
      <c r="GD1556" s="169"/>
      <c r="GE1556" s="169"/>
      <c r="GF1556" s="169"/>
      <c r="GG1556" s="169"/>
      <c r="GW1556" s="951"/>
    </row>
    <row r="1557" spans="182:205" customFormat="1" x14ac:dyDescent="0.3">
      <c r="FZ1557" s="169"/>
      <c r="GA1557" s="169"/>
      <c r="GB1557" s="169"/>
      <c r="GC1557" s="169"/>
      <c r="GD1557" s="169"/>
      <c r="GE1557" s="169"/>
      <c r="GF1557" s="169"/>
      <c r="GG1557" s="169"/>
      <c r="GW1557" s="951"/>
    </row>
    <row r="1558" spans="182:205" customFormat="1" x14ac:dyDescent="0.3">
      <c r="FZ1558" s="169"/>
      <c r="GA1558" s="169"/>
      <c r="GB1558" s="169"/>
      <c r="GC1558" s="169"/>
      <c r="GD1558" s="169"/>
      <c r="GE1558" s="169"/>
      <c r="GF1558" s="169"/>
      <c r="GG1558" s="169"/>
      <c r="GW1558" s="951"/>
    </row>
    <row r="1559" spans="182:205" customFormat="1" x14ac:dyDescent="0.3">
      <c r="FZ1559" s="169"/>
      <c r="GA1559" s="169"/>
      <c r="GB1559" s="169"/>
      <c r="GC1559" s="169"/>
      <c r="GD1559" s="169"/>
      <c r="GE1559" s="169"/>
      <c r="GF1559" s="169"/>
      <c r="GG1559" s="169"/>
      <c r="GW1559" s="951"/>
    </row>
    <row r="1560" spans="182:205" customFormat="1" x14ac:dyDescent="0.3">
      <c r="FZ1560" s="169"/>
      <c r="GA1560" s="169"/>
      <c r="GB1560" s="169"/>
      <c r="GC1560" s="169"/>
      <c r="GD1560" s="169"/>
      <c r="GE1560" s="169"/>
      <c r="GF1560" s="169"/>
      <c r="GG1560" s="169"/>
      <c r="GW1560" s="951"/>
    </row>
    <row r="1561" spans="182:205" customFormat="1" x14ac:dyDescent="0.3">
      <c r="FZ1561" s="169"/>
      <c r="GA1561" s="169"/>
      <c r="GB1561" s="169"/>
      <c r="GC1561" s="169"/>
      <c r="GD1561" s="169"/>
      <c r="GE1561" s="169"/>
      <c r="GF1561" s="169"/>
      <c r="GG1561" s="169"/>
      <c r="GW1561" s="951"/>
    </row>
    <row r="1562" spans="182:205" customFormat="1" x14ac:dyDescent="0.3">
      <c r="FZ1562" s="169"/>
      <c r="GA1562" s="169"/>
      <c r="GB1562" s="169"/>
      <c r="GC1562" s="169"/>
      <c r="GD1562" s="169"/>
      <c r="GE1562" s="169"/>
      <c r="GF1562" s="169"/>
      <c r="GG1562" s="169"/>
      <c r="GW1562" s="951"/>
    </row>
    <row r="1563" spans="182:205" customFormat="1" x14ac:dyDescent="0.3">
      <c r="FZ1563" s="169"/>
      <c r="GA1563" s="169"/>
      <c r="GB1563" s="169"/>
      <c r="GC1563" s="169"/>
      <c r="GD1563" s="169"/>
      <c r="GE1563" s="169"/>
      <c r="GF1563" s="169"/>
      <c r="GG1563" s="169"/>
      <c r="GW1563" s="951"/>
    </row>
    <row r="1564" spans="182:205" customFormat="1" x14ac:dyDescent="0.3">
      <c r="FZ1564" s="169"/>
      <c r="GA1564" s="169"/>
      <c r="GB1564" s="169"/>
      <c r="GC1564" s="169"/>
      <c r="GD1564" s="169"/>
      <c r="GE1564" s="169"/>
      <c r="GF1564" s="169"/>
      <c r="GG1564" s="169"/>
      <c r="GW1564" s="951"/>
    </row>
    <row r="1565" spans="182:205" customFormat="1" x14ac:dyDescent="0.3">
      <c r="FZ1565" s="169"/>
      <c r="GA1565" s="169"/>
      <c r="GB1565" s="169"/>
      <c r="GC1565" s="169"/>
      <c r="GD1565" s="169"/>
      <c r="GE1565" s="169"/>
      <c r="GF1565" s="169"/>
      <c r="GG1565" s="169"/>
      <c r="GW1565" s="951"/>
    </row>
    <row r="1566" spans="182:205" customFormat="1" x14ac:dyDescent="0.3">
      <c r="FZ1566" s="169"/>
      <c r="GA1566" s="169"/>
      <c r="GB1566" s="169"/>
      <c r="GC1566" s="169"/>
      <c r="GD1566" s="169"/>
      <c r="GE1566" s="169"/>
      <c r="GF1566" s="169"/>
      <c r="GG1566" s="169"/>
      <c r="GW1566" s="951"/>
    </row>
    <row r="1567" spans="182:205" customFormat="1" x14ac:dyDescent="0.3">
      <c r="FZ1567" s="169"/>
      <c r="GA1567" s="169"/>
      <c r="GB1567" s="169"/>
      <c r="GC1567" s="169"/>
      <c r="GD1567" s="169"/>
      <c r="GE1567" s="169"/>
      <c r="GF1567" s="169"/>
      <c r="GG1567" s="169"/>
      <c r="GW1567" s="951"/>
    </row>
    <row r="1568" spans="182:205" customFormat="1" x14ac:dyDescent="0.3">
      <c r="FZ1568" s="169"/>
      <c r="GA1568" s="169"/>
      <c r="GB1568" s="169"/>
      <c r="GC1568" s="169"/>
      <c r="GD1568" s="169"/>
      <c r="GE1568" s="169"/>
      <c r="GF1568" s="169"/>
      <c r="GG1568" s="169"/>
      <c r="GW1568" s="951"/>
    </row>
    <row r="1569" spans="182:205" customFormat="1" x14ac:dyDescent="0.3">
      <c r="FZ1569" s="169"/>
      <c r="GA1569" s="169"/>
      <c r="GB1569" s="169"/>
      <c r="GC1569" s="169"/>
      <c r="GD1569" s="169"/>
      <c r="GE1569" s="169"/>
      <c r="GF1569" s="169"/>
      <c r="GG1569" s="169"/>
      <c r="GW1569" s="951"/>
    </row>
    <row r="1570" spans="182:205" customFormat="1" x14ac:dyDescent="0.3">
      <c r="FZ1570" s="169"/>
      <c r="GA1570" s="169"/>
      <c r="GB1570" s="169"/>
      <c r="GC1570" s="169"/>
      <c r="GD1570" s="169"/>
      <c r="GE1570" s="169"/>
      <c r="GF1570" s="169"/>
      <c r="GG1570" s="169"/>
      <c r="GW1570" s="951"/>
    </row>
    <row r="1571" spans="182:205" customFormat="1" x14ac:dyDescent="0.3">
      <c r="FZ1571" s="169"/>
      <c r="GA1571" s="169"/>
      <c r="GB1571" s="169"/>
      <c r="GC1571" s="169"/>
      <c r="GD1571" s="169"/>
      <c r="GE1571" s="169"/>
      <c r="GF1571" s="169"/>
      <c r="GG1571" s="169"/>
      <c r="GW1571" s="951"/>
    </row>
    <row r="1572" spans="182:205" customFormat="1" x14ac:dyDescent="0.3">
      <c r="FZ1572" s="169"/>
      <c r="GA1572" s="169"/>
      <c r="GB1572" s="169"/>
      <c r="GC1572" s="169"/>
      <c r="GD1572" s="169"/>
      <c r="GE1572" s="169"/>
      <c r="GF1572" s="169"/>
      <c r="GG1572" s="169"/>
      <c r="GW1572" s="951"/>
    </row>
    <row r="1573" spans="182:205" customFormat="1" x14ac:dyDescent="0.3">
      <c r="FZ1573" s="169"/>
      <c r="GA1573" s="169"/>
      <c r="GB1573" s="169"/>
      <c r="GC1573" s="169"/>
      <c r="GD1573" s="169"/>
      <c r="GE1573" s="169"/>
      <c r="GF1573" s="169"/>
      <c r="GG1573" s="169"/>
      <c r="GW1573" s="951"/>
    </row>
    <row r="1574" spans="182:205" customFormat="1" x14ac:dyDescent="0.3">
      <c r="FZ1574" s="169"/>
      <c r="GA1574" s="169"/>
      <c r="GB1574" s="169"/>
      <c r="GC1574" s="169"/>
      <c r="GD1574" s="169"/>
      <c r="GE1574" s="169"/>
      <c r="GF1574" s="169"/>
      <c r="GG1574" s="169"/>
      <c r="GW1574" s="951"/>
    </row>
    <row r="1575" spans="182:205" customFormat="1" x14ac:dyDescent="0.3">
      <c r="FZ1575" s="169"/>
      <c r="GA1575" s="169"/>
      <c r="GB1575" s="169"/>
      <c r="GC1575" s="169"/>
      <c r="GD1575" s="169"/>
      <c r="GE1575" s="169"/>
      <c r="GF1575" s="169"/>
      <c r="GG1575" s="169"/>
      <c r="GW1575" s="951"/>
    </row>
    <row r="1576" spans="182:205" customFormat="1" x14ac:dyDescent="0.3">
      <c r="FZ1576" s="169"/>
      <c r="GA1576" s="169"/>
      <c r="GB1576" s="169"/>
      <c r="GC1576" s="169"/>
      <c r="GD1576" s="169"/>
      <c r="GE1576" s="169"/>
      <c r="GF1576" s="169"/>
      <c r="GG1576" s="169"/>
      <c r="GW1576" s="951"/>
    </row>
    <row r="1577" spans="182:205" customFormat="1" x14ac:dyDescent="0.3">
      <c r="FZ1577" s="169"/>
      <c r="GA1577" s="169"/>
      <c r="GB1577" s="169"/>
      <c r="GC1577" s="169"/>
      <c r="GD1577" s="169"/>
      <c r="GE1577" s="169"/>
      <c r="GF1577" s="169"/>
      <c r="GG1577" s="169"/>
      <c r="GW1577" s="951"/>
    </row>
    <row r="1578" spans="182:205" customFormat="1" x14ac:dyDescent="0.3">
      <c r="FZ1578" s="169"/>
      <c r="GA1578" s="169"/>
      <c r="GB1578" s="169"/>
      <c r="GC1578" s="169"/>
      <c r="GD1578" s="169"/>
      <c r="GE1578" s="169"/>
      <c r="GF1578" s="169"/>
      <c r="GG1578" s="169"/>
      <c r="GW1578" s="951"/>
    </row>
    <row r="1579" spans="182:205" customFormat="1" x14ac:dyDescent="0.3">
      <c r="FZ1579" s="169"/>
      <c r="GA1579" s="169"/>
      <c r="GB1579" s="169"/>
      <c r="GC1579" s="169"/>
      <c r="GD1579" s="169"/>
      <c r="GE1579" s="169"/>
      <c r="GF1579" s="169"/>
      <c r="GG1579" s="169"/>
      <c r="GW1579" s="951"/>
    </row>
    <row r="1580" spans="182:205" customFormat="1" x14ac:dyDescent="0.3">
      <c r="FZ1580" s="169"/>
      <c r="GA1580" s="169"/>
      <c r="GB1580" s="169"/>
      <c r="GC1580" s="169"/>
      <c r="GD1580" s="169"/>
      <c r="GE1580" s="169"/>
      <c r="GF1580" s="169"/>
      <c r="GG1580" s="169"/>
      <c r="GW1580" s="951"/>
    </row>
    <row r="1581" spans="182:205" customFormat="1" x14ac:dyDescent="0.3">
      <c r="FZ1581" s="169"/>
      <c r="GA1581" s="169"/>
      <c r="GB1581" s="169"/>
      <c r="GC1581" s="169"/>
      <c r="GD1581" s="169"/>
      <c r="GE1581" s="169"/>
      <c r="GF1581" s="169"/>
      <c r="GG1581" s="169"/>
      <c r="GW1581" s="951"/>
    </row>
    <row r="1582" spans="182:205" customFormat="1" x14ac:dyDescent="0.3">
      <c r="FZ1582" s="169"/>
      <c r="GA1582" s="169"/>
      <c r="GB1582" s="169"/>
      <c r="GC1582" s="169"/>
      <c r="GD1582" s="169"/>
      <c r="GE1582" s="169"/>
      <c r="GF1582" s="169"/>
      <c r="GG1582" s="169"/>
      <c r="GW1582" s="951"/>
    </row>
    <row r="1583" spans="182:205" customFormat="1" x14ac:dyDescent="0.3">
      <c r="FZ1583" s="169"/>
      <c r="GA1583" s="169"/>
      <c r="GB1583" s="169"/>
      <c r="GC1583" s="169"/>
      <c r="GD1583" s="169"/>
      <c r="GE1583" s="169"/>
      <c r="GF1583" s="169"/>
      <c r="GG1583" s="169"/>
      <c r="GW1583" s="951"/>
    </row>
    <row r="1584" spans="182:205" customFormat="1" x14ac:dyDescent="0.3">
      <c r="FZ1584" s="169"/>
      <c r="GA1584" s="169"/>
      <c r="GB1584" s="169"/>
      <c r="GC1584" s="169"/>
      <c r="GD1584" s="169"/>
      <c r="GE1584" s="169"/>
      <c r="GF1584" s="169"/>
      <c r="GG1584" s="169"/>
      <c r="GW1584" s="951"/>
    </row>
    <row r="1585" spans="182:205" customFormat="1" x14ac:dyDescent="0.3">
      <c r="FZ1585" s="169"/>
      <c r="GA1585" s="169"/>
      <c r="GB1585" s="169"/>
      <c r="GC1585" s="169"/>
      <c r="GD1585" s="169"/>
      <c r="GE1585" s="169"/>
      <c r="GF1585" s="169"/>
      <c r="GG1585" s="169"/>
      <c r="GW1585" s="951"/>
    </row>
    <row r="1586" spans="182:205" customFormat="1" x14ac:dyDescent="0.3">
      <c r="FZ1586" s="169"/>
      <c r="GA1586" s="169"/>
      <c r="GB1586" s="169"/>
      <c r="GC1586" s="169"/>
      <c r="GD1586" s="169"/>
      <c r="GE1586" s="169"/>
      <c r="GF1586" s="169"/>
      <c r="GG1586" s="169"/>
      <c r="GW1586" s="951"/>
    </row>
    <row r="1587" spans="182:205" customFormat="1" x14ac:dyDescent="0.3">
      <c r="FZ1587" s="169"/>
      <c r="GA1587" s="169"/>
      <c r="GB1587" s="169"/>
      <c r="GC1587" s="169"/>
      <c r="GD1587" s="169"/>
      <c r="GE1587" s="169"/>
      <c r="GF1587" s="169"/>
      <c r="GG1587" s="169"/>
      <c r="GW1587" s="951"/>
    </row>
    <row r="1588" spans="182:205" customFormat="1" x14ac:dyDescent="0.3">
      <c r="FZ1588" s="169"/>
      <c r="GA1588" s="169"/>
      <c r="GB1588" s="169"/>
      <c r="GC1588" s="169"/>
      <c r="GD1588" s="169"/>
      <c r="GE1588" s="169"/>
      <c r="GF1588" s="169"/>
      <c r="GG1588" s="169"/>
      <c r="GW1588" s="951"/>
    </row>
    <row r="1589" spans="182:205" customFormat="1" x14ac:dyDescent="0.3">
      <c r="FZ1589" s="169"/>
      <c r="GA1589" s="169"/>
      <c r="GB1589" s="169"/>
      <c r="GC1589" s="169"/>
      <c r="GD1589" s="169"/>
      <c r="GE1589" s="169"/>
      <c r="GF1589" s="169"/>
      <c r="GG1589" s="169"/>
      <c r="GW1589" s="951"/>
    </row>
    <row r="1590" spans="182:205" customFormat="1" x14ac:dyDescent="0.3">
      <c r="FZ1590" s="169"/>
      <c r="GA1590" s="169"/>
      <c r="GB1590" s="169"/>
      <c r="GC1590" s="169"/>
      <c r="GD1590" s="169"/>
      <c r="GE1590" s="169"/>
      <c r="GF1590" s="169"/>
      <c r="GG1590" s="169"/>
      <c r="GW1590" s="951"/>
    </row>
    <row r="1591" spans="182:205" customFormat="1" x14ac:dyDescent="0.3">
      <c r="FZ1591" s="169"/>
      <c r="GA1591" s="169"/>
      <c r="GB1591" s="169"/>
      <c r="GC1591" s="169"/>
      <c r="GD1591" s="169"/>
      <c r="GE1591" s="169"/>
      <c r="GF1591" s="169"/>
      <c r="GG1591" s="169"/>
      <c r="GW1591" s="951"/>
    </row>
    <row r="1592" spans="182:205" customFormat="1" x14ac:dyDescent="0.3">
      <c r="FZ1592" s="169"/>
      <c r="GA1592" s="169"/>
      <c r="GB1592" s="169"/>
      <c r="GC1592" s="169"/>
      <c r="GD1592" s="169"/>
      <c r="GE1592" s="169"/>
      <c r="GF1592" s="169"/>
      <c r="GG1592" s="169"/>
      <c r="GW1592" s="951"/>
    </row>
    <row r="1593" spans="182:205" customFormat="1" x14ac:dyDescent="0.3">
      <c r="FZ1593" s="169"/>
      <c r="GA1593" s="169"/>
      <c r="GB1593" s="169"/>
      <c r="GC1593" s="169"/>
      <c r="GD1593" s="169"/>
      <c r="GE1593" s="169"/>
      <c r="GF1593" s="169"/>
      <c r="GG1593" s="169"/>
      <c r="GW1593" s="951"/>
    </row>
    <row r="1594" spans="182:205" customFormat="1" x14ac:dyDescent="0.3">
      <c r="FZ1594" s="169"/>
      <c r="GA1594" s="169"/>
      <c r="GB1594" s="169"/>
      <c r="GC1594" s="169"/>
      <c r="GD1594" s="169"/>
      <c r="GE1594" s="169"/>
      <c r="GF1594" s="169"/>
      <c r="GG1594" s="169"/>
      <c r="GW1594" s="951"/>
    </row>
    <row r="1595" spans="182:205" customFormat="1" x14ac:dyDescent="0.3">
      <c r="FZ1595" s="169"/>
      <c r="GA1595" s="169"/>
      <c r="GB1595" s="169"/>
      <c r="GC1595" s="169"/>
      <c r="GD1595" s="169"/>
      <c r="GE1595" s="169"/>
      <c r="GF1595" s="169"/>
      <c r="GG1595" s="169"/>
      <c r="GW1595" s="951"/>
    </row>
    <row r="1596" spans="182:205" customFormat="1" x14ac:dyDescent="0.3">
      <c r="FZ1596" s="169"/>
      <c r="GA1596" s="169"/>
      <c r="GB1596" s="169"/>
      <c r="GC1596" s="169"/>
      <c r="GD1596" s="169"/>
      <c r="GE1596" s="169"/>
      <c r="GF1596" s="169"/>
      <c r="GG1596" s="169"/>
      <c r="GW1596" s="951"/>
    </row>
    <row r="1597" spans="182:205" customFormat="1" x14ac:dyDescent="0.3">
      <c r="FZ1597" s="169"/>
      <c r="GA1597" s="169"/>
      <c r="GB1597" s="169"/>
      <c r="GC1597" s="169"/>
      <c r="GD1597" s="169"/>
      <c r="GE1597" s="169"/>
      <c r="GF1597" s="169"/>
      <c r="GG1597" s="169"/>
      <c r="GW1597" s="951"/>
    </row>
    <row r="1598" spans="182:205" customFormat="1" x14ac:dyDescent="0.3">
      <c r="FZ1598" s="169"/>
      <c r="GA1598" s="169"/>
      <c r="GB1598" s="169"/>
      <c r="GC1598" s="169"/>
      <c r="GD1598" s="169"/>
      <c r="GE1598" s="169"/>
      <c r="GF1598" s="169"/>
      <c r="GG1598" s="169"/>
      <c r="GW1598" s="951"/>
    </row>
    <row r="1599" spans="182:205" customFormat="1" x14ac:dyDescent="0.3">
      <c r="FZ1599" s="169"/>
      <c r="GA1599" s="169"/>
      <c r="GB1599" s="169"/>
      <c r="GC1599" s="169"/>
      <c r="GD1599" s="169"/>
      <c r="GE1599" s="169"/>
      <c r="GF1599" s="169"/>
      <c r="GG1599" s="169"/>
      <c r="GW1599" s="951"/>
    </row>
    <row r="1600" spans="182:205" customFormat="1" x14ac:dyDescent="0.3">
      <c r="FZ1600" s="169"/>
      <c r="GA1600" s="169"/>
      <c r="GB1600" s="169"/>
      <c r="GC1600" s="169"/>
      <c r="GD1600" s="169"/>
      <c r="GE1600" s="169"/>
      <c r="GF1600" s="169"/>
      <c r="GG1600" s="169"/>
      <c r="GW1600" s="951"/>
    </row>
    <row r="1601" spans="182:205" customFormat="1" x14ac:dyDescent="0.3">
      <c r="FZ1601" s="169"/>
      <c r="GA1601" s="169"/>
      <c r="GB1601" s="169"/>
      <c r="GC1601" s="169"/>
      <c r="GD1601" s="169"/>
      <c r="GE1601" s="169"/>
      <c r="GF1601" s="169"/>
      <c r="GG1601" s="169"/>
      <c r="GW1601" s="951"/>
    </row>
    <row r="1602" spans="182:205" customFormat="1" x14ac:dyDescent="0.3">
      <c r="FZ1602" s="169"/>
      <c r="GA1602" s="169"/>
      <c r="GB1602" s="169"/>
      <c r="GC1602" s="169"/>
      <c r="GD1602" s="169"/>
      <c r="GE1602" s="169"/>
      <c r="GF1602" s="169"/>
      <c r="GG1602" s="169"/>
      <c r="GW1602" s="951"/>
    </row>
    <row r="1603" spans="182:205" customFormat="1" x14ac:dyDescent="0.3">
      <c r="FZ1603" s="169"/>
      <c r="GA1603" s="169"/>
      <c r="GB1603" s="169"/>
      <c r="GC1603" s="169"/>
      <c r="GD1603" s="169"/>
      <c r="GE1603" s="169"/>
      <c r="GF1603" s="169"/>
      <c r="GG1603" s="169"/>
      <c r="GW1603" s="951"/>
    </row>
    <row r="1604" spans="182:205" customFormat="1" x14ac:dyDescent="0.3">
      <c r="FZ1604" s="169"/>
      <c r="GA1604" s="169"/>
      <c r="GB1604" s="169"/>
      <c r="GC1604" s="169"/>
      <c r="GD1604" s="169"/>
      <c r="GE1604" s="169"/>
      <c r="GF1604" s="169"/>
      <c r="GG1604" s="169"/>
      <c r="GW1604" s="951"/>
    </row>
    <row r="1605" spans="182:205" customFormat="1" x14ac:dyDescent="0.3">
      <c r="FZ1605" s="169"/>
      <c r="GA1605" s="169"/>
      <c r="GB1605" s="169"/>
      <c r="GC1605" s="169"/>
      <c r="GD1605" s="169"/>
      <c r="GE1605" s="169"/>
      <c r="GF1605" s="169"/>
      <c r="GG1605" s="169"/>
      <c r="GW1605" s="951"/>
    </row>
    <row r="1606" spans="182:205" customFormat="1" x14ac:dyDescent="0.3">
      <c r="FZ1606" s="169"/>
      <c r="GA1606" s="169"/>
      <c r="GB1606" s="169"/>
      <c r="GC1606" s="169"/>
      <c r="GD1606" s="169"/>
      <c r="GE1606" s="169"/>
      <c r="GF1606" s="169"/>
      <c r="GG1606" s="169"/>
      <c r="GW1606" s="951"/>
    </row>
    <row r="1607" spans="182:205" customFormat="1" x14ac:dyDescent="0.3">
      <c r="FZ1607" s="169"/>
      <c r="GA1607" s="169"/>
      <c r="GB1607" s="169"/>
      <c r="GC1607" s="169"/>
      <c r="GD1607" s="169"/>
      <c r="GE1607" s="169"/>
      <c r="GF1607" s="169"/>
      <c r="GG1607" s="169"/>
      <c r="GW1607" s="951"/>
    </row>
    <row r="1608" spans="182:205" customFormat="1" x14ac:dyDescent="0.3">
      <c r="FZ1608" s="169"/>
      <c r="GA1608" s="169"/>
      <c r="GB1608" s="169"/>
      <c r="GC1608" s="169"/>
      <c r="GD1608" s="169"/>
      <c r="GE1608" s="169"/>
      <c r="GF1608" s="169"/>
      <c r="GG1608" s="169"/>
      <c r="GW1608" s="951"/>
    </row>
    <row r="1609" spans="182:205" customFormat="1" x14ac:dyDescent="0.3">
      <c r="FZ1609" s="169"/>
      <c r="GA1609" s="169"/>
      <c r="GB1609" s="169"/>
      <c r="GC1609" s="169"/>
      <c r="GD1609" s="169"/>
      <c r="GE1609" s="169"/>
      <c r="GF1609" s="169"/>
      <c r="GG1609" s="169"/>
      <c r="GW1609" s="951"/>
    </row>
    <row r="1610" spans="182:205" customFormat="1" x14ac:dyDescent="0.3">
      <c r="FZ1610" s="169"/>
      <c r="GA1610" s="169"/>
      <c r="GB1610" s="169"/>
      <c r="GC1610" s="169"/>
      <c r="GD1610" s="169"/>
      <c r="GE1610" s="169"/>
      <c r="GF1610" s="169"/>
      <c r="GG1610" s="169"/>
      <c r="GW1610" s="951"/>
    </row>
    <row r="1611" spans="182:205" customFormat="1" x14ac:dyDescent="0.3">
      <c r="FZ1611" s="169"/>
      <c r="GA1611" s="169"/>
      <c r="GB1611" s="169"/>
      <c r="GC1611" s="169"/>
      <c r="GD1611" s="169"/>
      <c r="GE1611" s="169"/>
      <c r="GF1611" s="169"/>
      <c r="GG1611" s="169"/>
      <c r="GW1611" s="951"/>
    </row>
    <row r="1612" spans="182:205" customFormat="1" x14ac:dyDescent="0.3">
      <c r="FZ1612" s="169"/>
      <c r="GA1612" s="169"/>
      <c r="GB1612" s="169"/>
      <c r="GC1612" s="169"/>
      <c r="GD1612" s="169"/>
      <c r="GE1612" s="169"/>
      <c r="GF1612" s="169"/>
      <c r="GG1612" s="169"/>
      <c r="GW1612" s="951"/>
    </row>
    <row r="1613" spans="182:205" customFormat="1" x14ac:dyDescent="0.3">
      <c r="FZ1613" s="169"/>
      <c r="GA1613" s="169"/>
      <c r="GB1613" s="169"/>
      <c r="GC1613" s="169"/>
      <c r="GD1613" s="169"/>
      <c r="GE1613" s="169"/>
      <c r="GF1613" s="169"/>
      <c r="GG1613" s="169"/>
      <c r="GW1613" s="951"/>
    </row>
    <row r="1614" spans="182:205" customFormat="1" x14ac:dyDescent="0.3">
      <c r="FZ1614" s="169"/>
      <c r="GA1614" s="169"/>
      <c r="GB1614" s="169"/>
      <c r="GC1614" s="169"/>
      <c r="GD1614" s="169"/>
      <c r="GE1614" s="169"/>
      <c r="GF1614" s="169"/>
      <c r="GG1614" s="169"/>
      <c r="GW1614" s="951"/>
    </row>
    <row r="1615" spans="182:205" customFormat="1" x14ac:dyDescent="0.3">
      <c r="FZ1615" s="169"/>
      <c r="GA1615" s="169"/>
      <c r="GB1615" s="169"/>
      <c r="GC1615" s="169"/>
      <c r="GD1615" s="169"/>
      <c r="GE1615" s="169"/>
      <c r="GF1615" s="169"/>
      <c r="GG1615" s="169"/>
      <c r="GW1615" s="951"/>
    </row>
    <row r="1616" spans="182:205" customFormat="1" x14ac:dyDescent="0.3">
      <c r="FZ1616" s="169"/>
      <c r="GA1616" s="169"/>
      <c r="GB1616" s="169"/>
      <c r="GC1616" s="169"/>
      <c r="GD1616" s="169"/>
      <c r="GE1616" s="169"/>
      <c r="GF1616" s="169"/>
      <c r="GG1616" s="169"/>
      <c r="GW1616" s="951"/>
    </row>
    <row r="1617" spans="182:205" customFormat="1" x14ac:dyDescent="0.3">
      <c r="FZ1617" s="169"/>
      <c r="GA1617" s="169"/>
      <c r="GB1617" s="169"/>
      <c r="GC1617" s="169"/>
      <c r="GD1617" s="169"/>
      <c r="GE1617" s="169"/>
      <c r="GF1617" s="169"/>
      <c r="GG1617" s="169"/>
      <c r="GW1617" s="951"/>
    </row>
    <row r="1618" spans="182:205" customFormat="1" x14ac:dyDescent="0.3">
      <c r="FZ1618" s="169"/>
      <c r="GA1618" s="169"/>
      <c r="GB1618" s="169"/>
      <c r="GC1618" s="169"/>
      <c r="GD1618" s="169"/>
      <c r="GE1618" s="169"/>
      <c r="GF1618" s="169"/>
      <c r="GG1618" s="169"/>
      <c r="GW1618" s="951"/>
    </row>
    <row r="1619" spans="182:205" customFormat="1" x14ac:dyDescent="0.3">
      <c r="FZ1619" s="169"/>
      <c r="GA1619" s="169"/>
      <c r="GB1619" s="169"/>
      <c r="GC1619" s="169"/>
      <c r="GD1619" s="169"/>
      <c r="GE1619" s="169"/>
      <c r="GF1619" s="169"/>
      <c r="GG1619" s="169"/>
      <c r="GW1619" s="951"/>
    </row>
    <row r="1620" spans="182:205" customFormat="1" x14ac:dyDescent="0.3">
      <c r="FZ1620" s="169"/>
      <c r="GA1620" s="169"/>
      <c r="GB1620" s="169"/>
      <c r="GC1620" s="169"/>
      <c r="GD1620" s="169"/>
      <c r="GE1620" s="169"/>
      <c r="GF1620" s="169"/>
      <c r="GG1620" s="169"/>
      <c r="GW1620" s="951"/>
    </row>
    <row r="1621" spans="182:205" customFormat="1" x14ac:dyDescent="0.3">
      <c r="FZ1621" s="169"/>
      <c r="GA1621" s="169"/>
      <c r="GB1621" s="169"/>
      <c r="GC1621" s="169"/>
      <c r="GD1621" s="169"/>
      <c r="GE1621" s="169"/>
      <c r="GF1621" s="169"/>
      <c r="GG1621" s="169"/>
      <c r="GW1621" s="951"/>
    </row>
    <row r="1622" spans="182:205" customFormat="1" x14ac:dyDescent="0.3">
      <c r="FZ1622" s="169"/>
      <c r="GA1622" s="169"/>
      <c r="GB1622" s="169"/>
      <c r="GC1622" s="169"/>
      <c r="GD1622" s="169"/>
      <c r="GE1622" s="169"/>
      <c r="GF1622" s="169"/>
      <c r="GG1622" s="169"/>
      <c r="GW1622" s="951"/>
    </row>
    <row r="1623" spans="182:205" customFormat="1" x14ac:dyDescent="0.3">
      <c r="FZ1623" s="169"/>
      <c r="GA1623" s="169"/>
      <c r="GB1623" s="169"/>
      <c r="GC1623" s="169"/>
      <c r="GD1623" s="169"/>
      <c r="GE1623" s="169"/>
      <c r="GF1623" s="169"/>
      <c r="GG1623" s="169"/>
      <c r="GW1623" s="951"/>
    </row>
    <row r="1624" spans="182:205" customFormat="1" x14ac:dyDescent="0.3">
      <c r="FZ1624" s="169"/>
      <c r="GA1624" s="169"/>
      <c r="GB1624" s="169"/>
      <c r="GC1624" s="169"/>
      <c r="GD1624" s="169"/>
      <c r="GE1624" s="169"/>
      <c r="GF1624" s="169"/>
      <c r="GG1624" s="169"/>
      <c r="GW1624" s="951"/>
    </row>
    <row r="1625" spans="182:205" customFormat="1" x14ac:dyDescent="0.3">
      <c r="FZ1625" s="169"/>
      <c r="GA1625" s="169"/>
      <c r="GB1625" s="169"/>
      <c r="GC1625" s="169"/>
      <c r="GD1625" s="169"/>
      <c r="GE1625" s="169"/>
      <c r="GF1625" s="169"/>
      <c r="GG1625" s="169"/>
      <c r="GW1625" s="951"/>
    </row>
    <row r="1626" spans="182:205" customFormat="1" x14ac:dyDescent="0.3">
      <c r="FZ1626" s="169"/>
      <c r="GA1626" s="169"/>
      <c r="GB1626" s="169"/>
      <c r="GC1626" s="169"/>
      <c r="GD1626" s="169"/>
      <c r="GE1626" s="169"/>
      <c r="GF1626" s="169"/>
      <c r="GG1626" s="169"/>
      <c r="GW1626" s="951"/>
    </row>
    <row r="1627" spans="182:205" customFormat="1" x14ac:dyDescent="0.3">
      <c r="FZ1627" s="169"/>
      <c r="GA1627" s="169"/>
      <c r="GB1627" s="169"/>
      <c r="GC1627" s="169"/>
      <c r="GD1627" s="169"/>
      <c r="GE1627" s="169"/>
      <c r="GF1627" s="169"/>
      <c r="GG1627" s="169"/>
      <c r="GW1627" s="951"/>
    </row>
    <row r="1628" spans="182:205" customFormat="1" x14ac:dyDescent="0.3">
      <c r="FZ1628" s="169"/>
      <c r="GA1628" s="169"/>
      <c r="GB1628" s="169"/>
      <c r="GC1628" s="169"/>
      <c r="GD1628" s="169"/>
      <c r="GE1628" s="169"/>
      <c r="GF1628" s="169"/>
      <c r="GG1628" s="169"/>
      <c r="GW1628" s="951"/>
    </row>
    <row r="1629" spans="182:205" customFormat="1" x14ac:dyDescent="0.3">
      <c r="FZ1629" s="169"/>
      <c r="GA1629" s="169"/>
      <c r="GB1629" s="169"/>
      <c r="GC1629" s="169"/>
      <c r="GD1629" s="169"/>
      <c r="GE1629" s="169"/>
      <c r="GF1629" s="169"/>
      <c r="GG1629" s="169"/>
      <c r="GW1629" s="951"/>
    </row>
    <row r="1630" spans="182:205" customFormat="1" x14ac:dyDescent="0.3">
      <c r="FZ1630" s="169"/>
      <c r="GA1630" s="169"/>
      <c r="GB1630" s="169"/>
      <c r="GC1630" s="169"/>
      <c r="GD1630" s="169"/>
      <c r="GE1630" s="169"/>
      <c r="GF1630" s="169"/>
      <c r="GG1630" s="169"/>
      <c r="GW1630" s="951"/>
    </row>
    <row r="1631" spans="182:205" customFormat="1" x14ac:dyDescent="0.3">
      <c r="FZ1631" s="169"/>
      <c r="GA1631" s="169"/>
      <c r="GB1631" s="169"/>
      <c r="GC1631" s="169"/>
      <c r="GD1631" s="169"/>
      <c r="GE1631" s="169"/>
      <c r="GF1631" s="169"/>
      <c r="GG1631" s="169"/>
      <c r="GW1631" s="951"/>
    </row>
    <row r="1632" spans="182:205" customFormat="1" x14ac:dyDescent="0.3">
      <c r="FZ1632" s="169"/>
      <c r="GA1632" s="169"/>
      <c r="GB1632" s="169"/>
      <c r="GC1632" s="169"/>
      <c r="GD1632" s="169"/>
      <c r="GE1632" s="169"/>
      <c r="GF1632" s="169"/>
      <c r="GG1632" s="169"/>
      <c r="GW1632" s="951"/>
    </row>
    <row r="1633" spans="182:205" customFormat="1" x14ac:dyDescent="0.3">
      <c r="FZ1633" s="169"/>
      <c r="GA1633" s="169"/>
      <c r="GB1633" s="169"/>
      <c r="GC1633" s="169"/>
      <c r="GD1633" s="169"/>
      <c r="GE1633" s="169"/>
      <c r="GF1633" s="169"/>
      <c r="GG1633" s="169"/>
      <c r="GW1633" s="951"/>
    </row>
    <row r="1634" spans="182:205" customFormat="1" x14ac:dyDescent="0.3">
      <c r="FZ1634" s="169"/>
      <c r="GA1634" s="169"/>
      <c r="GB1634" s="169"/>
      <c r="GC1634" s="169"/>
      <c r="GD1634" s="169"/>
      <c r="GE1634" s="169"/>
      <c r="GF1634" s="169"/>
      <c r="GG1634" s="169"/>
      <c r="GW1634" s="951"/>
    </row>
    <row r="1635" spans="182:205" customFormat="1" x14ac:dyDescent="0.3">
      <c r="FZ1635" s="169"/>
      <c r="GA1635" s="169"/>
      <c r="GB1635" s="169"/>
      <c r="GC1635" s="169"/>
      <c r="GD1635" s="169"/>
      <c r="GE1635" s="169"/>
      <c r="GF1635" s="169"/>
      <c r="GG1635" s="169"/>
      <c r="GW1635" s="951"/>
    </row>
    <row r="1636" spans="182:205" customFormat="1" x14ac:dyDescent="0.3">
      <c r="FZ1636" s="169"/>
      <c r="GA1636" s="169"/>
      <c r="GB1636" s="169"/>
      <c r="GC1636" s="169"/>
      <c r="GD1636" s="169"/>
      <c r="GE1636" s="169"/>
      <c r="GF1636" s="169"/>
      <c r="GG1636" s="169"/>
      <c r="GW1636" s="951"/>
    </row>
    <row r="1637" spans="182:205" customFormat="1" x14ac:dyDescent="0.3">
      <c r="FZ1637" s="169"/>
      <c r="GA1637" s="169"/>
      <c r="GB1637" s="169"/>
      <c r="GC1637" s="169"/>
      <c r="GD1637" s="169"/>
      <c r="GE1637" s="169"/>
      <c r="GF1637" s="169"/>
      <c r="GG1637" s="169"/>
      <c r="GW1637" s="951"/>
    </row>
    <row r="1638" spans="182:205" customFormat="1" x14ac:dyDescent="0.3">
      <c r="FZ1638" s="169"/>
      <c r="GA1638" s="169"/>
      <c r="GB1638" s="169"/>
      <c r="GC1638" s="169"/>
      <c r="GD1638" s="169"/>
      <c r="GE1638" s="169"/>
      <c r="GF1638" s="169"/>
      <c r="GG1638" s="169"/>
      <c r="GW1638" s="951"/>
    </row>
    <row r="1639" spans="182:205" customFormat="1" x14ac:dyDescent="0.3">
      <c r="FZ1639" s="169"/>
      <c r="GA1639" s="169"/>
      <c r="GB1639" s="169"/>
      <c r="GC1639" s="169"/>
      <c r="GD1639" s="169"/>
      <c r="GE1639" s="169"/>
      <c r="GF1639" s="169"/>
      <c r="GG1639" s="169"/>
      <c r="GW1639" s="951"/>
    </row>
    <row r="1640" spans="182:205" customFormat="1" x14ac:dyDescent="0.3">
      <c r="FZ1640" s="169"/>
      <c r="GA1640" s="169"/>
      <c r="GB1640" s="169"/>
      <c r="GC1640" s="169"/>
      <c r="GD1640" s="169"/>
      <c r="GE1640" s="169"/>
      <c r="GF1640" s="169"/>
      <c r="GG1640" s="169"/>
      <c r="GW1640" s="951"/>
    </row>
    <row r="1641" spans="182:205" customFormat="1" x14ac:dyDescent="0.3">
      <c r="FZ1641" s="169"/>
      <c r="GA1641" s="169"/>
      <c r="GB1641" s="169"/>
      <c r="GC1641" s="169"/>
      <c r="GD1641" s="169"/>
      <c r="GE1641" s="169"/>
      <c r="GF1641" s="169"/>
      <c r="GG1641" s="169"/>
      <c r="GW1641" s="951"/>
    </row>
    <row r="1642" spans="182:205" customFormat="1" x14ac:dyDescent="0.3">
      <c r="FZ1642" s="169"/>
      <c r="GA1642" s="169"/>
      <c r="GB1642" s="169"/>
      <c r="GC1642" s="169"/>
      <c r="GD1642" s="169"/>
      <c r="GE1642" s="169"/>
      <c r="GF1642" s="169"/>
      <c r="GG1642" s="169"/>
      <c r="GW1642" s="951"/>
    </row>
    <row r="1643" spans="182:205" customFormat="1" x14ac:dyDescent="0.3">
      <c r="FZ1643" s="169"/>
      <c r="GA1643" s="169"/>
      <c r="GB1643" s="169"/>
      <c r="GC1643" s="169"/>
      <c r="GD1643" s="169"/>
      <c r="GE1643" s="169"/>
      <c r="GF1643" s="169"/>
      <c r="GG1643" s="169"/>
      <c r="GW1643" s="951"/>
    </row>
    <row r="1644" spans="182:205" customFormat="1" x14ac:dyDescent="0.3">
      <c r="FZ1644" s="169"/>
      <c r="GA1644" s="169"/>
      <c r="GB1644" s="169"/>
      <c r="GC1644" s="169"/>
      <c r="GD1644" s="169"/>
      <c r="GE1644" s="169"/>
      <c r="GF1644" s="169"/>
      <c r="GG1644" s="169"/>
      <c r="GW1644" s="951"/>
    </row>
    <row r="1645" spans="182:205" customFormat="1" x14ac:dyDescent="0.3">
      <c r="FZ1645" s="169"/>
      <c r="GA1645" s="169"/>
      <c r="GB1645" s="169"/>
      <c r="GC1645" s="169"/>
      <c r="GD1645" s="169"/>
      <c r="GE1645" s="169"/>
      <c r="GF1645" s="169"/>
      <c r="GG1645" s="169"/>
      <c r="GW1645" s="951"/>
    </row>
    <row r="1646" spans="182:205" customFormat="1" x14ac:dyDescent="0.3">
      <c r="FZ1646" s="169"/>
      <c r="GA1646" s="169"/>
      <c r="GB1646" s="169"/>
      <c r="GC1646" s="169"/>
      <c r="GD1646" s="169"/>
      <c r="GE1646" s="169"/>
      <c r="GF1646" s="169"/>
      <c r="GG1646" s="169"/>
      <c r="GW1646" s="951"/>
    </row>
    <row r="1647" spans="182:205" customFormat="1" x14ac:dyDescent="0.3">
      <c r="FZ1647" s="169"/>
      <c r="GA1647" s="169"/>
      <c r="GB1647" s="169"/>
      <c r="GC1647" s="169"/>
      <c r="GD1647" s="169"/>
      <c r="GE1647" s="169"/>
      <c r="GF1647" s="169"/>
      <c r="GG1647" s="169"/>
      <c r="GW1647" s="951"/>
    </row>
    <row r="1648" spans="182:205" customFormat="1" x14ac:dyDescent="0.3">
      <c r="FZ1648" s="169"/>
      <c r="GA1648" s="169"/>
      <c r="GB1648" s="169"/>
      <c r="GC1648" s="169"/>
      <c r="GD1648" s="169"/>
      <c r="GE1648" s="169"/>
      <c r="GF1648" s="169"/>
      <c r="GG1648" s="169"/>
      <c r="GW1648" s="951"/>
    </row>
    <row r="1649" spans="182:205" customFormat="1" x14ac:dyDescent="0.3">
      <c r="FZ1649" s="169"/>
      <c r="GA1649" s="169"/>
      <c r="GB1649" s="169"/>
      <c r="GC1649" s="169"/>
      <c r="GD1649" s="169"/>
      <c r="GE1649" s="169"/>
      <c r="GF1649" s="169"/>
      <c r="GG1649" s="169"/>
      <c r="GW1649" s="951"/>
    </row>
    <row r="1650" spans="182:205" customFormat="1" x14ac:dyDescent="0.3">
      <c r="FZ1650" s="169"/>
      <c r="GA1650" s="169"/>
      <c r="GB1650" s="169"/>
      <c r="GC1650" s="169"/>
      <c r="GD1650" s="169"/>
      <c r="GE1650" s="169"/>
      <c r="GF1650" s="169"/>
      <c r="GG1650" s="169"/>
      <c r="GW1650" s="951"/>
    </row>
    <row r="1651" spans="182:205" customFormat="1" x14ac:dyDescent="0.3">
      <c r="FZ1651" s="169"/>
      <c r="GA1651" s="169"/>
      <c r="GB1651" s="169"/>
      <c r="GC1651" s="169"/>
      <c r="GD1651" s="169"/>
      <c r="GE1651" s="169"/>
      <c r="GF1651" s="169"/>
      <c r="GG1651" s="169"/>
      <c r="GW1651" s="951"/>
    </row>
    <row r="1652" spans="182:205" customFormat="1" x14ac:dyDescent="0.3">
      <c r="FZ1652" s="169"/>
      <c r="GA1652" s="169"/>
      <c r="GB1652" s="169"/>
      <c r="GC1652" s="169"/>
      <c r="GD1652" s="169"/>
      <c r="GE1652" s="169"/>
      <c r="GF1652" s="169"/>
      <c r="GG1652" s="169"/>
      <c r="GW1652" s="951"/>
    </row>
    <row r="1653" spans="182:205" customFormat="1" x14ac:dyDescent="0.3">
      <c r="FZ1653" s="169"/>
      <c r="GA1653" s="169"/>
      <c r="GB1653" s="169"/>
      <c r="GC1653" s="169"/>
      <c r="GD1653" s="169"/>
      <c r="GE1653" s="169"/>
      <c r="GF1653" s="169"/>
      <c r="GG1653" s="169"/>
      <c r="GW1653" s="951"/>
    </row>
    <row r="1654" spans="182:205" customFormat="1" x14ac:dyDescent="0.3">
      <c r="FZ1654" s="169"/>
      <c r="GA1654" s="169"/>
      <c r="GB1654" s="169"/>
      <c r="GC1654" s="169"/>
      <c r="GD1654" s="169"/>
      <c r="GE1654" s="169"/>
      <c r="GF1654" s="169"/>
      <c r="GG1654" s="169"/>
      <c r="GW1654" s="951"/>
    </row>
    <row r="1655" spans="182:205" customFormat="1" x14ac:dyDescent="0.3">
      <c r="FZ1655" s="169"/>
      <c r="GA1655" s="169"/>
      <c r="GB1655" s="169"/>
      <c r="GC1655" s="169"/>
      <c r="GD1655" s="169"/>
      <c r="GE1655" s="169"/>
      <c r="GF1655" s="169"/>
      <c r="GG1655" s="169"/>
      <c r="GW1655" s="951"/>
    </row>
    <row r="1656" spans="182:205" customFormat="1" x14ac:dyDescent="0.3">
      <c r="FZ1656" s="169"/>
      <c r="GA1656" s="169"/>
      <c r="GB1656" s="169"/>
      <c r="GC1656" s="169"/>
      <c r="GD1656" s="169"/>
      <c r="GE1656" s="169"/>
      <c r="GF1656" s="169"/>
      <c r="GG1656" s="169"/>
      <c r="GW1656" s="951"/>
    </row>
    <row r="1657" spans="182:205" customFormat="1" x14ac:dyDescent="0.3">
      <c r="FZ1657" s="169"/>
      <c r="GA1657" s="169"/>
      <c r="GB1657" s="169"/>
      <c r="GC1657" s="169"/>
      <c r="GD1657" s="169"/>
      <c r="GE1657" s="169"/>
      <c r="GF1657" s="169"/>
      <c r="GG1657" s="169"/>
      <c r="GW1657" s="951"/>
    </row>
    <row r="1658" spans="182:205" customFormat="1" x14ac:dyDescent="0.3">
      <c r="FZ1658" s="169"/>
      <c r="GA1658" s="169"/>
      <c r="GB1658" s="169"/>
      <c r="GC1658" s="169"/>
      <c r="GD1658" s="169"/>
      <c r="GE1658" s="169"/>
      <c r="GF1658" s="169"/>
      <c r="GG1658" s="169"/>
      <c r="GW1658" s="951"/>
    </row>
    <row r="1659" spans="182:205" customFormat="1" x14ac:dyDescent="0.3">
      <c r="FZ1659" s="169"/>
      <c r="GA1659" s="169"/>
      <c r="GB1659" s="169"/>
      <c r="GC1659" s="169"/>
      <c r="GD1659" s="169"/>
      <c r="GE1659" s="169"/>
      <c r="GF1659" s="169"/>
      <c r="GG1659" s="169"/>
      <c r="GW1659" s="951"/>
    </row>
    <row r="1660" spans="182:205" customFormat="1" x14ac:dyDescent="0.3">
      <c r="FZ1660" s="169"/>
      <c r="GA1660" s="169"/>
      <c r="GB1660" s="169"/>
      <c r="GC1660" s="169"/>
      <c r="GD1660" s="169"/>
      <c r="GE1660" s="169"/>
      <c r="GF1660" s="169"/>
      <c r="GG1660" s="169"/>
      <c r="GW1660" s="951"/>
    </row>
    <row r="1661" spans="182:205" customFormat="1" x14ac:dyDescent="0.3">
      <c r="FZ1661" s="169"/>
      <c r="GA1661" s="169"/>
      <c r="GB1661" s="169"/>
      <c r="GC1661" s="169"/>
      <c r="GD1661" s="169"/>
      <c r="GE1661" s="169"/>
      <c r="GF1661" s="169"/>
      <c r="GG1661" s="169"/>
      <c r="GW1661" s="951"/>
    </row>
    <row r="1662" spans="182:205" customFormat="1" x14ac:dyDescent="0.3">
      <c r="FZ1662" s="169"/>
      <c r="GA1662" s="169"/>
      <c r="GB1662" s="169"/>
      <c r="GC1662" s="169"/>
      <c r="GD1662" s="169"/>
      <c r="GE1662" s="169"/>
      <c r="GF1662" s="169"/>
      <c r="GG1662" s="169"/>
      <c r="GW1662" s="951"/>
    </row>
    <row r="1663" spans="182:205" customFormat="1" x14ac:dyDescent="0.3">
      <c r="FZ1663" s="169"/>
      <c r="GA1663" s="169"/>
      <c r="GB1663" s="169"/>
      <c r="GC1663" s="169"/>
      <c r="GD1663" s="169"/>
      <c r="GE1663" s="169"/>
      <c r="GF1663" s="169"/>
      <c r="GG1663" s="169"/>
      <c r="GW1663" s="951"/>
    </row>
    <row r="1664" spans="182:205" customFormat="1" x14ac:dyDescent="0.3">
      <c r="FZ1664" s="169"/>
      <c r="GA1664" s="169"/>
      <c r="GB1664" s="169"/>
      <c r="GC1664" s="169"/>
      <c r="GD1664" s="169"/>
      <c r="GE1664" s="169"/>
      <c r="GF1664" s="169"/>
      <c r="GG1664" s="169"/>
      <c r="GW1664" s="951"/>
    </row>
    <row r="1665" spans="182:205" customFormat="1" x14ac:dyDescent="0.3">
      <c r="FZ1665" s="169"/>
      <c r="GA1665" s="169"/>
      <c r="GB1665" s="169"/>
      <c r="GC1665" s="169"/>
      <c r="GD1665" s="169"/>
      <c r="GE1665" s="169"/>
      <c r="GF1665" s="169"/>
      <c r="GG1665" s="169"/>
      <c r="GW1665" s="951"/>
    </row>
    <row r="1666" spans="182:205" customFormat="1" x14ac:dyDescent="0.3">
      <c r="FZ1666" s="169"/>
      <c r="GA1666" s="169"/>
      <c r="GB1666" s="169"/>
      <c r="GC1666" s="169"/>
      <c r="GD1666" s="169"/>
      <c r="GE1666" s="169"/>
      <c r="GF1666" s="169"/>
      <c r="GG1666" s="169"/>
      <c r="GW1666" s="951"/>
    </row>
    <row r="1667" spans="182:205" customFormat="1" x14ac:dyDescent="0.3">
      <c r="FZ1667" s="169"/>
      <c r="GA1667" s="169"/>
      <c r="GB1667" s="169"/>
      <c r="GC1667" s="169"/>
      <c r="GD1667" s="169"/>
      <c r="GE1667" s="169"/>
      <c r="GF1667" s="169"/>
      <c r="GG1667" s="169"/>
      <c r="GW1667" s="951"/>
    </row>
    <row r="1668" spans="182:205" customFormat="1" x14ac:dyDescent="0.3">
      <c r="FZ1668" s="169"/>
      <c r="GA1668" s="169"/>
      <c r="GB1668" s="169"/>
      <c r="GC1668" s="169"/>
      <c r="GD1668" s="169"/>
      <c r="GE1668" s="169"/>
      <c r="GF1668" s="169"/>
      <c r="GG1668" s="169"/>
      <c r="GW1668" s="951"/>
    </row>
    <row r="1669" spans="182:205" customFormat="1" x14ac:dyDescent="0.3">
      <c r="FZ1669" s="169"/>
      <c r="GA1669" s="169"/>
      <c r="GB1669" s="169"/>
      <c r="GC1669" s="169"/>
      <c r="GD1669" s="169"/>
      <c r="GE1669" s="169"/>
      <c r="GF1669" s="169"/>
      <c r="GG1669" s="169"/>
      <c r="GW1669" s="951"/>
    </row>
    <row r="1670" spans="182:205" customFormat="1" x14ac:dyDescent="0.3">
      <c r="FZ1670" s="169"/>
      <c r="GA1670" s="169"/>
      <c r="GB1670" s="169"/>
      <c r="GC1670" s="169"/>
      <c r="GD1670" s="169"/>
      <c r="GE1670" s="169"/>
      <c r="GF1670" s="169"/>
      <c r="GG1670" s="169"/>
      <c r="GW1670" s="951"/>
    </row>
    <row r="1671" spans="182:205" customFormat="1" x14ac:dyDescent="0.3">
      <c r="FZ1671" s="169"/>
      <c r="GA1671" s="169"/>
      <c r="GB1671" s="169"/>
      <c r="GC1671" s="169"/>
      <c r="GD1671" s="169"/>
      <c r="GE1671" s="169"/>
      <c r="GF1671" s="169"/>
      <c r="GG1671" s="169"/>
      <c r="GW1671" s="951"/>
    </row>
    <row r="1672" spans="182:205" customFormat="1" x14ac:dyDescent="0.3">
      <c r="FZ1672" s="169"/>
      <c r="GA1672" s="169"/>
      <c r="GB1672" s="169"/>
      <c r="GC1672" s="169"/>
      <c r="GD1672" s="169"/>
      <c r="GE1672" s="169"/>
      <c r="GF1672" s="169"/>
      <c r="GG1672" s="169"/>
      <c r="GW1672" s="951"/>
    </row>
    <row r="1673" spans="182:205" customFormat="1" x14ac:dyDescent="0.3">
      <c r="FZ1673" s="169"/>
      <c r="GA1673" s="169"/>
      <c r="GB1673" s="169"/>
      <c r="GC1673" s="169"/>
      <c r="GD1673" s="169"/>
      <c r="GE1673" s="169"/>
      <c r="GF1673" s="169"/>
      <c r="GG1673" s="169"/>
      <c r="GW1673" s="951"/>
    </row>
    <row r="1674" spans="182:205" customFormat="1" x14ac:dyDescent="0.3">
      <c r="FZ1674" s="169"/>
      <c r="GA1674" s="169"/>
      <c r="GB1674" s="169"/>
      <c r="GC1674" s="169"/>
      <c r="GD1674" s="169"/>
      <c r="GE1674" s="169"/>
      <c r="GF1674" s="169"/>
      <c r="GG1674" s="169"/>
      <c r="GW1674" s="951"/>
    </row>
    <row r="1675" spans="182:205" customFormat="1" x14ac:dyDescent="0.3">
      <c r="FZ1675" s="169"/>
      <c r="GA1675" s="169"/>
      <c r="GB1675" s="169"/>
      <c r="GC1675" s="169"/>
      <c r="GD1675" s="169"/>
      <c r="GE1675" s="169"/>
      <c r="GF1675" s="169"/>
      <c r="GG1675" s="169"/>
      <c r="GW1675" s="951"/>
    </row>
    <row r="1676" spans="182:205" customFormat="1" x14ac:dyDescent="0.3">
      <c r="FZ1676" s="169"/>
      <c r="GA1676" s="169"/>
      <c r="GB1676" s="169"/>
      <c r="GC1676" s="169"/>
      <c r="GD1676" s="169"/>
      <c r="GE1676" s="169"/>
      <c r="GF1676" s="169"/>
      <c r="GG1676" s="169"/>
      <c r="GW1676" s="951"/>
    </row>
    <row r="1677" spans="182:205" customFormat="1" x14ac:dyDescent="0.3">
      <c r="FZ1677" s="169"/>
      <c r="GA1677" s="169"/>
      <c r="GB1677" s="169"/>
      <c r="GC1677" s="169"/>
      <c r="GD1677" s="169"/>
      <c r="GE1677" s="169"/>
      <c r="GF1677" s="169"/>
      <c r="GG1677" s="169"/>
      <c r="GW1677" s="951"/>
    </row>
    <row r="1678" spans="182:205" customFormat="1" x14ac:dyDescent="0.3">
      <c r="FZ1678" s="169"/>
      <c r="GA1678" s="169"/>
      <c r="GB1678" s="169"/>
      <c r="GC1678" s="169"/>
      <c r="GD1678" s="169"/>
      <c r="GE1678" s="169"/>
      <c r="GF1678" s="169"/>
      <c r="GG1678" s="169"/>
      <c r="GW1678" s="951"/>
    </row>
    <row r="1679" spans="182:205" customFormat="1" x14ac:dyDescent="0.3">
      <c r="FZ1679" s="169"/>
      <c r="GA1679" s="169"/>
      <c r="GB1679" s="169"/>
      <c r="GC1679" s="169"/>
      <c r="GD1679" s="169"/>
      <c r="GE1679" s="169"/>
      <c r="GF1679" s="169"/>
      <c r="GG1679" s="169"/>
      <c r="GW1679" s="951"/>
    </row>
    <row r="1680" spans="182:205" customFormat="1" x14ac:dyDescent="0.3">
      <c r="FZ1680" s="169"/>
      <c r="GA1680" s="169"/>
      <c r="GB1680" s="169"/>
      <c r="GC1680" s="169"/>
      <c r="GD1680" s="169"/>
      <c r="GE1680" s="169"/>
      <c r="GF1680" s="169"/>
      <c r="GG1680" s="169"/>
      <c r="GW1680" s="951"/>
    </row>
    <row r="1681" spans="182:205" customFormat="1" x14ac:dyDescent="0.3">
      <c r="FZ1681" s="169"/>
      <c r="GA1681" s="169"/>
      <c r="GB1681" s="169"/>
      <c r="GC1681" s="169"/>
      <c r="GD1681" s="169"/>
      <c r="GE1681" s="169"/>
      <c r="GF1681" s="169"/>
      <c r="GG1681" s="169"/>
      <c r="GW1681" s="951"/>
    </row>
    <row r="1682" spans="182:205" customFormat="1" x14ac:dyDescent="0.3">
      <c r="FZ1682" s="169"/>
      <c r="GA1682" s="169"/>
      <c r="GB1682" s="169"/>
      <c r="GC1682" s="169"/>
      <c r="GD1682" s="169"/>
      <c r="GE1682" s="169"/>
      <c r="GF1682" s="169"/>
      <c r="GG1682" s="169"/>
      <c r="GW1682" s="951"/>
    </row>
    <row r="1683" spans="182:205" customFormat="1" x14ac:dyDescent="0.3">
      <c r="FZ1683" s="169"/>
      <c r="GA1683" s="169"/>
      <c r="GB1683" s="169"/>
      <c r="GC1683" s="169"/>
      <c r="GD1683" s="169"/>
      <c r="GE1683" s="169"/>
      <c r="GF1683" s="169"/>
      <c r="GG1683" s="169"/>
      <c r="GW1683" s="951"/>
    </row>
    <row r="1684" spans="182:205" customFormat="1" x14ac:dyDescent="0.3">
      <c r="FZ1684" s="169"/>
      <c r="GA1684" s="169"/>
      <c r="GB1684" s="169"/>
      <c r="GC1684" s="169"/>
      <c r="GD1684" s="169"/>
      <c r="GE1684" s="169"/>
      <c r="GF1684" s="169"/>
      <c r="GG1684" s="169"/>
      <c r="GW1684" s="951"/>
    </row>
    <row r="1685" spans="182:205" customFormat="1" x14ac:dyDescent="0.3">
      <c r="FZ1685" s="169"/>
      <c r="GA1685" s="169"/>
      <c r="GB1685" s="169"/>
      <c r="GC1685" s="169"/>
      <c r="GD1685" s="169"/>
      <c r="GE1685" s="169"/>
      <c r="GF1685" s="169"/>
      <c r="GG1685" s="169"/>
      <c r="GW1685" s="951"/>
    </row>
    <row r="1686" spans="182:205" customFormat="1" x14ac:dyDescent="0.3">
      <c r="FZ1686" s="169"/>
      <c r="GA1686" s="169"/>
      <c r="GB1686" s="169"/>
      <c r="GC1686" s="169"/>
      <c r="GD1686" s="169"/>
      <c r="GE1686" s="169"/>
      <c r="GF1686" s="169"/>
      <c r="GG1686" s="169"/>
      <c r="GW1686" s="951"/>
    </row>
    <row r="1687" spans="182:205" customFormat="1" x14ac:dyDescent="0.3">
      <c r="FZ1687" s="169"/>
      <c r="GA1687" s="169"/>
      <c r="GB1687" s="169"/>
      <c r="GC1687" s="169"/>
      <c r="GD1687" s="169"/>
      <c r="GE1687" s="169"/>
      <c r="GF1687" s="169"/>
      <c r="GG1687" s="169"/>
      <c r="GW1687" s="951"/>
    </row>
    <row r="1688" spans="182:205" customFormat="1" x14ac:dyDescent="0.3">
      <c r="FZ1688" s="169"/>
      <c r="GA1688" s="169"/>
      <c r="GB1688" s="169"/>
      <c r="GC1688" s="169"/>
      <c r="GD1688" s="169"/>
      <c r="GE1688" s="169"/>
      <c r="GF1688" s="169"/>
      <c r="GG1688" s="169"/>
      <c r="GW1688" s="951"/>
    </row>
    <row r="1689" spans="182:205" customFormat="1" x14ac:dyDescent="0.3">
      <c r="FZ1689" s="169"/>
      <c r="GA1689" s="169"/>
      <c r="GB1689" s="169"/>
      <c r="GC1689" s="169"/>
      <c r="GD1689" s="169"/>
      <c r="GE1689" s="169"/>
      <c r="GF1689" s="169"/>
      <c r="GG1689" s="169"/>
      <c r="GW1689" s="951"/>
    </row>
    <row r="1690" spans="182:205" customFormat="1" x14ac:dyDescent="0.3">
      <c r="FZ1690" s="169"/>
      <c r="GA1690" s="169"/>
      <c r="GB1690" s="169"/>
      <c r="GC1690" s="169"/>
      <c r="GD1690" s="169"/>
      <c r="GE1690" s="169"/>
      <c r="GF1690" s="169"/>
      <c r="GG1690" s="169"/>
      <c r="GW1690" s="951"/>
    </row>
    <row r="1691" spans="182:205" customFormat="1" x14ac:dyDescent="0.3">
      <c r="FZ1691" s="169"/>
      <c r="GA1691" s="169"/>
      <c r="GB1691" s="169"/>
      <c r="GC1691" s="169"/>
      <c r="GD1691" s="169"/>
      <c r="GE1691" s="169"/>
      <c r="GF1691" s="169"/>
      <c r="GG1691" s="169"/>
      <c r="GW1691" s="951"/>
    </row>
    <row r="1692" spans="182:205" customFormat="1" x14ac:dyDescent="0.3">
      <c r="FZ1692" s="169"/>
      <c r="GA1692" s="169"/>
      <c r="GB1692" s="169"/>
      <c r="GC1692" s="169"/>
      <c r="GD1692" s="169"/>
      <c r="GE1692" s="169"/>
      <c r="GF1692" s="169"/>
      <c r="GG1692" s="169"/>
      <c r="GW1692" s="951"/>
    </row>
    <row r="1693" spans="182:205" customFormat="1" x14ac:dyDescent="0.3">
      <c r="FZ1693" s="169"/>
      <c r="GA1693" s="169"/>
      <c r="GB1693" s="169"/>
      <c r="GC1693" s="169"/>
      <c r="GD1693" s="169"/>
      <c r="GE1693" s="169"/>
      <c r="GF1693" s="169"/>
      <c r="GG1693" s="169"/>
      <c r="GW1693" s="951"/>
    </row>
    <row r="1694" spans="182:205" customFormat="1" x14ac:dyDescent="0.3">
      <c r="FZ1694" s="169"/>
      <c r="GA1694" s="169"/>
      <c r="GB1694" s="169"/>
      <c r="GC1694" s="169"/>
      <c r="GD1694" s="169"/>
      <c r="GE1694" s="169"/>
      <c r="GF1694" s="169"/>
      <c r="GG1694" s="169"/>
      <c r="GW1694" s="951"/>
    </row>
    <row r="1695" spans="182:205" customFormat="1" x14ac:dyDescent="0.3">
      <c r="FZ1695" s="169"/>
      <c r="GA1695" s="169"/>
      <c r="GB1695" s="169"/>
      <c r="GC1695" s="169"/>
      <c r="GD1695" s="169"/>
      <c r="GE1695" s="169"/>
      <c r="GF1695" s="169"/>
      <c r="GG1695" s="169"/>
      <c r="GW1695" s="951"/>
    </row>
    <row r="1696" spans="182:205" customFormat="1" x14ac:dyDescent="0.3">
      <c r="FZ1696" s="169"/>
      <c r="GA1696" s="169"/>
      <c r="GB1696" s="169"/>
      <c r="GC1696" s="169"/>
      <c r="GD1696" s="169"/>
      <c r="GE1696" s="169"/>
      <c r="GF1696" s="169"/>
      <c r="GG1696" s="169"/>
      <c r="GW1696" s="951"/>
    </row>
    <row r="1697" spans="182:205" customFormat="1" x14ac:dyDescent="0.3">
      <c r="FZ1697" s="169"/>
      <c r="GA1697" s="169"/>
      <c r="GB1697" s="169"/>
      <c r="GC1697" s="169"/>
      <c r="GD1697" s="169"/>
      <c r="GE1697" s="169"/>
      <c r="GF1697" s="169"/>
      <c r="GG1697" s="169"/>
      <c r="GW1697" s="951"/>
    </row>
    <row r="1698" spans="182:205" customFormat="1" x14ac:dyDescent="0.3">
      <c r="FZ1698" s="169"/>
      <c r="GA1698" s="169"/>
      <c r="GB1698" s="169"/>
      <c r="GC1698" s="169"/>
      <c r="GD1698" s="169"/>
      <c r="GE1698" s="169"/>
      <c r="GF1698" s="169"/>
      <c r="GG1698" s="169"/>
      <c r="GW1698" s="951"/>
    </row>
    <row r="1699" spans="182:205" customFormat="1" x14ac:dyDescent="0.3">
      <c r="FZ1699" s="169"/>
      <c r="GA1699" s="169"/>
      <c r="GB1699" s="169"/>
      <c r="GC1699" s="169"/>
      <c r="GD1699" s="169"/>
      <c r="GE1699" s="169"/>
      <c r="GF1699" s="169"/>
      <c r="GG1699" s="169"/>
      <c r="GW1699" s="951"/>
    </row>
    <row r="1700" spans="182:205" customFormat="1" x14ac:dyDescent="0.3">
      <c r="FZ1700" s="169"/>
      <c r="GA1700" s="169"/>
      <c r="GB1700" s="169"/>
      <c r="GC1700" s="169"/>
      <c r="GD1700" s="169"/>
      <c r="GE1700" s="169"/>
      <c r="GF1700" s="169"/>
      <c r="GG1700" s="169"/>
      <c r="GW1700" s="951"/>
    </row>
    <row r="1701" spans="182:205" customFormat="1" x14ac:dyDescent="0.3">
      <c r="FZ1701" s="169"/>
      <c r="GA1701" s="169"/>
      <c r="GB1701" s="169"/>
      <c r="GC1701" s="169"/>
      <c r="GD1701" s="169"/>
      <c r="GE1701" s="169"/>
      <c r="GF1701" s="169"/>
      <c r="GG1701" s="169"/>
      <c r="GW1701" s="951"/>
    </row>
    <row r="1702" spans="182:205" customFormat="1" x14ac:dyDescent="0.3">
      <c r="FZ1702" s="169"/>
      <c r="GA1702" s="169"/>
      <c r="GB1702" s="169"/>
      <c r="GC1702" s="169"/>
      <c r="GD1702" s="169"/>
      <c r="GE1702" s="169"/>
      <c r="GF1702" s="169"/>
      <c r="GG1702" s="169"/>
      <c r="GW1702" s="951"/>
    </row>
    <row r="1703" spans="182:205" customFormat="1" x14ac:dyDescent="0.3">
      <c r="FZ1703" s="169"/>
      <c r="GA1703" s="169"/>
      <c r="GB1703" s="169"/>
      <c r="GC1703" s="169"/>
      <c r="GD1703" s="169"/>
      <c r="GE1703" s="169"/>
      <c r="GF1703" s="169"/>
      <c r="GG1703" s="169"/>
      <c r="GW1703" s="951"/>
    </row>
    <row r="1704" spans="182:205" customFormat="1" x14ac:dyDescent="0.3">
      <c r="FZ1704" s="169"/>
      <c r="GA1704" s="169"/>
      <c r="GB1704" s="169"/>
      <c r="GC1704" s="169"/>
      <c r="GD1704" s="169"/>
      <c r="GE1704" s="169"/>
      <c r="GF1704" s="169"/>
      <c r="GG1704" s="169"/>
      <c r="GW1704" s="951"/>
    </row>
    <row r="1705" spans="182:205" customFormat="1" x14ac:dyDescent="0.3">
      <c r="FZ1705" s="169"/>
      <c r="GA1705" s="169"/>
      <c r="GB1705" s="169"/>
      <c r="GC1705" s="169"/>
      <c r="GD1705" s="169"/>
      <c r="GE1705" s="169"/>
      <c r="GF1705" s="169"/>
      <c r="GG1705" s="169"/>
      <c r="GW1705" s="951"/>
    </row>
    <row r="1706" spans="182:205" customFormat="1" x14ac:dyDescent="0.3">
      <c r="FZ1706" s="169"/>
      <c r="GA1706" s="169"/>
      <c r="GB1706" s="169"/>
      <c r="GC1706" s="169"/>
      <c r="GD1706" s="169"/>
      <c r="GE1706" s="169"/>
      <c r="GF1706" s="169"/>
      <c r="GG1706" s="169"/>
      <c r="GW1706" s="951"/>
    </row>
    <row r="1707" spans="182:205" customFormat="1" x14ac:dyDescent="0.3">
      <c r="FZ1707" s="169"/>
      <c r="GA1707" s="169"/>
      <c r="GB1707" s="169"/>
      <c r="GC1707" s="169"/>
      <c r="GD1707" s="169"/>
      <c r="GE1707" s="169"/>
      <c r="GF1707" s="169"/>
      <c r="GG1707" s="169"/>
      <c r="GW1707" s="951"/>
    </row>
    <row r="1708" spans="182:205" customFormat="1" x14ac:dyDescent="0.3">
      <c r="FZ1708" s="169"/>
      <c r="GA1708" s="169"/>
      <c r="GB1708" s="169"/>
      <c r="GC1708" s="169"/>
      <c r="GD1708" s="169"/>
      <c r="GE1708" s="169"/>
      <c r="GF1708" s="169"/>
      <c r="GG1708" s="169"/>
      <c r="GW1708" s="951"/>
    </row>
    <row r="1709" spans="182:205" customFormat="1" x14ac:dyDescent="0.3">
      <c r="FZ1709" s="169"/>
      <c r="GA1709" s="169"/>
      <c r="GB1709" s="169"/>
      <c r="GC1709" s="169"/>
      <c r="GD1709" s="169"/>
      <c r="GE1709" s="169"/>
      <c r="GF1709" s="169"/>
      <c r="GG1709" s="169"/>
      <c r="GW1709" s="951"/>
    </row>
    <row r="1710" spans="182:205" customFormat="1" x14ac:dyDescent="0.3">
      <c r="FZ1710" s="169"/>
      <c r="GA1710" s="169"/>
      <c r="GB1710" s="169"/>
      <c r="GC1710" s="169"/>
      <c r="GD1710" s="169"/>
      <c r="GE1710" s="169"/>
      <c r="GF1710" s="169"/>
      <c r="GG1710" s="169"/>
      <c r="GW1710" s="951"/>
    </row>
    <row r="1711" spans="182:205" customFormat="1" x14ac:dyDescent="0.3">
      <c r="FZ1711" s="169"/>
      <c r="GA1711" s="169"/>
      <c r="GB1711" s="169"/>
      <c r="GC1711" s="169"/>
      <c r="GD1711" s="169"/>
      <c r="GE1711" s="169"/>
      <c r="GF1711" s="169"/>
      <c r="GG1711" s="169"/>
      <c r="GW1711" s="951"/>
    </row>
    <row r="1712" spans="182:205" customFormat="1" x14ac:dyDescent="0.3">
      <c r="FZ1712" s="169"/>
      <c r="GA1712" s="169"/>
      <c r="GB1712" s="169"/>
      <c r="GC1712" s="169"/>
      <c r="GD1712" s="169"/>
      <c r="GE1712" s="169"/>
      <c r="GF1712" s="169"/>
      <c r="GG1712" s="169"/>
      <c r="GW1712" s="951"/>
    </row>
    <row r="1713" spans="182:205" customFormat="1" x14ac:dyDescent="0.3">
      <c r="FZ1713" s="169"/>
      <c r="GA1713" s="169"/>
      <c r="GB1713" s="169"/>
      <c r="GC1713" s="169"/>
      <c r="GD1713" s="169"/>
      <c r="GE1713" s="169"/>
      <c r="GF1713" s="169"/>
      <c r="GG1713" s="169"/>
      <c r="GW1713" s="951"/>
    </row>
    <row r="1714" spans="182:205" customFormat="1" x14ac:dyDescent="0.3">
      <c r="FZ1714" s="169"/>
      <c r="GA1714" s="169"/>
      <c r="GB1714" s="169"/>
      <c r="GC1714" s="169"/>
      <c r="GD1714" s="169"/>
      <c r="GE1714" s="169"/>
      <c r="GF1714" s="169"/>
      <c r="GG1714" s="169"/>
      <c r="GW1714" s="951"/>
    </row>
    <row r="1715" spans="182:205" customFormat="1" x14ac:dyDescent="0.3">
      <c r="FZ1715" s="169"/>
      <c r="GA1715" s="169"/>
      <c r="GB1715" s="169"/>
      <c r="GC1715" s="169"/>
      <c r="GD1715" s="169"/>
      <c r="GE1715" s="169"/>
      <c r="GF1715" s="169"/>
      <c r="GG1715" s="169"/>
      <c r="GW1715" s="951"/>
    </row>
    <row r="1716" spans="182:205" customFormat="1" x14ac:dyDescent="0.3">
      <c r="FZ1716" s="169"/>
      <c r="GA1716" s="169"/>
      <c r="GB1716" s="169"/>
      <c r="GC1716" s="169"/>
      <c r="GD1716" s="169"/>
      <c r="GE1716" s="169"/>
      <c r="GF1716" s="169"/>
      <c r="GG1716" s="169"/>
      <c r="GW1716" s="951"/>
    </row>
    <row r="1717" spans="182:205" customFormat="1" x14ac:dyDescent="0.3">
      <c r="FZ1717" s="169"/>
      <c r="GA1717" s="169"/>
      <c r="GB1717" s="169"/>
      <c r="GC1717" s="169"/>
      <c r="GD1717" s="169"/>
      <c r="GE1717" s="169"/>
      <c r="GF1717" s="169"/>
      <c r="GG1717" s="169"/>
      <c r="GW1717" s="951"/>
    </row>
    <row r="1718" spans="182:205" customFormat="1" x14ac:dyDescent="0.3">
      <c r="FZ1718" s="169"/>
      <c r="GA1718" s="169"/>
      <c r="GB1718" s="169"/>
      <c r="GC1718" s="169"/>
      <c r="GD1718" s="169"/>
      <c r="GE1718" s="169"/>
      <c r="GF1718" s="169"/>
      <c r="GG1718" s="169"/>
      <c r="GW1718" s="951"/>
    </row>
    <row r="1719" spans="182:205" customFormat="1" x14ac:dyDescent="0.3">
      <c r="FZ1719" s="169"/>
      <c r="GA1719" s="169"/>
      <c r="GB1719" s="169"/>
      <c r="GC1719" s="169"/>
      <c r="GD1719" s="169"/>
      <c r="GE1719" s="169"/>
      <c r="GF1719" s="169"/>
      <c r="GG1719" s="169"/>
      <c r="GW1719" s="951"/>
    </row>
    <row r="1720" spans="182:205" customFormat="1" x14ac:dyDescent="0.3">
      <c r="FZ1720" s="169"/>
      <c r="GA1720" s="169"/>
      <c r="GB1720" s="169"/>
      <c r="GC1720" s="169"/>
      <c r="GD1720" s="169"/>
      <c r="GE1720" s="169"/>
      <c r="GF1720" s="169"/>
      <c r="GG1720" s="169"/>
      <c r="GW1720" s="951"/>
    </row>
    <row r="1721" spans="182:205" customFormat="1" x14ac:dyDescent="0.3">
      <c r="FZ1721" s="169"/>
      <c r="GA1721" s="169"/>
      <c r="GB1721" s="169"/>
      <c r="GC1721" s="169"/>
      <c r="GD1721" s="169"/>
      <c r="GE1721" s="169"/>
      <c r="GF1721" s="169"/>
      <c r="GG1721" s="169"/>
      <c r="GW1721" s="951"/>
    </row>
    <row r="1722" spans="182:205" customFormat="1" x14ac:dyDescent="0.3">
      <c r="FZ1722" s="169"/>
      <c r="GA1722" s="169"/>
      <c r="GB1722" s="169"/>
      <c r="GC1722" s="169"/>
      <c r="GD1722" s="169"/>
      <c r="GE1722" s="169"/>
      <c r="GF1722" s="169"/>
      <c r="GG1722" s="169"/>
      <c r="GW1722" s="951"/>
    </row>
    <row r="1723" spans="182:205" customFormat="1" x14ac:dyDescent="0.3">
      <c r="FZ1723" s="169"/>
      <c r="GA1723" s="169"/>
      <c r="GB1723" s="169"/>
      <c r="GC1723" s="169"/>
      <c r="GD1723" s="169"/>
      <c r="GE1723" s="169"/>
      <c r="GF1723" s="169"/>
      <c r="GG1723" s="169"/>
      <c r="GW1723" s="951"/>
    </row>
    <row r="1724" spans="182:205" customFormat="1" x14ac:dyDescent="0.3">
      <c r="FZ1724" s="169"/>
      <c r="GA1724" s="169"/>
      <c r="GB1724" s="169"/>
      <c r="GC1724" s="169"/>
      <c r="GD1724" s="169"/>
      <c r="GE1724" s="169"/>
      <c r="GF1724" s="169"/>
      <c r="GG1724" s="169"/>
      <c r="GW1724" s="951"/>
    </row>
    <row r="1725" spans="182:205" customFormat="1" x14ac:dyDescent="0.3">
      <c r="FZ1725" s="169"/>
      <c r="GA1725" s="169"/>
      <c r="GB1725" s="169"/>
      <c r="GC1725" s="169"/>
      <c r="GD1725" s="169"/>
      <c r="GE1725" s="169"/>
      <c r="GF1725" s="169"/>
      <c r="GG1725" s="169"/>
      <c r="GW1725" s="951"/>
    </row>
    <row r="1726" spans="182:205" customFormat="1" x14ac:dyDescent="0.3">
      <c r="FZ1726" s="169"/>
      <c r="GA1726" s="169"/>
      <c r="GB1726" s="169"/>
      <c r="GC1726" s="169"/>
      <c r="GD1726" s="169"/>
      <c r="GE1726" s="169"/>
      <c r="GF1726" s="169"/>
      <c r="GG1726" s="169"/>
      <c r="GW1726" s="951"/>
    </row>
    <row r="1727" spans="182:205" customFormat="1" x14ac:dyDescent="0.3">
      <c r="FZ1727" s="169"/>
      <c r="GA1727" s="169"/>
      <c r="GB1727" s="169"/>
      <c r="GC1727" s="169"/>
      <c r="GD1727" s="169"/>
      <c r="GE1727" s="169"/>
      <c r="GF1727" s="169"/>
      <c r="GG1727" s="169"/>
      <c r="GW1727" s="951"/>
    </row>
    <row r="1728" spans="182:205" customFormat="1" x14ac:dyDescent="0.3">
      <c r="FZ1728" s="169"/>
      <c r="GA1728" s="169"/>
      <c r="GB1728" s="169"/>
      <c r="GC1728" s="169"/>
      <c r="GD1728" s="169"/>
      <c r="GE1728" s="169"/>
      <c r="GF1728" s="169"/>
      <c r="GG1728" s="169"/>
      <c r="GW1728" s="951"/>
    </row>
    <row r="1729" spans="182:205" customFormat="1" x14ac:dyDescent="0.3">
      <c r="FZ1729" s="169"/>
      <c r="GA1729" s="169"/>
      <c r="GB1729" s="169"/>
      <c r="GC1729" s="169"/>
      <c r="GD1729" s="169"/>
      <c r="GE1729" s="169"/>
      <c r="GF1729" s="169"/>
      <c r="GG1729" s="169"/>
      <c r="GW1729" s="951"/>
    </row>
    <row r="1730" spans="182:205" customFormat="1" x14ac:dyDescent="0.3">
      <c r="FZ1730" s="169"/>
      <c r="GA1730" s="169"/>
      <c r="GB1730" s="169"/>
      <c r="GC1730" s="169"/>
      <c r="GD1730" s="169"/>
      <c r="GE1730" s="169"/>
      <c r="GF1730" s="169"/>
      <c r="GG1730" s="169"/>
      <c r="GW1730" s="951"/>
    </row>
    <row r="1731" spans="182:205" customFormat="1" x14ac:dyDescent="0.3">
      <c r="FZ1731" s="169"/>
      <c r="GA1731" s="169"/>
      <c r="GB1731" s="169"/>
      <c r="GC1731" s="169"/>
      <c r="GD1731" s="169"/>
      <c r="GE1731" s="169"/>
      <c r="GF1731" s="169"/>
      <c r="GG1731" s="169"/>
      <c r="GW1731" s="951"/>
    </row>
    <row r="1732" spans="182:205" customFormat="1" x14ac:dyDescent="0.3">
      <c r="FZ1732" s="169"/>
      <c r="GA1732" s="169"/>
      <c r="GB1732" s="169"/>
      <c r="GC1732" s="169"/>
      <c r="GD1732" s="169"/>
      <c r="GE1732" s="169"/>
      <c r="GF1732" s="169"/>
      <c r="GG1732" s="169"/>
      <c r="GW1732" s="951"/>
    </row>
    <row r="1733" spans="182:205" customFormat="1" x14ac:dyDescent="0.3">
      <c r="FZ1733" s="169"/>
      <c r="GA1733" s="169"/>
      <c r="GB1733" s="169"/>
      <c r="GC1733" s="169"/>
      <c r="GD1733" s="169"/>
      <c r="GE1733" s="169"/>
      <c r="GF1733" s="169"/>
      <c r="GG1733" s="169"/>
      <c r="GW1733" s="951"/>
    </row>
    <row r="1734" spans="182:205" customFormat="1" x14ac:dyDescent="0.3">
      <c r="FZ1734" s="169"/>
      <c r="GA1734" s="169"/>
      <c r="GB1734" s="169"/>
      <c r="GC1734" s="169"/>
      <c r="GD1734" s="169"/>
      <c r="GE1734" s="169"/>
      <c r="GF1734" s="169"/>
      <c r="GG1734" s="169"/>
      <c r="GW1734" s="951"/>
    </row>
    <row r="1735" spans="182:205" customFormat="1" x14ac:dyDescent="0.3">
      <c r="FZ1735" s="169"/>
      <c r="GA1735" s="169"/>
      <c r="GB1735" s="169"/>
      <c r="GC1735" s="169"/>
      <c r="GD1735" s="169"/>
      <c r="GE1735" s="169"/>
      <c r="GF1735" s="169"/>
      <c r="GG1735" s="169"/>
      <c r="GW1735" s="951"/>
    </row>
    <row r="1736" spans="182:205" customFormat="1" x14ac:dyDescent="0.3">
      <c r="FZ1736" s="169"/>
      <c r="GA1736" s="169"/>
      <c r="GB1736" s="169"/>
      <c r="GC1736" s="169"/>
      <c r="GD1736" s="169"/>
      <c r="GE1736" s="169"/>
      <c r="GF1736" s="169"/>
      <c r="GG1736" s="169"/>
      <c r="GW1736" s="951"/>
    </row>
    <row r="1737" spans="182:205" customFormat="1" x14ac:dyDescent="0.3">
      <c r="FZ1737" s="169"/>
      <c r="GA1737" s="169"/>
      <c r="GB1737" s="169"/>
      <c r="GC1737" s="169"/>
      <c r="GD1737" s="169"/>
      <c r="GE1737" s="169"/>
      <c r="GF1737" s="169"/>
      <c r="GG1737" s="169"/>
      <c r="GW1737" s="951"/>
    </row>
    <row r="1738" spans="182:205" customFormat="1" x14ac:dyDescent="0.3">
      <c r="FZ1738" s="169"/>
      <c r="GA1738" s="169"/>
      <c r="GB1738" s="169"/>
      <c r="GC1738" s="169"/>
      <c r="GD1738" s="169"/>
      <c r="GE1738" s="169"/>
      <c r="GF1738" s="169"/>
      <c r="GG1738" s="169"/>
      <c r="GW1738" s="951"/>
    </row>
    <row r="1739" spans="182:205" customFormat="1" x14ac:dyDescent="0.3">
      <c r="FZ1739" s="169"/>
      <c r="GA1739" s="169"/>
      <c r="GB1739" s="169"/>
      <c r="GC1739" s="169"/>
      <c r="GD1739" s="169"/>
      <c r="GE1739" s="169"/>
      <c r="GF1739" s="169"/>
      <c r="GG1739" s="169"/>
      <c r="GW1739" s="951"/>
    </row>
    <row r="1740" spans="182:205" customFormat="1" x14ac:dyDescent="0.3">
      <c r="FZ1740" s="169"/>
      <c r="GA1740" s="169"/>
      <c r="GB1740" s="169"/>
      <c r="GC1740" s="169"/>
      <c r="GD1740" s="169"/>
      <c r="GE1740" s="169"/>
      <c r="GF1740" s="169"/>
      <c r="GG1740" s="169"/>
      <c r="GW1740" s="951"/>
    </row>
    <row r="1741" spans="182:205" customFormat="1" x14ac:dyDescent="0.3">
      <c r="FZ1741" s="169"/>
      <c r="GA1741" s="169"/>
      <c r="GB1741" s="169"/>
      <c r="GC1741" s="169"/>
      <c r="GD1741" s="169"/>
      <c r="GE1741" s="169"/>
      <c r="GF1741" s="169"/>
      <c r="GG1741" s="169"/>
      <c r="GW1741" s="951"/>
    </row>
    <row r="1742" spans="182:205" customFormat="1" x14ac:dyDescent="0.3">
      <c r="FZ1742" s="169"/>
      <c r="GA1742" s="169"/>
      <c r="GB1742" s="169"/>
      <c r="GC1742" s="169"/>
      <c r="GD1742" s="169"/>
      <c r="GE1742" s="169"/>
      <c r="GF1742" s="169"/>
      <c r="GG1742" s="169"/>
      <c r="GW1742" s="951"/>
    </row>
    <row r="1743" spans="182:205" customFormat="1" x14ac:dyDescent="0.3">
      <c r="FZ1743" s="169"/>
      <c r="GA1743" s="169"/>
      <c r="GB1743" s="169"/>
      <c r="GC1743" s="169"/>
      <c r="GD1743" s="169"/>
      <c r="GE1743" s="169"/>
      <c r="GF1743" s="169"/>
      <c r="GG1743" s="169"/>
      <c r="GW1743" s="951"/>
    </row>
    <row r="1744" spans="182:205" customFormat="1" x14ac:dyDescent="0.3">
      <c r="FZ1744" s="169"/>
      <c r="GA1744" s="169"/>
      <c r="GB1744" s="169"/>
      <c r="GC1744" s="169"/>
      <c r="GD1744" s="169"/>
      <c r="GE1744" s="169"/>
      <c r="GF1744" s="169"/>
      <c r="GG1744" s="169"/>
      <c r="GW1744" s="951"/>
    </row>
  </sheetData>
  <mergeCells count="28">
    <mergeCell ref="GW5:GW8"/>
    <mergeCell ref="A97:A103"/>
    <mergeCell ref="C95:F95"/>
    <mergeCell ref="GV5:GV8"/>
    <mergeCell ref="H5:I5"/>
    <mergeCell ref="GU5:GU8"/>
    <mergeCell ref="J5:J7"/>
    <mergeCell ref="DS5:DS6"/>
    <mergeCell ref="DT5:DT7"/>
    <mergeCell ref="GS5:GS7"/>
    <mergeCell ref="BK5:BK7"/>
    <mergeCell ref="BJ5:BJ6"/>
    <mergeCell ref="FU5:FU6"/>
    <mergeCell ref="GP5:GP7"/>
    <mergeCell ref="GR5:GR6"/>
    <mergeCell ref="GT5:GT7"/>
    <mergeCell ref="GQ5:GQ7"/>
    <mergeCell ref="A85:B85"/>
    <mergeCell ref="A91:B91"/>
    <mergeCell ref="FW4:GH4"/>
    <mergeCell ref="GI4:GN4"/>
    <mergeCell ref="J4:FU4"/>
    <mergeCell ref="A5:A8"/>
    <mergeCell ref="C5:F5"/>
    <mergeCell ref="B5:B6"/>
    <mergeCell ref="G5:G6"/>
    <mergeCell ref="D7:F7"/>
    <mergeCell ref="H84:I84"/>
  </mergeCells>
  <phoneticPr fontId="6" type="noConversion"/>
  <pageMargins left="0.7" right="0.7" top="0.75" bottom="0.75" header="0.3" footer="0.3"/>
  <pageSetup paperSize="9" scale="1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B694-51E3-4581-9ADB-670A8C98D5A2}">
  <dimension ref="A1:HG184"/>
  <sheetViews>
    <sheetView tabSelected="1" zoomScale="90" zoomScaleNormal="90" workbookViewId="0">
      <pane xSplit="2" ySplit="8" topLeftCell="GB9" activePane="bottomRight" state="frozen"/>
      <selection activeCell="C12" sqref="A12:XFD12"/>
      <selection pane="topRight" activeCell="C12" sqref="A12:XFD12"/>
      <selection pane="bottomLeft" activeCell="C12" sqref="A12:XFD12"/>
      <selection pane="bottomRight" activeCell="GG24" sqref="GG24"/>
    </sheetView>
  </sheetViews>
  <sheetFormatPr defaultRowHeight="14.4" x14ac:dyDescent="0.3"/>
  <cols>
    <col min="1" max="1" width="9.44140625" customWidth="1"/>
    <col min="2" max="2" width="41.6640625" customWidth="1"/>
    <col min="3" max="3" width="14" style="306" customWidth="1"/>
    <col min="4" max="4" width="13.109375" style="595" customWidth="1"/>
    <col min="5" max="5" width="13.109375" customWidth="1"/>
    <col min="6" max="6" width="13.109375" style="167" customWidth="1"/>
    <col min="7" max="7" width="14.109375" style="61" customWidth="1"/>
    <col min="8" max="8" width="13.33203125" customWidth="1"/>
    <col min="9" max="9" width="14.5546875" customWidth="1"/>
    <col min="10" max="10" width="4.5546875" customWidth="1"/>
    <col min="11" max="17" width="11.6640625" hidden="1" customWidth="1"/>
    <col min="18" max="18" width="16" hidden="1" customWidth="1"/>
    <col min="19" max="35" width="11.6640625" hidden="1" customWidth="1"/>
    <col min="36" max="38" width="12.6640625" hidden="1" customWidth="1"/>
    <col min="39" max="39" width="13.33203125" hidden="1" customWidth="1"/>
    <col min="40" max="42" width="11.6640625" hidden="1" customWidth="1"/>
    <col min="43" max="43" width="12.33203125" hidden="1" customWidth="1"/>
    <col min="44" max="44" width="12.5546875" hidden="1" customWidth="1"/>
    <col min="45" max="45" width="11.6640625" hidden="1" customWidth="1"/>
    <col min="46" max="50" width="11.6640625" style="167" hidden="1" customWidth="1"/>
    <col min="51" max="54" width="11.6640625" hidden="1" customWidth="1"/>
    <col min="55" max="55" width="12.6640625" hidden="1" customWidth="1"/>
    <col min="56" max="62" width="11.6640625" hidden="1" customWidth="1"/>
    <col min="63" max="63" width="12.33203125" hidden="1" customWidth="1"/>
    <col min="64" max="79" width="11.6640625" hidden="1" customWidth="1"/>
    <col min="80" max="80" width="5" customWidth="1"/>
    <col min="81" max="91" width="12.6640625" hidden="1" customWidth="1"/>
    <col min="92" max="92" width="14.109375" hidden="1" customWidth="1"/>
    <col min="93" max="93" width="13.88671875" hidden="1" customWidth="1"/>
    <col min="94" max="94" width="13.6640625" hidden="1" customWidth="1"/>
    <col min="95" max="125" width="12.6640625" hidden="1" customWidth="1"/>
    <col min="126" max="126" width="5.44140625" customWidth="1"/>
    <col min="127" max="133" width="12.6640625" hidden="1" customWidth="1"/>
    <col min="134" max="136" width="12.6640625" customWidth="1"/>
    <col min="137" max="171" width="12.6640625" hidden="1" customWidth="1"/>
    <col min="172" max="172" width="12.6640625" style="220" hidden="1" customWidth="1"/>
    <col min="173" max="173" width="12.6640625" hidden="1" customWidth="1"/>
    <col min="174" max="174" width="12.6640625" style="167" hidden="1" customWidth="1"/>
    <col min="175" max="175" width="12.6640625" hidden="1" customWidth="1"/>
    <col min="176" max="177" width="12.6640625" style="169" hidden="1" customWidth="1"/>
    <col min="178" max="182" width="12.6640625" hidden="1" customWidth="1"/>
    <col min="183" max="183" width="15.44140625" customWidth="1"/>
    <col min="184" max="184" width="6" customWidth="1"/>
    <col min="185" max="185" width="5.109375" customWidth="1"/>
    <col min="186" max="190" width="12.6640625" customWidth="1"/>
    <col min="191" max="195" width="12.6640625" hidden="1" customWidth="1"/>
    <col min="196" max="196" width="5.88671875" customWidth="1"/>
    <col min="197" max="197" width="12.6640625" customWidth="1"/>
    <col min="198" max="198" width="13.6640625" customWidth="1"/>
    <col min="199" max="199" width="14.44140625" customWidth="1"/>
    <col min="200" max="200" width="14.109375" customWidth="1"/>
    <col min="201" max="201" width="15.109375" customWidth="1"/>
    <col min="202" max="202" width="39.6640625" customWidth="1"/>
    <col min="203" max="203" width="15.5546875" customWidth="1"/>
  </cols>
  <sheetData>
    <row r="1" spans="1:215" ht="12.9" customHeight="1" x14ac:dyDescent="0.3">
      <c r="A1" s="229"/>
      <c r="B1" s="1236" t="s">
        <v>591</v>
      </c>
      <c r="C1" s="300"/>
      <c r="D1" s="506"/>
      <c r="E1" s="188"/>
      <c r="F1" s="307"/>
      <c r="G1" s="1134"/>
      <c r="H1" s="96"/>
      <c r="I1" s="16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97"/>
      <c r="AF1" s="97"/>
      <c r="AG1" s="18"/>
      <c r="AH1" s="18"/>
      <c r="AI1" s="18"/>
      <c r="AN1" s="18"/>
      <c r="AO1" s="18"/>
      <c r="AP1" s="18"/>
      <c r="AQ1" s="18"/>
      <c r="AR1" s="18"/>
      <c r="AS1" s="97"/>
      <c r="AT1" s="243"/>
      <c r="AU1" s="243"/>
      <c r="AV1" s="243"/>
      <c r="AW1" s="243"/>
      <c r="AX1" s="243"/>
      <c r="AY1" s="97"/>
      <c r="AZ1" s="97"/>
      <c r="BA1" s="97"/>
      <c r="BB1" s="97"/>
      <c r="BC1" s="18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97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97"/>
      <c r="FL1" s="18"/>
      <c r="FM1" s="18"/>
      <c r="FN1" s="19" t="s">
        <v>51</v>
      </c>
      <c r="FO1" s="20" t="s">
        <v>63</v>
      </c>
      <c r="FP1" s="218"/>
      <c r="FQ1" s="20"/>
      <c r="FR1" s="215"/>
      <c r="FS1" s="21"/>
      <c r="FT1" s="227" t="s">
        <v>74</v>
      </c>
      <c r="FU1" s="26"/>
      <c r="FW1" s="672"/>
      <c r="GF1" s="780"/>
      <c r="GG1" s="780"/>
      <c r="GH1" s="780"/>
      <c r="GP1" s="19" t="s">
        <v>51</v>
      </c>
      <c r="GQ1" s="20" t="s">
        <v>63</v>
      </c>
    </row>
    <row r="2" spans="1:215" ht="12.9" customHeight="1" x14ac:dyDescent="0.3">
      <c r="A2" s="1213" t="s">
        <v>51</v>
      </c>
      <c r="B2" s="88" t="s">
        <v>96</v>
      </c>
      <c r="C2" s="300"/>
      <c r="D2" s="506"/>
      <c r="E2" s="188"/>
      <c r="F2" s="307"/>
      <c r="G2" s="1134"/>
      <c r="H2" s="96"/>
      <c r="I2" s="1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97"/>
      <c r="AF2" s="97"/>
      <c r="AG2" s="18"/>
      <c r="AH2" s="18"/>
      <c r="AI2" s="18"/>
      <c r="AL2" s="672"/>
      <c r="AN2" s="18"/>
      <c r="AO2" s="18"/>
      <c r="AP2" s="18"/>
      <c r="AQ2" s="18"/>
      <c r="AR2" s="780"/>
      <c r="AS2" s="97"/>
      <c r="AT2" s="243"/>
      <c r="AU2" s="243"/>
      <c r="AV2" s="243"/>
      <c r="AW2" s="243"/>
      <c r="AX2" s="243"/>
      <c r="AY2" s="97"/>
      <c r="AZ2" s="97"/>
      <c r="BA2" s="97"/>
      <c r="BB2" s="97"/>
      <c r="BC2" s="18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97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97"/>
      <c r="FL2" s="18"/>
      <c r="FM2" s="18"/>
      <c r="FN2" s="23" t="s">
        <v>51</v>
      </c>
      <c r="FO2" s="20" t="s">
        <v>53</v>
      </c>
      <c r="FP2" s="218"/>
      <c r="FQ2" s="20"/>
      <c r="FR2" s="215"/>
      <c r="FS2" s="21"/>
      <c r="FT2" s="227"/>
      <c r="FU2" s="26"/>
      <c r="GF2" s="780"/>
      <c r="GG2" s="780"/>
      <c r="GH2" s="780"/>
      <c r="GP2" s="23" t="s">
        <v>51</v>
      </c>
      <c r="GQ2" s="20" t="s">
        <v>53</v>
      </c>
    </row>
    <row r="3" spans="1:215" ht="12.9" customHeight="1" thickBot="1" x14ac:dyDescent="0.35">
      <c r="A3" s="226" t="s">
        <v>51</v>
      </c>
      <c r="B3" s="88" t="s">
        <v>109</v>
      </c>
      <c r="C3" s="300"/>
      <c r="D3" s="506"/>
      <c r="E3" s="188"/>
      <c r="F3" s="307"/>
      <c r="G3" s="1134"/>
      <c r="H3" s="96"/>
      <c r="I3" s="16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97"/>
      <c r="AF3" s="97"/>
      <c r="AG3" s="18"/>
      <c r="AH3" s="18"/>
      <c r="AI3" s="18"/>
      <c r="AN3" s="18"/>
      <c r="AO3" s="18"/>
      <c r="AP3" s="18"/>
      <c r="AQ3" s="18"/>
      <c r="AR3" s="18"/>
      <c r="AS3" s="97"/>
      <c r="AT3" s="243"/>
      <c r="AU3" s="243"/>
      <c r="AV3" s="243"/>
      <c r="AW3" s="243"/>
      <c r="AX3" s="243"/>
      <c r="AY3" s="97"/>
      <c r="AZ3" s="97"/>
      <c r="BA3" s="97"/>
      <c r="BB3" s="97"/>
      <c r="BC3" s="18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97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97"/>
      <c r="FL3" s="18"/>
      <c r="FM3" s="18"/>
      <c r="FN3" s="48" t="s">
        <v>54</v>
      </c>
      <c r="FO3" s="20" t="s">
        <v>55</v>
      </c>
      <c r="FP3" s="218"/>
      <c r="FQ3" s="20"/>
      <c r="FR3" s="215"/>
      <c r="FS3" s="21"/>
      <c r="FT3" s="227"/>
      <c r="FU3" s="26"/>
      <c r="GF3" s="780"/>
      <c r="GG3" s="780"/>
      <c r="GH3" s="780"/>
      <c r="GP3" s="48" t="s">
        <v>54</v>
      </c>
      <c r="GQ3" s="20" t="s">
        <v>55</v>
      </c>
    </row>
    <row r="4" spans="1:215" ht="12" customHeight="1" thickBot="1" x14ac:dyDescent="0.35">
      <c r="A4" s="49"/>
      <c r="B4" s="50"/>
      <c r="C4" s="301"/>
      <c r="D4" s="507"/>
      <c r="E4" s="189"/>
      <c r="F4" s="308"/>
      <c r="G4" s="1135"/>
      <c r="H4" s="99"/>
      <c r="I4" s="100"/>
      <c r="J4" s="1319" t="s">
        <v>91</v>
      </c>
      <c r="K4" s="1320"/>
      <c r="L4" s="1320"/>
      <c r="M4" s="1320"/>
      <c r="N4" s="1320"/>
      <c r="O4" s="1320"/>
      <c r="P4" s="1320"/>
      <c r="Q4" s="1320"/>
      <c r="R4" s="1320"/>
      <c r="S4" s="1320"/>
      <c r="T4" s="1320"/>
      <c r="U4" s="1320"/>
      <c r="V4" s="1320"/>
      <c r="W4" s="1320"/>
      <c r="X4" s="1320"/>
      <c r="Y4" s="1320"/>
      <c r="Z4" s="1320"/>
      <c r="AA4" s="1320"/>
      <c r="AB4" s="1320"/>
      <c r="AC4" s="1320"/>
      <c r="AD4" s="1320"/>
      <c r="AE4" s="1320"/>
      <c r="AF4" s="1320"/>
      <c r="AG4" s="1320"/>
      <c r="AH4" s="1320"/>
      <c r="AI4" s="1320"/>
      <c r="AJ4" s="1320"/>
      <c r="AK4" s="1320"/>
      <c r="AL4" s="1320"/>
      <c r="AM4" s="1320"/>
      <c r="AN4" s="1320"/>
      <c r="AO4" s="1320"/>
      <c r="AP4" s="1320"/>
      <c r="AQ4" s="1320"/>
      <c r="AR4" s="1320"/>
      <c r="AS4" s="1320"/>
      <c r="AT4" s="1320"/>
      <c r="AU4" s="1320"/>
      <c r="AV4" s="1320"/>
      <c r="AW4" s="1320"/>
      <c r="AX4" s="1320"/>
      <c r="AY4" s="1320"/>
      <c r="AZ4" s="1320"/>
      <c r="BA4" s="1320"/>
      <c r="BB4" s="1320"/>
      <c r="BC4" s="1320"/>
      <c r="BD4" s="1320"/>
      <c r="BE4" s="1320"/>
      <c r="BF4" s="1320"/>
      <c r="BG4" s="1320"/>
      <c r="BH4" s="1320"/>
      <c r="BI4" s="1320"/>
      <c r="BJ4" s="1320"/>
      <c r="BK4" s="1320"/>
      <c r="BL4" s="1320"/>
      <c r="BM4" s="1320"/>
      <c r="BN4" s="1320"/>
      <c r="BO4" s="1320"/>
      <c r="BP4" s="1320"/>
      <c r="BQ4" s="1320"/>
      <c r="BR4" s="1320"/>
      <c r="BS4" s="1320"/>
      <c r="BT4" s="1320"/>
      <c r="BU4" s="1320"/>
      <c r="BV4" s="1320"/>
      <c r="BW4" s="1320"/>
      <c r="BX4" s="1320"/>
      <c r="BY4" s="1320"/>
      <c r="BZ4" s="1320"/>
      <c r="CA4" s="1320"/>
      <c r="CB4" s="1320"/>
      <c r="CC4" s="1320"/>
      <c r="CD4" s="1320"/>
      <c r="CE4" s="1320"/>
      <c r="CF4" s="1320"/>
      <c r="CG4" s="1320"/>
      <c r="CH4" s="1320"/>
      <c r="CI4" s="1320"/>
      <c r="CJ4" s="1320"/>
      <c r="CK4" s="1320"/>
      <c r="CL4" s="1320"/>
      <c r="CM4" s="1320"/>
      <c r="CN4" s="1320"/>
      <c r="CO4" s="1320"/>
      <c r="CP4" s="1320"/>
      <c r="CQ4" s="1320"/>
      <c r="CR4" s="1320"/>
      <c r="CS4" s="1320"/>
      <c r="CT4" s="1320"/>
      <c r="CU4" s="1320"/>
      <c r="CV4" s="1320"/>
      <c r="CW4" s="1320"/>
      <c r="CX4" s="1320"/>
      <c r="CY4" s="1320"/>
      <c r="CZ4" s="1320"/>
      <c r="DA4" s="1320"/>
      <c r="DB4" s="1320"/>
      <c r="DC4" s="1320"/>
      <c r="DD4" s="1320"/>
      <c r="DE4" s="1320"/>
      <c r="DF4" s="1320"/>
      <c r="DG4" s="1320"/>
      <c r="DH4" s="1320"/>
      <c r="DI4" s="1320"/>
      <c r="DJ4" s="1320"/>
      <c r="DK4" s="1320"/>
      <c r="DL4" s="1320"/>
      <c r="DM4" s="1320"/>
      <c r="DN4" s="1320"/>
      <c r="DO4" s="1320"/>
      <c r="DP4" s="1320"/>
      <c r="DQ4" s="1320"/>
      <c r="DR4" s="1320"/>
      <c r="DS4" s="1320"/>
      <c r="DT4" s="1320"/>
      <c r="DU4" s="1320"/>
      <c r="DV4" s="1320"/>
      <c r="DW4" s="1320"/>
      <c r="DX4" s="1320"/>
      <c r="DY4" s="1320"/>
      <c r="DZ4" s="1320"/>
      <c r="EA4" s="1320"/>
      <c r="EB4" s="1320"/>
      <c r="EC4" s="1320"/>
      <c r="ED4" s="1320"/>
      <c r="EE4" s="1320"/>
      <c r="EF4" s="1320"/>
      <c r="EG4" s="1320"/>
      <c r="EH4" s="1320"/>
      <c r="EI4" s="1320"/>
      <c r="EJ4" s="1320"/>
      <c r="EK4" s="1320"/>
      <c r="EL4" s="1320"/>
      <c r="EM4" s="1320"/>
      <c r="EN4" s="1320"/>
      <c r="EO4" s="1320"/>
      <c r="EP4" s="1320"/>
      <c r="EQ4" s="1320"/>
      <c r="ER4" s="1320"/>
      <c r="ES4" s="1320"/>
      <c r="ET4" s="1320"/>
      <c r="EU4" s="1320"/>
      <c r="EV4" s="1320"/>
      <c r="EW4" s="1320"/>
      <c r="EX4" s="1320"/>
      <c r="EY4" s="1320"/>
      <c r="EZ4" s="1320"/>
      <c r="FA4" s="1320"/>
      <c r="FB4" s="1320"/>
      <c r="FC4" s="1320"/>
      <c r="FD4" s="1320"/>
      <c r="FE4" s="1320"/>
      <c r="FF4" s="1320"/>
      <c r="FG4" s="1320"/>
      <c r="FH4" s="1320"/>
      <c r="FI4" s="1320"/>
      <c r="FJ4" s="1320"/>
      <c r="FK4" s="1320"/>
      <c r="FL4" s="1320"/>
      <c r="FM4" s="1320"/>
      <c r="FN4" s="1320"/>
      <c r="FO4" s="1320"/>
      <c r="FP4" s="1320"/>
      <c r="FQ4" s="1320"/>
      <c r="FR4" s="1320"/>
      <c r="FS4" s="1320"/>
      <c r="FT4" s="1320"/>
      <c r="FU4" s="1320"/>
      <c r="FV4" s="1320"/>
      <c r="FW4" s="1320"/>
      <c r="FX4" s="1320"/>
      <c r="FY4" s="1320"/>
      <c r="FZ4" s="1320"/>
      <c r="GA4" s="1321"/>
      <c r="GB4" s="101"/>
      <c r="GC4" s="1365" t="s">
        <v>90</v>
      </c>
      <c r="GD4" s="1316"/>
      <c r="GE4" s="1316"/>
      <c r="GF4" s="1316"/>
      <c r="GG4" s="1316"/>
      <c r="GH4" s="1316"/>
      <c r="GI4" s="1317" t="s">
        <v>230</v>
      </c>
      <c r="GJ4" s="1318"/>
      <c r="GK4" s="1318"/>
      <c r="GL4" s="1318"/>
      <c r="GM4" s="1318"/>
      <c r="GN4" s="431"/>
      <c r="GO4" s="83"/>
      <c r="GP4" s="84"/>
      <c r="GQ4" s="219"/>
      <c r="GR4" s="84"/>
      <c r="GS4" s="85"/>
      <c r="GT4" s="228"/>
      <c r="GU4" s="88"/>
      <c r="GV4" s="88"/>
      <c r="GW4" s="88"/>
      <c r="GX4" s="88"/>
      <c r="GY4" s="88"/>
      <c r="GZ4" s="88"/>
      <c r="HA4" s="88"/>
      <c r="HB4" s="88"/>
      <c r="HC4" s="88"/>
      <c r="HD4" s="88"/>
      <c r="HE4" s="88"/>
      <c r="HF4" s="88"/>
      <c r="HG4" s="88"/>
    </row>
    <row r="5" spans="1:215" ht="18" customHeight="1" thickBot="1" x14ac:dyDescent="0.35">
      <c r="A5" s="1322" t="s">
        <v>0</v>
      </c>
      <c r="B5" s="1325" t="s">
        <v>1</v>
      </c>
      <c r="C5" s="1324" t="s">
        <v>2</v>
      </c>
      <c r="D5" s="1324"/>
      <c r="E5" s="1324"/>
      <c r="F5" s="1324"/>
      <c r="G5" s="1363" t="s">
        <v>88</v>
      </c>
      <c r="H5" s="1340"/>
      <c r="I5" s="1340"/>
      <c r="J5" s="1344" t="s">
        <v>104</v>
      </c>
      <c r="K5" s="244">
        <v>1</v>
      </c>
      <c r="L5" s="244">
        <v>1</v>
      </c>
      <c r="M5" s="256">
        <v>3</v>
      </c>
      <c r="N5" s="256">
        <v>4</v>
      </c>
      <c r="O5" s="256">
        <v>6</v>
      </c>
      <c r="P5" s="256">
        <v>7</v>
      </c>
      <c r="Q5" s="256">
        <v>8</v>
      </c>
      <c r="R5" s="256">
        <v>12</v>
      </c>
      <c r="S5" s="256">
        <v>16</v>
      </c>
      <c r="T5" s="256">
        <v>18</v>
      </c>
      <c r="U5" s="256">
        <v>17</v>
      </c>
      <c r="V5" s="256">
        <v>14</v>
      </c>
      <c r="W5" s="256">
        <v>15</v>
      </c>
      <c r="X5" s="256">
        <v>18</v>
      </c>
      <c r="Y5" s="256">
        <v>17</v>
      </c>
      <c r="Z5" s="256">
        <v>27</v>
      </c>
      <c r="AA5" s="256">
        <v>13</v>
      </c>
      <c r="AB5" s="256">
        <v>16</v>
      </c>
      <c r="AC5" s="244">
        <v>1</v>
      </c>
      <c r="AD5" s="256">
        <v>36</v>
      </c>
      <c r="AE5" s="256">
        <v>26</v>
      </c>
      <c r="AF5" s="244">
        <v>29</v>
      </c>
      <c r="AG5" s="256">
        <v>35</v>
      </c>
      <c r="AH5" s="256">
        <v>39</v>
      </c>
      <c r="AI5" s="256">
        <v>39</v>
      </c>
      <c r="AJ5" s="256">
        <v>46</v>
      </c>
      <c r="AK5" s="256">
        <v>47</v>
      </c>
      <c r="AL5" s="256">
        <v>31</v>
      </c>
      <c r="AM5" s="256">
        <v>44</v>
      </c>
      <c r="AN5" s="256">
        <v>51</v>
      </c>
      <c r="AO5" s="256">
        <v>41</v>
      </c>
      <c r="AP5" s="256">
        <v>50</v>
      </c>
      <c r="AQ5" s="256">
        <v>58</v>
      </c>
      <c r="AR5" s="256">
        <v>57</v>
      </c>
      <c r="AS5" s="256">
        <v>59</v>
      </c>
      <c r="AT5" s="937">
        <v>12</v>
      </c>
      <c r="AU5" s="937">
        <v>25</v>
      </c>
      <c r="AV5" s="937">
        <v>24</v>
      </c>
      <c r="AW5" s="256">
        <v>21</v>
      </c>
      <c r="AX5" s="256">
        <v>63</v>
      </c>
      <c r="AY5" s="256">
        <v>22</v>
      </c>
      <c r="AZ5" s="937">
        <v>66</v>
      </c>
      <c r="BA5" s="256">
        <v>23</v>
      </c>
      <c r="BB5" s="256">
        <v>64</v>
      </c>
      <c r="BC5" s="256">
        <v>70</v>
      </c>
      <c r="BD5" s="256">
        <v>7</v>
      </c>
      <c r="BE5" s="256">
        <v>69</v>
      </c>
      <c r="BF5" s="256">
        <v>57</v>
      </c>
      <c r="BG5" s="256">
        <v>76</v>
      </c>
      <c r="BH5" s="256">
        <v>61</v>
      </c>
      <c r="BI5" s="256">
        <v>40</v>
      </c>
      <c r="BJ5" s="103">
        <v>75</v>
      </c>
      <c r="BK5" s="103">
        <v>75</v>
      </c>
      <c r="BL5" s="256">
        <v>57</v>
      </c>
      <c r="BM5" s="244">
        <v>29</v>
      </c>
      <c r="BN5" s="256">
        <v>73</v>
      </c>
      <c r="BO5" s="244">
        <v>72</v>
      </c>
      <c r="BP5" s="103">
        <v>75</v>
      </c>
      <c r="BQ5" s="256">
        <v>77</v>
      </c>
      <c r="BR5" s="103">
        <v>11</v>
      </c>
      <c r="BS5" s="103">
        <v>27</v>
      </c>
      <c r="BT5" s="256">
        <v>61</v>
      </c>
      <c r="BU5" s="256">
        <v>79</v>
      </c>
      <c r="BV5" s="256">
        <v>81</v>
      </c>
      <c r="BW5" s="256">
        <v>83</v>
      </c>
      <c r="BX5" s="256">
        <v>84</v>
      </c>
      <c r="BY5" s="256">
        <v>16</v>
      </c>
      <c r="BZ5" s="256">
        <v>17</v>
      </c>
      <c r="CA5" s="1347" t="s">
        <v>94</v>
      </c>
      <c r="CB5" s="1344" t="s">
        <v>105</v>
      </c>
      <c r="CC5" s="256">
        <v>7</v>
      </c>
      <c r="CD5" s="256">
        <v>92</v>
      </c>
      <c r="CE5" s="256">
        <v>15</v>
      </c>
      <c r="CF5" s="256">
        <v>46</v>
      </c>
      <c r="CG5" s="256">
        <v>90</v>
      </c>
      <c r="CH5" s="256">
        <v>40</v>
      </c>
      <c r="CI5" s="256">
        <v>13</v>
      </c>
      <c r="CJ5" s="256">
        <v>91</v>
      </c>
      <c r="CK5" s="244">
        <v>1</v>
      </c>
      <c r="CL5" s="256">
        <v>97</v>
      </c>
      <c r="CM5" s="256">
        <v>95</v>
      </c>
      <c r="CN5" s="256">
        <v>15</v>
      </c>
      <c r="CO5" s="256">
        <v>101</v>
      </c>
      <c r="CP5" s="256">
        <v>103</v>
      </c>
      <c r="CQ5" s="256">
        <v>102</v>
      </c>
      <c r="CR5" s="256">
        <v>105</v>
      </c>
      <c r="CS5" s="256">
        <v>106</v>
      </c>
      <c r="CT5" s="244">
        <v>107</v>
      </c>
      <c r="CU5" s="256">
        <v>45</v>
      </c>
      <c r="CV5" s="256">
        <v>111</v>
      </c>
      <c r="CW5" s="256">
        <v>44</v>
      </c>
      <c r="CX5" s="256">
        <v>113</v>
      </c>
      <c r="CY5" s="256">
        <v>110</v>
      </c>
      <c r="CZ5" s="256">
        <v>110</v>
      </c>
      <c r="DA5" s="256">
        <v>112</v>
      </c>
      <c r="DB5" s="256">
        <v>116</v>
      </c>
      <c r="DC5" s="937">
        <v>109</v>
      </c>
      <c r="DD5" s="937">
        <v>129</v>
      </c>
      <c r="DE5" s="937">
        <v>129</v>
      </c>
      <c r="DF5" s="256">
        <v>123</v>
      </c>
      <c r="DG5" s="256">
        <v>117</v>
      </c>
      <c r="DH5" s="256">
        <v>128</v>
      </c>
      <c r="DI5" s="256">
        <v>130</v>
      </c>
      <c r="DJ5" s="244">
        <v>135</v>
      </c>
      <c r="DK5" s="256">
        <v>131</v>
      </c>
      <c r="DL5" s="256">
        <v>137</v>
      </c>
      <c r="DM5" s="256">
        <v>140</v>
      </c>
      <c r="DN5" s="256">
        <v>138</v>
      </c>
      <c r="DO5" s="256">
        <v>139</v>
      </c>
      <c r="DP5" s="256">
        <v>141</v>
      </c>
      <c r="DQ5" s="937">
        <v>142</v>
      </c>
      <c r="DR5" s="937">
        <v>143</v>
      </c>
      <c r="DS5" s="937">
        <v>145</v>
      </c>
      <c r="DT5" s="937">
        <v>144</v>
      </c>
      <c r="DU5" s="1347" t="s">
        <v>95</v>
      </c>
      <c r="DV5" s="1349" t="s">
        <v>106</v>
      </c>
      <c r="DW5" s="256">
        <v>148</v>
      </c>
      <c r="DX5" s="256">
        <v>149</v>
      </c>
      <c r="DY5" s="256">
        <v>141</v>
      </c>
      <c r="DZ5" s="256">
        <v>150</v>
      </c>
      <c r="EA5" s="256">
        <v>151</v>
      </c>
      <c r="EB5" s="256">
        <v>157</v>
      </c>
      <c r="EC5" s="256">
        <v>160</v>
      </c>
      <c r="ED5" s="256">
        <v>159</v>
      </c>
      <c r="EE5" s="256">
        <v>164</v>
      </c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W5" s="256"/>
      <c r="EX5" s="256"/>
      <c r="EY5" s="256"/>
      <c r="EZ5" s="256"/>
      <c r="FA5" s="256"/>
      <c r="FB5" s="256"/>
      <c r="FC5" s="256"/>
      <c r="FD5" s="256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1347" t="s">
        <v>95</v>
      </c>
      <c r="GB5" s="105"/>
      <c r="GC5" s="391"/>
      <c r="GD5" s="256">
        <v>155</v>
      </c>
      <c r="GE5" s="256">
        <v>166</v>
      </c>
      <c r="GF5" s="256">
        <v>167</v>
      </c>
      <c r="GG5" s="256">
        <v>168</v>
      </c>
      <c r="GH5" s="256">
        <v>171</v>
      </c>
      <c r="GI5" s="104"/>
      <c r="GJ5" s="103"/>
      <c r="GK5" s="103"/>
      <c r="GL5" s="103"/>
      <c r="GM5" s="1233"/>
      <c r="GN5" s="432"/>
      <c r="GO5" s="1370" t="s">
        <v>154</v>
      </c>
      <c r="GP5" s="1311" t="s">
        <v>39</v>
      </c>
      <c r="GQ5" s="1374" t="s">
        <v>38</v>
      </c>
      <c r="GR5" s="1376" t="s">
        <v>107</v>
      </c>
      <c r="GS5" s="1359" t="s">
        <v>89</v>
      </c>
      <c r="GT5" s="1367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</row>
    <row r="6" spans="1:215" ht="64.5" customHeight="1" thickBot="1" x14ac:dyDescent="0.35">
      <c r="A6" s="1323"/>
      <c r="B6" s="1362"/>
      <c r="C6" s="302" t="s">
        <v>107</v>
      </c>
      <c r="D6" s="677" t="s">
        <v>104</v>
      </c>
      <c r="E6" s="190" t="s">
        <v>105</v>
      </c>
      <c r="F6" s="309" t="s">
        <v>106</v>
      </c>
      <c r="G6" s="1364"/>
      <c r="H6" s="171" t="s">
        <v>69</v>
      </c>
      <c r="I6" s="172" t="s">
        <v>93</v>
      </c>
      <c r="J6" s="1345"/>
      <c r="K6" s="249" t="s">
        <v>538</v>
      </c>
      <c r="L6" s="249" t="s">
        <v>559</v>
      </c>
      <c r="M6" s="399" t="s">
        <v>560</v>
      </c>
      <c r="N6" s="399" t="s">
        <v>561</v>
      </c>
      <c r="O6" s="399" t="s">
        <v>567</v>
      </c>
      <c r="P6" s="399" t="s">
        <v>311</v>
      </c>
      <c r="Q6" s="399" t="s">
        <v>562</v>
      </c>
      <c r="R6" s="399" t="s">
        <v>568</v>
      </c>
      <c r="S6" s="399" t="s">
        <v>266</v>
      </c>
      <c r="T6" s="399" t="s">
        <v>357</v>
      </c>
      <c r="U6" s="399" t="s">
        <v>264</v>
      </c>
      <c r="V6" s="399" t="s">
        <v>569</v>
      </c>
      <c r="W6" s="399" t="s">
        <v>302</v>
      </c>
      <c r="X6" s="399" t="s">
        <v>364</v>
      </c>
      <c r="Y6" s="399" t="s">
        <v>541</v>
      </c>
      <c r="Z6" s="399" t="s">
        <v>310</v>
      </c>
      <c r="AA6" s="399" t="s">
        <v>205</v>
      </c>
      <c r="AB6" s="399" t="s">
        <v>363</v>
      </c>
      <c r="AC6" s="249" t="s">
        <v>538</v>
      </c>
      <c r="AD6" s="399" t="s">
        <v>573</v>
      </c>
      <c r="AE6" s="399" t="s">
        <v>421</v>
      </c>
      <c r="AF6" s="249" t="s">
        <v>547</v>
      </c>
      <c r="AG6" s="399" t="s">
        <v>402</v>
      </c>
      <c r="AH6" s="399" t="s">
        <v>375</v>
      </c>
      <c r="AI6" s="399" t="s">
        <v>375</v>
      </c>
      <c r="AJ6" s="399" t="s">
        <v>331</v>
      </c>
      <c r="AK6" s="249" t="s">
        <v>299</v>
      </c>
      <c r="AL6" s="399" t="s">
        <v>571</v>
      </c>
      <c r="AM6" s="399" t="s">
        <v>496</v>
      </c>
      <c r="AN6" s="399" t="s">
        <v>481</v>
      </c>
      <c r="AO6" s="399" t="s">
        <v>294</v>
      </c>
      <c r="AP6" s="399" t="s">
        <v>575</v>
      </c>
      <c r="AQ6" s="399" t="s">
        <v>479</v>
      </c>
      <c r="AR6" s="399" t="s">
        <v>576</v>
      </c>
      <c r="AS6" s="399" t="s">
        <v>480</v>
      </c>
      <c r="AT6" s="399" t="s">
        <v>570</v>
      </c>
      <c r="AU6" s="399" t="s">
        <v>579</v>
      </c>
      <c r="AV6" s="399" t="s">
        <v>574</v>
      </c>
      <c r="AW6" s="399" t="s">
        <v>583</v>
      </c>
      <c r="AX6" s="399" t="s">
        <v>401</v>
      </c>
      <c r="AY6" s="399" t="s">
        <v>148</v>
      </c>
      <c r="AZ6" s="399" t="s">
        <v>404</v>
      </c>
      <c r="BA6" s="399" t="s">
        <v>108</v>
      </c>
      <c r="BB6" s="399" t="s">
        <v>386</v>
      </c>
      <c r="BC6" s="399" t="s">
        <v>585</v>
      </c>
      <c r="BD6" s="399" t="s">
        <v>179</v>
      </c>
      <c r="BE6" s="399" t="s">
        <v>584</v>
      </c>
      <c r="BF6" s="399" t="s">
        <v>589</v>
      </c>
      <c r="BG6" s="399" t="s">
        <v>593</v>
      </c>
      <c r="BH6" s="399" t="s">
        <v>590</v>
      </c>
      <c r="BI6" s="399" t="s">
        <v>478</v>
      </c>
      <c r="BJ6" s="249" t="s">
        <v>545</v>
      </c>
      <c r="BK6" s="399" t="s">
        <v>545</v>
      </c>
      <c r="BL6" s="399" t="s">
        <v>576</v>
      </c>
      <c r="BM6" s="249" t="s">
        <v>547</v>
      </c>
      <c r="BN6" s="399" t="s">
        <v>587</v>
      </c>
      <c r="BO6" s="249" t="s">
        <v>586</v>
      </c>
      <c r="BP6" s="249" t="s">
        <v>545</v>
      </c>
      <c r="BQ6" s="399" t="s">
        <v>594</v>
      </c>
      <c r="BR6" s="399" t="s">
        <v>544</v>
      </c>
      <c r="BS6" s="249" t="s">
        <v>588</v>
      </c>
      <c r="BT6" s="399" t="s">
        <v>596</v>
      </c>
      <c r="BU6" s="399" t="s">
        <v>597</v>
      </c>
      <c r="BV6" s="399" t="s">
        <v>539</v>
      </c>
      <c r="BW6" s="399" t="s">
        <v>598</v>
      </c>
      <c r="BX6" s="399" t="s">
        <v>177</v>
      </c>
      <c r="BY6" s="399" t="s">
        <v>266</v>
      </c>
      <c r="BZ6" s="399" t="s">
        <v>264</v>
      </c>
      <c r="CA6" s="1348"/>
      <c r="CB6" s="1345"/>
      <c r="CC6" s="399" t="s">
        <v>311</v>
      </c>
      <c r="CD6" s="399" t="s">
        <v>599</v>
      </c>
      <c r="CE6" s="399" t="s">
        <v>302</v>
      </c>
      <c r="CF6" s="399" t="s">
        <v>331</v>
      </c>
      <c r="CG6" s="399" t="s">
        <v>522</v>
      </c>
      <c r="CH6" s="399" t="s">
        <v>478</v>
      </c>
      <c r="CI6" s="399" t="s">
        <v>205</v>
      </c>
      <c r="CJ6" s="399" t="s">
        <v>625</v>
      </c>
      <c r="CK6" s="249" t="s">
        <v>538</v>
      </c>
      <c r="CL6" s="399" t="s">
        <v>498</v>
      </c>
      <c r="CM6" s="399" t="s">
        <v>549</v>
      </c>
      <c r="CN6" s="399" t="s">
        <v>356</v>
      </c>
      <c r="CO6" s="399" t="s">
        <v>601</v>
      </c>
      <c r="CP6" s="399" t="s">
        <v>603</v>
      </c>
      <c r="CQ6" s="399" t="s">
        <v>602</v>
      </c>
      <c r="CR6" s="399" t="s">
        <v>605</v>
      </c>
      <c r="CS6" s="399" t="s">
        <v>382</v>
      </c>
      <c r="CT6" s="249" t="s">
        <v>586</v>
      </c>
      <c r="CU6" s="399" t="s">
        <v>108</v>
      </c>
      <c r="CV6" s="399" t="s">
        <v>610</v>
      </c>
      <c r="CW6" s="399" t="s">
        <v>606</v>
      </c>
      <c r="CX6" s="399" t="s">
        <v>607</v>
      </c>
      <c r="CY6" s="399" t="s">
        <v>611</v>
      </c>
      <c r="CZ6" s="399" t="s">
        <v>609</v>
      </c>
      <c r="DA6" s="399" t="s">
        <v>612</v>
      </c>
      <c r="DB6" s="399" t="s">
        <v>608</v>
      </c>
      <c r="DC6" s="399" t="s">
        <v>613</v>
      </c>
      <c r="DD6" s="399" t="s">
        <v>604</v>
      </c>
      <c r="DE6" s="399" t="s">
        <v>604</v>
      </c>
      <c r="DF6" s="399" t="s">
        <v>614</v>
      </c>
      <c r="DG6" s="399" t="s">
        <v>594</v>
      </c>
      <c r="DH6" s="399" t="s">
        <v>615</v>
      </c>
      <c r="DI6" s="399" t="s">
        <v>616</v>
      </c>
      <c r="DJ6" s="399" t="s">
        <v>618</v>
      </c>
      <c r="DK6" s="399" t="s">
        <v>601</v>
      </c>
      <c r="DL6" s="399" t="s">
        <v>620</v>
      </c>
      <c r="DM6" s="399" t="s">
        <v>621</v>
      </c>
      <c r="DN6" s="399" t="s">
        <v>619</v>
      </c>
      <c r="DO6" s="399" t="s">
        <v>605</v>
      </c>
      <c r="DP6" s="399" t="s">
        <v>357</v>
      </c>
      <c r="DQ6" s="399" t="s">
        <v>622</v>
      </c>
      <c r="DR6" s="399" t="s">
        <v>623</v>
      </c>
      <c r="DS6" s="399" t="s">
        <v>624</v>
      </c>
      <c r="DT6" s="399" t="s">
        <v>604</v>
      </c>
      <c r="DU6" s="1348"/>
      <c r="DV6" s="1350"/>
      <c r="DW6" s="399" t="s">
        <v>311</v>
      </c>
      <c r="DX6" s="399" t="s">
        <v>625</v>
      </c>
      <c r="DY6" s="399" t="s">
        <v>628</v>
      </c>
      <c r="DZ6" s="399" t="s">
        <v>626</v>
      </c>
      <c r="EA6" s="249" t="s">
        <v>358</v>
      </c>
      <c r="EB6" s="399" t="s">
        <v>629</v>
      </c>
      <c r="EC6" s="399" t="s">
        <v>264</v>
      </c>
      <c r="ED6" s="399" t="s">
        <v>631</v>
      </c>
      <c r="EE6" s="399" t="s">
        <v>632</v>
      </c>
      <c r="EF6" s="399"/>
      <c r="EG6" s="399"/>
      <c r="EH6" s="399"/>
      <c r="EI6" s="399"/>
      <c r="EJ6" s="399"/>
      <c r="EK6" s="399"/>
      <c r="EL6" s="399"/>
      <c r="EM6" s="399"/>
      <c r="EN6" s="399"/>
      <c r="EO6" s="399"/>
      <c r="EP6" s="399"/>
      <c r="EQ6" s="399"/>
      <c r="ER6" s="399"/>
      <c r="ES6" s="399"/>
      <c r="ET6" s="399"/>
      <c r="EU6" s="399"/>
      <c r="EV6" s="399"/>
      <c r="EW6" s="399"/>
      <c r="EX6" s="399"/>
      <c r="EY6" s="399"/>
      <c r="EZ6" s="399"/>
      <c r="FA6" s="249"/>
      <c r="FB6" s="399"/>
      <c r="FC6" s="399"/>
      <c r="FD6" s="249"/>
      <c r="FE6" s="249"/>
      <c r="FF6" s="399"/>
      <c r="FG6" s="399"/>
      <c r="FH6" s="399"/>
      <c r="FI6" s="249"/>
      <c r="FJ6" s="249"/>
      <c r="FK6" s="399"/>
      <c r="FL6" s="399"/>
      <c r="FM6" s="399"/>
      <c r="FN6" s="399"/>
      <c r="FO6" s="399"/>
      <c r="FP6" s="399"/>
      <c r="FQ6" s="399"/>
      <c r="FR6" s="399"/>
      <c r="FS6" s="399"/>
      <c r="FT6" s="399"/>
      <c r="FU6" s="399"/>
      <c r="FV6" s="399"/>
      <c r="FW6" s="399"/>
      <c r="FX6" s="399"/>
      <c r="FY6" s="399"/>
      <c r="FZ6" s="399"/>
      <c r="GA6" s="1348"/>
      <c r="GB6" s="173"/>
      <c r="GC6" s="784"/>
      <c r="GD6" s="398" t="s">
        <v>630</v>
      </c>
      <c r="GE6" s="398" t="s">
        <v>627</v>
      </c>
      <c r="GF6" s="398" t="s">
        <v>634</v>
      </c>
      <c r="GG6" s="398" t="s">
        <v>635</v>
      </c>
      <c r="GH6" s="398" t="s">
        <v>636</v>
      </c>
      <c r="GI6" s="844"/>
      <c r="GJ6" s="398"/>
      <c r="GK6" s="398"/>
      <c r="GL6" s="400"/>
      <c r="GM6" s="397"/>
      <c r="GN6" s="849" t="s">
        <v>132</v>
      </c>
      <c r="GO6" s="1371"/>
      <c r="GP6" s="1312"/>
      <c r="GQ6" s="1375"/>
      <c r="GR6" s="1377"/>
      <c r="GS6" s="1360"/>
      <c r="GT6" s="1368"/>
      <c r="GU6" s="561" t="s">
        <v>175</v>
      </c>
      <c r="GV6" s="174"/>
      <c r="GW6" s="174"/>
      <c r="GX6" s="174"/>
      <c r="GY6" s="174"/>
      <c r="GZ6" s="174"/>
      <c r="HA6" s="174"/>
      <c r="HB6" s="174"/>
      <c r="HC6" s="174"/>
      <c r="HD6" s="174"/>
      <c r="HE6" s="174"/>
      <c r="HF6" s="174"/>
      <c r="HG6" s="174"/>
    </row>
    <row r="7" spans="1:215" ht="18" customHeight="1" thickBot="1" x14ac:dyDescent="0.35">
      <c r="A7" s="1323"/>
      <c r="B7" s="675" t="s">
        <v>50</v>
      </c>
      <c r="C7" s="303"/>
      <c r="D7" s="1330">
        <v>2026</v>
      </c>
      <c r="E7" s="1330"/>
      <c r="F7" s="1331"/>
      <c r="G7" s="1136"/>
      <c r="H7" s="320">
        <v>46174</v>
      </c>
      <c r="I7" s="140">
        <v>46181</v>
      </c>
      <c r="J7" s="1346"/>
      <c r="K7" s="34">
        <v>46113</v>
      </c>
      <c r="L7" s="34">
        <v>46113</v>
      </c>
      <c r="M7" s="34">
        <v>46114</v>
      </c>
      <c r="N7" s="34">
        <v>46114</v>
      </c>
      <c r="O7" s="34">
        <v>46115</v>
      </c>
      <c r="P7" s="34">
        <v>46115</v>
      </c>
      <c r="Q7" s="34">
        <v>46115</v>
      </c>
      <c r="R7" s="34">
        <v>46118</v>
      </c>
      <c r="S7" s="34">
        <v>46118</v>
      </c>
      <c r="T7" s="34">
        <v>46119</v>
      </c>
      <c r="U7" s="34">
        <v>46119</v>
      </c>
      <c r="V7" s="34">
        <v>46119</v>
      </c>
      <c r="W7" s="34">
        <v>46119</v>
      </c>
      <c r="X7" s="34">
        <v>46120</v>
      </c>
      <c r="Y7" s="34">
        <v>46120</v>
      </c>
      <c r="Z7" s="34">
        <v>46120</v>
      </c>
      <c r="AA7" s="34">
        <v>46120</v>
      </c>
      <c r="AB7" s="34">
        <v>46120</v>
      </c>
      <c r="AC7" s="34">
        <v>46120</v>
      </c>
      <c r="AD7" s="34">
        <v>46121</v>
      </c>
      <c r="AE7" s="34">
        <v>46121</v>
      </c>
      <c r="AF7" s="34">
        <v>46121</v>
      </c>
      <c r="AG7" s="34">
        <v>46121</v>
      </c>
      <c r="AH7" s="34">
        <v>46121</v>
      </c>
      <c r="AI7" s="34">
        <v>46122</v>
      </c>
      <c r="AJ7" s="34">
        <v>46125</v>
      </c>
      <c r="AK7" s="34">
        <v>46126</v>
      </c>
      <c r="AL7" s="34">
        <v>46126</v>
      </c>
      <c r="AM7" s="34">
        <v>46126</v>
      </c>
      <c r="AN7" s="34">
        <v>46126</v>
      </c>
      <c r="AO7" s="34">
        <v>46126</v>
      </c>
      <c r="AP7" s="34">
        <v>46126</v>
      </c>
      <c r="AQ7" s="34">
        <v>46127</v>
      </c>
      <c r="AR7" s="34">
        <v>46127</v>
      </c>
      <c r="AS7" s="34">
        <v>46127</v>
      </c>
      <c r="AT7" s="34">
        <v>46127</v>
      </c>
      <c r="AU7" s="34">
        <v>46128</v>
      </c>
      <c r="AV7" s="34">
        <v>46128</v>
      </c>
      <c r="AW7" s="34">
        <v>46128</v>
      </c>
      <c r="AX7" s="34">
        <v>46134</v>
      </c>
      <c r="AY7" s="34">
        <v>46134</v>
      </c>
      <c r="AZ7" s="34">
        <v>46134</v>
      </c>
      <c r="BA7" s="34">
        <v>46134</v>
      </c>
      <c r="BB7" s="34">
        <v>46134</v>
      </c>
      <c r="BC7" s="34">
        <v>46134</v>
      </c>
      <c r="BD7" s="34">
        <v>46135</v>
      </c>
      <c r="BE7" s="34">
        <v>46135</v>
      </c>
      <c r="BF7" s="34">
        <v>46135</v>
      </c>
      <c r="BG7" s="34">
        <v>46135</v>
      </c>
      <c r="BH7" s="34">
        <v>46135</v>
      </c>
      <c r="BI7" s="89">
        <v>46135</v>
      </c>
      <c r="BJ7" s="34">
        <v>46136</v>
      </c>
      <c r="BK7" s="89">
        <v>46137</v>
      </c>
      <c r="BL7" s="34">
        <v>46137</v>
      </c>
      <c r="BM7" s="34">
        <v>46137</v>
      </c>
      <c r="BN7" s="34">
        <v>46137</v>
      </c>
      <c r="BO7" s="34">
        <v>46137</v>
      </c>
      <c r="BP7" s="34">
        <v>46139</v>
      </c>
      <c r="BQ7" s="34">
        <v>46139</v>
      </c>
      <c r="BR7" s="89">
        <v>46140</v>
      </c>
      <c r="BS7" s="89">
        <v>46140</v>
      </c>
      <c r="BT7" s="34">
        <v>46141</v>
      </c>
      <c r="BU7" s="34">
        <v>46141</v>
      </c>
      <c r="BV7" s="34">
        <v>46141</v>
      </c>
      <c r="BW7" s="34">
        <v>46141</v>
      </c>
      <c r="BX7" s="34">
        <v>46141</v>
      </c>
      <c r="BY7" s="34">
        <v>46142</v>
      </c>
      <c r="BZ7" s="34">
        <v>46142</v>
      </c>
      <c r="CA7" s="157" t="str">
        <f>J5</f>
        <v>апрель</v>
      </c>
      <c r="CB7" s="1346"/>
      <c r="CC7" s="34">
        <v>46146</v>
      </c>
      <c r="CD7" s="34">
        <v>46146</v>
      </c>
      <c r="CE7" s="34">
        <v>46146</v>
      </c>
      <c r="CF7" s="34">
        <v>46147</v>
      </c>
      <c r="CG7" s="34">
        <v>46147</v>
      </c>
      <c r="CH7" s="34">
        <v>46148</v>
      </c>
      <c r="CI7" s="34">
        <v>46148</v>
      </c>
      <c r="CJ7" s="34">
        <v>46148</v>
      </c>
      <c r="CK7" s="34">
        <v>46148</v>
      </c>
      <c r="CL7" s="34">
        <v>46149</v>
      </c>
      <c r="CM7" s="34">
        <v>46149</v>
      </c>
      <c r="CN7" s="34">
        <v>46150</v>
      </c>
      <c r="CO7" s="34">
        <v>46154</v>
      </c>
      <c r="CP7" s="34">
        <v>46154</v>
      </c>
      <c r="CQ7" s="34">
        <v>46155</v>
      </c>
      <c r="CR7" s="34">
        <v>46156</v>
      </c>
      <c r="CS7" s="34">
        <v>46156</v>
      </c>
      <c r="CT7" s="34">
        <v>46157</v>
      </c>
      <c r="CU7" s="34">
        <v>46157</v>
      </c>
      <c r="CV7" s="34">
        <v>46160</v>
      </c>
      <c r="CW7" s="34">
        <v>46160</v>
      </c>
      <c r="CX7" s="34">
        <v>46160</v>
      </c>
      <c r="CY7" s="34">
        <v>46160</v>
      </c>
      <c r="CZ7" s="34">
        <v>46161</v>
      </c>
      <c r="DA7" s="34">
        <v>46161</v>
      </c>
      <c r="DB7" s="34">
        <v>46161</v>
      </c>
      <c r="DC7" s="34">
        <v>46163</v>
      </c>
      <c r="DD7" s="34">
        <v>46163</v>
      </c>
      <c r="DE7" s="34">
        <v>46164</v>
      </c>
      <c r="DF7" s="34">
        <v>46164</v>
      </c>
      <c r="DG7" s="34">
        <v>46164</v>
      </c>
      <c r="DH7" s="34">
        <v>46164</v>
      </c>
      <c r="DI7" s="34">
        <v>46164</v>
      </c>
      <c r="DJ7" s="34">
        <v>46168</v>
      </c>
      <c r="DK7" s="34">
        <v>46168</v>
      </c>
      <c r="DL7" s="34">
        <v>46169</v>
      </c>
      <c r="DM7" s="34">
        <v>46169</v>
      </c>
      <c r="DN7" s="34">
        <v>46170</v>
      </c>
      <c r="DO7" s="34">
        <v>46170</v>
      </c>
      <c r="DP7" s="34">
        <v>46170</v>
      </c>
      <c r="DQ7" s="34">
        <v>46170</v>
      </c>
      <c r="DR7" s="34">
        <v>46170</v>
      </c>
      <c r="DS7" s="34">
        <v>46170</v>
      </c>
      <c r="DT7" s="34">
        <v>46171</v>
      </c>
      <c r="DU7" s="157" t="str">
        <f>CB5</f>
        <v>май</v>
      </c>
      <c r="DV7" s="1351"/>
      <c r="DW7" s="34">
        <v>46174</v>
      </c>
      <c r="DX7" s="34">
        <v>46174</v>
      </c>
      <c r="DY7" s="34">
        <v>46175</v>
      </c>
      <c r="DZ7" s="34">
        <v>46175</v>
      </c>
      <c r="EA7" s="34">
        <v>46176</v>
      </c>
      <c r="EB7" s="34">
        <v>46178</v>
      </c>
      <c r="EC7" s="34">
        <v>46178</v>
      </c>
      <c r="ED7" s="34">
        <v>46181</v>
      </c>
      <c r="EE7" s="34">
        <v>46181</v>
      </c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659"/>
      <c r="FF7" s="659"/>
      <c r="FG7" s="659"/>
      <c r="FH7" s="659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157" t="str">
        <f>DV5</f>
        <v>июнь</v>
      </c>
      <c r="GB7" s="95"/>
      <c r="GC7" s="785"/>
      <c r="GD7" s="658">
        <v>46182</v>
      </c>
      <c r="GE7" s="658">
        <v>46182</v>
      </c>
      <c r="GF7" s="658">
        <v>46182</v>
      </c>
      <c r="GG7" s="658">
        <v>46183</v>
      </c>
      <c r="GH7" s="658">
        <v>46183</v>
      </c>
      <c r="GI7" s="1227"/>
      <c r="GJ7" s="359"/>
      <c r="GK7" s="359"/>
      <c r="GL7" s="359"/>
      <c r="GM7" s="430"/>
      <c r="GN7" s="434"/>
      <c r="GO7" s="1372"/>
      <c r="GP7" s="1373"/>
      <c r="GQ7" s="444">
        <f>I7</f>
        <v>46181</v>
      </c>
      <c r="GR7" s="1378"/>
      <c r="GS7" s="1379"/>
      <c r="GT7" s="1368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</row>
    <row r="8" spans="1:215" ht="18" customHeight="1" thickBot="1" x14ac:dyDescent="0.35">
      <c r="A8" s="1323"/>
      <c r="B8" s="676" t="s">
        <v>49</v>
      </c>
      <c r="C8" s="796"/>
      <c r="D8" s="678">
        <f>CA8</f>
        <v>136.69999999999993</v>
      </c>
      <c r="E8" s="252">
        <f>DU8</f>
        <v>99.6</v>
      </c>
      <c r="F8" s="671">
        <f>GA8</f>
        <v>19.5</v>
      </c>
      <c r="G8" s="885"/>
      <c r="H8" s="886"/>
      <c r="I8" s="886"/>
      <c r="J8" s="134"/>
      <c r="K8" s="384">
        <f>1*3</f>
        <v>3</v>
      </c>
      <c r="L8" s="384">
        <v>0.6</v>
      </c>
      <c r="M8" s="876">
        <f>1*5</f>
        <v>5</v>
      </c>
      <c r="N8" s="876">
        <f>1*5</f>
        <v>5</v>
      </c>
      <c r="O8" s="876">
        <f>1*2.7</f>
        <v>2.7</v>
      </c>
      <c r="P8" s="876">
        <f>1*2.4</f>
        <v>2.4</v>
      </c>
      <c r="Q8" s="876">
        <f>1*0.6</f>
        <v>0.6</v>
      </c>
      <c r="R8" s="876">
        <v>2</v>
      </c>
      <c r="S8" s="876">
        <f>1*7.5</f>
        <v>7.5</v>
      </c>
      <c r="T8" s="876">
        <f>1*3.5</f>
        <v>3.5</v>
      </c>
      <c r="U8" s="876">
        <f>1*0.6</f>
        <v>0.6</v>
      </c>
      <c r="V8" s="876">
        <f>1*1.6</f>
        <v>1.6</v>
      </c>
      <c r="W8" s="876">
        <f>1*0.6</f>
        <v>0.6</v>
      </c>
      <c r="X8" s="876">
        <f>1*3</f>
        <v>3</v>
      </c>
      <c r="Y8" s="876">
        <f>1</f>
        <v>1</v>
      </c>
      <c r="Z8" s="876">
        <v>0.6</v>
      </c>
      <c r="AA8" s="876">
        <f>1*0.9</f>
        <v>0.9</v>
      </c>
      <c r="AB8" s="876">
        <f>1*3</f>
        <v>3</v>
      </c>
      <c r="AC8" s="384">
        <f>1*2</f>
        <v>2</v>
      </c>
      <c r="AD8" s="876">
        <f>1*5</f>
        <v>5</v>
      </c>
      <c r="AE8" s="876">
        <f>1*1.3</f>
        <v>1.3</v>
      </c>
      <c r="AF8" s="384">
        <f>1*0.6</f>
        <v>0.6</v>
      </c>
      <c r="AG8" s="876">
        <v>0.9</v>
      </c>
      <c r="AH8" s="876">
        <f>1*2</f>
        <v>2</v>
      </c>
      <c r="AI8" s="876">
        <f>1*8</f>
        <v>8</v>
      </c>
      <c r="AJ8" s="876">
        <f>1*1.4</f>
        <v>1.4</v>
      </c>
      <c r="AK8" s="876">
        <v>0.3</v>
      </c>
      <c r="AL8" s="876">
        <v>0.1</v>
      </c>
      <c r="AM8" s="876">
        <f>1*3</f>
        <v>3</v>
      </c>
      <c r="AN8" s="876">
        <v>1</v>
      </c>
      <c r="AO8" s="876">
        <v>1</v>
      </c>
      <c r="AP8" s="876">
        <f>1*0.3</f>
        <v>0.3</v>
      </c>
      <c r="AQ8" s="876">
        <v>0.6</v>
      </c>
      <c r="AR8" s="876">
        <v>0.6</v>
      </c>
      <c r="AS8" s="876">
        <v>0.4</v>
      </c>
      <c r="AT8" s="876">
        <f>1*3.6</f>
        <v>3.6</v>
      </c>
      <c r="AU8" s="876">
        <f>1*9</f>
        <v>9</v>
      </c>
      <c r="AV8" s="876">
        <f>1*2.3</f>
        <v>2.2999999999999998</v>
      </c>
      <c r="AW8" s="876">
        <v>2</v>
      </c>
      <c r="AX8" s="876">
        <f>1*5</f>
        <v>5</v>
      </c>
      <c r="AY8" s="876">
        <f>1</f>
        <v>1</v>
      </c>
      <c r="AZ8" s="876">
        <v>3</v>
      </c>
      <c r="BA8" s="876">
        <f>1</f>
        <v>1</v>
      </c>
      <c r="BB8" s="384">
        <f>1*1.5</f>
        <v>1.5</v>
      </c>
      <c r="BC8" s="876">
        <f>1.2/1.2*0.3</f>
        <v>0.3</v>
      </c>
      <c r="BD8" s="876">
        <f>0.3/0.3*0.1</f>
        <v>0.1</v>
      </c>
      <c r="BE8" s="876">
        <v>0.1</v>
      </c>
      <c r="BF8" s="876">
        <f>0.6/0.6*0.7</f>
        <v>0.7</v>
      </c>
      <c r="BG8" s="876">
        <v>0.1</v>
      </c>
      <c r="BH8" s="876">
        <f>1*0.6</f>
        <v>0.6</v>
      </c>
      <c r="BI8" s="876">
        <v>1</v>
      </c>
      <c r="BJ8" s="333">
        <f>8/8*1.8</f>
        <v>1.8</v>
      </c>
      <c r="BK8" s="475">
        <f>8/8*1.5</f>
        <v>1.5</v>
      </c>
      <c r="BL8" s="876">
        <v>0.6</v>
      </c>
      <c r="BM8" s="384">
        <f>1*0.6</f>
        <v>0.6</v>
      </c>
      <c r="BN8" s="876">
        <f>1*0.6</f>
        <v>0.6</v>
      </c>
      <c r="BO8" s="384">
        <f>1*5</f>
        <v>5</v>
      </c>
      <c r="BP8" s="333">
        <f>8/8*4.7</f>
        <v>4.7</v>
      </c>
      <c r="BQ8" s="384">
        <v>3</v>
      </c>
      <c r="BR8" s="333">
        <f>0.9/0.9*0.8</f>
        <v>0.8</v>
      </c>
      <c r="BS8" s="333">
        <v>4</v>
      </c>
      <c r="BT8" s="876">
        <f>1*1.2</f>
        <v>1.2</v>
      </c>
      <c r="BU8" s="876">
        <f>1*0.4</f>
        <v>0.4</v>
      </c>
      <c r="BV8" s="876">
        <v>0.6</v>
      </c>
      <c r="BW8" s="876">
        <f>1*3</f>
        <v>3</v>
      </c>
      <c r="BX8" s="876">
        <v>1.2</v>
      </c>
      <c r="BY8" s="876">
        <f>1*3.8</f>
        <v>3.8</v>
      </c>
      <c r="BZ8" s="876">
        <f>1*0.5</f>
        <v>0.5</v>
      </c>
      <c r="CA8" s="334">
        <f t="shared" ref="CA8:CA17" si="0">SUM(K8:BZ8)</f>
        <v>136.69999999999993</v>
      </c>
      <c r="CB8" s="134"/>
      <c r="CC8" s="876">
        <f>1*2.4</f>
        <v>2.4</v>
      </c>
      <c r="CD8" s="876">
        <v>0.1</v>
      </c>
      <c r="CE8" s="876">
        <f>1*0.6</f>
        <v>0.6</v>
      </c>
      <c r="CF8" s="876">
        <f>1*1.8</f>
        <v>1.8</v>
      </c>
      <c r="CG8" s="876">
        <f>1*1.3</f>
        <v>1.3</v>
      </c>
      <c r="CH8" s="876">
        <v>1</v>
      </c>
      <c r="CI8" s="876">
        <f>1*0.9</f>
        <v>0.9</v>
      </c>
      <c r="CJ8" s="876">
        <f>1*1.3</f>
        <v>1.3</v>
      </c>
      <c r="CK8" s="384">
        <f>1*5</f>
        <v>5</v>
      </c>
      <c r="CL8" s="876">
        <f>0.3/0.3*0.2</f>
        <v>0.2</v>
      </c>
      <c r="CM8" s="384">
        <f>1*5</f>
        <v>5</v>
      </c>
      <c r="CN8" s="876">
        <v>3</v>
      </c>
      <c r="CO8" s="876">
        <f>1*6</f>
        <v>6</v>
      </c>
      <c r="CP8" s="876">
        <f>1.2/1.2*0.6</f>
        <v>0.6</v>
      </c>
      <c r="CQ8" s="876">
        <v>2</v>
      </c>
      <c r="CR8" s="876">
        <v>0.6</v>
      </c>
      <c r="CS8" s="876">
        <v>5</v>
      </c>
      <c r="CT8" s="384">
        <f>1*5</f>
        <v>5</v>
      </c>
      <c r="CU8" s="876">
        <v>1.5</v>
      </c>
      <c r="CV8" s="876">
        <v>4</v>
      </c>
      <c r="CW8" s="876">
        <f>1</f>
        <v>1</v>
      </c>
      <c r="CX8" s="876">
        <v>1.2</v>
      </c>
      <c r="CY8" s="384">
        <v>0.5</v>
      </c>
      <c r="CZ8" s="384">
        <f>1*1.5</f>
        <v>1.5</v>
      </c>
      <c r="DA8" s="876">
        <v>1</v>
      </c>
      <c r="DB8" s="876">
        <v>3</v>
      </c>
      <c r="DC8" s="876">
        <v>3.5</v>
      </c>
      <c r="DD8" s="876">
        <v>7</v>
      </c>
      <c r="DE8" s="876">
        <v>3</v>
      </c>
      <c r="DF8" s="876">
        <v>1.5</v>
      </c>
      <c r="DG8" s="384">
        <v>3</v>
      </c>
      <c r="DH8" s="876">
        <v>0.3</v>
      </c>
      <c r="DI8" s="876">
        <v>0.3</v>
      </c>
      <c r="DJ8" s="384">
        <v>1</v>
      </c>
      <c r="DK8" s="876">
        <f>1*5</f>
        <v>5</v>
      </c>
      <c r="DL8" s="876">
        <v>1</v>
      </c>
      <c r="DM8" s="876">
        <f>1*7</f>
        <v>7</v>
      </c>
      <c r="DN8" s="876">
        <f>1*1.5</f>
        <v>1.5</v>
      </c>
      <c r="DO8" s="876">
        <f>1*1.2</f>
        <v>1.2</v>
      </c>
      <c r="DP8" s="876">
        <f>1*1.5</f>
        <v>1.5</v>
      </c>
      <c r="DQ8" s="876">
        <f>1*1.7</f>
        <v>1.7</v>
      </c>
      <c r="DR8" s="876">
        <f>1*0.3</f>
        <v>0.3</v>
      </c>
      <c r="DS8" s="876">
        <f>1*0.3</f>
        <v>0.3</v>
      </c>
      <c r="DT8" s="876">
        <f>1*5</f>
        <v>5</v>
      </c>
      <c r="DU8" s="477">
        <f t="shared" ref="DU8:DU17" si="1">SUM(CC8:DT8)</f>
        <v>99.6</v>
      </c>
      <c r="DV8" s="135"/>
      <c r="DW8" s="876">
        <f>1*2.4</f>
        <v>2.4</v>
      </c>
      <c r="DX8" s="876">
        <f>1*1.3</f>
        <v>1.3</v>
      </c>
      <c r="DY8" s="876">
        <f>1*1.5</f>
        <v>1.5</v>
      </c>
      <c r="DZ8" s="876">
        <v>1</v>
      </c>
      <c r="EA8" s="876">
        <f>1*5</f>
        <v>5</v>
      </c>
      <c r="EB8" s="876">
        <f>1*3</f>
        <v>3</v>
      </c>
      <c r="EC8" s="876">
        <f>1*2</f>
        <v>2</v>
      </c>
      <c r="ED8" s="876">
        <f>1*1.5</f>
        <v>1.5</v>
      </c>
      <c r="EE8" s="876">
        <f>1*1.8</f>
        <v>1.8</v>
      </c>
      <c r="EF8" s="476"/>
      <c r="EG8" s="476"/>
      <c r="EH8" s="476"/>
      <c r="EI8" s="476"/>
      <c r="EJ8" s="476"/>
      <c r="EK8" s="476"/>
      <c r="EL8" s="476"/>
      <c r="EM8" s="476"/>
      <c r="EN8" s="476"/>
      <c r="EO8" s="476"/>
      <c r="EP8" s="476"/>
      <c r="EQ8" s="476"/>
      <c r="ER8" s="476"/>
      <c r="ES8" s="476"/>
      <c r="ET8" s="476"/>
      <c r="EU8" s="476"/>
      <c r="EV8" s="476"/>
      <c r="EW8" s="476"/>
      <c r="EX8" s="476"/>
      <c r="EY8" s="476"/>
      <c r="EZ8" s="476"/>
      <c r="FA8" s="476"/>
      <c r="FB8" s="476"/>
      <c r="FC8" s="476"/>
      <c r="FD8" s="476"/>
      <c r="FE8" s="476"/>
      <c r="FF8" s="476"/>
      <c r="FG8" s="476"/>
      <c r="FH8" s="476"/>
      <c r="FI8" s="476"/>
      <c r="FJ8" s="476"/>
      <c r="FK8" s="476"/>
      <c r="FL8" s="476"/>
      <c r="FM8" s="476"/>
      <c r="FN8" s="476"/>
      <c r="FO8" s="476"/>
      <c r="FP8" s="476"/>
      <c r="FQ8" s="476"/>
      <c r="FR8" s="476"/>
      <c r="FS8" s="476"/>
      <c r="FT8" s="476"/>
      <c r="FU8" s="476"/>
      <c r="FV8" s="476"/>
      <c r="FW8" s="476"/>
      <c r="FX8" s="476"/>
      <c r="FY8" s="476"/>
      <c r="FZ8" s="476"/>
      <c r="GA8" s="429">
        <f t="shared" ref="GA8:GA17" si="2">SUM(DW8:FZ8)</f>
        <v>19.5</v>
      </c>
      <c r="GB8" s="106"/>
      <c r="GC8" s="875"/>
      <c r="GD8" s="876">
        <f>1*0.9</f>
        <v>0.9</v>
      </c>
      <c r="GE8" s="876">
        <f>1*0.9</f>
        <v>0.9</v>
      </c>
      <c r="GF8" s="876">
        <f>1*3</f>
        <v>3</v>
      </c>
      <c r="GG8" s="876">
        <f>1*1.2</f>
        <v>1.2</v>
      </c>
      <c r="GH8" s="876">
        <f>1*3</f>
        <v>3</v>
      </c>
      <c r="GI8" s="480"/>
      <c r="GJ8" s="480"/>
      <c r="GK8" s="480"/>
      <c r="GL8" s="480"/>
      <c r="GM8" s="482"/>
      <c r="GN8" s="1235"/>
      <c r="GO8" s="529">
        <f t="shared" ref="GO8:GO17" si="3">SUM(GC8:GN8)</f>
        <v>9</v>
      </c>
      <c r="GP8" s="528"/>
      <c r="GQ8" s="923"/>
      <c r="GR8" s="1210"/>
      <c r="GS8" s="486"/>
      <c r="GT8" s="1369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</row>
    <row r="9" spans="1:215" ht="15" customHeight="1" x14ac:dyDescent="0.3">
      <c r="A9" s="1128">
        <v>1</v>
      </c>
      <c r="B9" s="687" t="s">
        <v>422</v>
      </c>
      <c r="C9" s="719">
        <f>'1_квартал'!G9</f>
        <v>70.447000000000003</v>
      </c>
      <c r="D9" s="588">
        <f>18.069+72.082</f>
        <v>90.150999999999996</v>
      </c>
      <c r="E9" s="757">
        <f>2.918+47.806</f>
        <v>50.723999999999997</v>
      </c>
      <c r="F9" s="570"/>
      <c r="G9" s="1137">
        <f>ROUND(AVERAGE(D9:F9),3)</f>
        <v>70.438000000000002</v>
      </c>
      <c r="H9" s="93">
        <v>77.194000000000003</v>
      </c>
      <c r="I9" s="93">
        <v>64.364000000000004</v>
      </c>
      <c r="J9" s="335"/>
      <c r="K9" s="245">
        <f>0.675*3</f>
        <v>2.0250000000000004</v>
      </c>
      <c r="L9" s="245">
        <v>0.30199999999999999</v>
      </c>
      <c r="M9" s="319"/>
      <c r="N9" s="319">
        <f>0.171*5</f>
        <v>0.85500000000000009</v>
      </c>
      <c r="O9" s="319">
        <f>0.181*2.7</f>
        <v>0.48870000000000002</v>
      </c>
      <c r="P9" s="319">
        <f>0.675*2.4</f>
        <v>1.62</v>
      </c>
      <c r="Q9" s="319">
        <f>0.181*0.6</f>
        <v>0.10859999999999999</v>
      </c>
      <c r="R9" s="319"/>
      <c r="S9" s="319">
        <f>0.181*7.5</f>
        <v>1.3574999999999999</v>
      </c>
      <c r="T9" s="319">
        <f>0.181*3.5</f>
        <v>0.63349999999999995</v>
      </c>
      <c r="U9" s="319">
        <f>0.66*0.6</f>
        <v>0.39600000000000002</v>
      </c>
      <c r="V9" s="319">
        <f>0.675*1.6</f>
        <v>1.08</v>
      </c>
      <c r="W9" s="319">
        <f>0.181*0.6</f>
        <v>0.10859999999999999</v>
      </c>
      <c r="X9" s="319">
        <f>0.181*3</f>
        <v>0.54299999999999993</v>
      </c>
      <c r="Y9" s="319">
        <f>0.66</f>
        <v>0.66</v>
      </c>
      <c r="Z9" s="319">
        <v>0.109</v>
      </c>
      <c r="AA9" s="319">
        <f>0.534*0.9</f>
        <v>0.48060000000000003</v>
      </c>
      <c r="AB9" s="319">
        <f>0.181*3</f>
        <v>0.54299999999999993</v>
      </c>
      <c r="AC9" s="245">
        <f>0.675*2</f>
        <v>1.35</v>
      </c>
      <c r="AD9" s="319">
        <f>0.504*5</f>
        <v>2.52</v>
      </c>
      <c r="AE9" s="319">
        <f>0.66*1.3</f>
        <v>0.8580000000000001</v>
      </c>
      <c r="AF9" s="245">
        <f>0.66*0.6</f>
        <v>0.39600000000000002</v>
      </c>
      <c r="AG9" s="319">
        <f>0.163</f>
        <v>0.16300000000000001</v>
      </c>
      <c r="AH9" s="319">
        <f>0.842*2</f>
        <v>1.6839999999999999</v>
      </c>
      <c r="AI9" s="319">
        <f>0.842*8</f>
        <v>6.7359999999999998</v>
      </c>
      <c r="AJ9" s="319">
        <f>0.675*1.4</f>
        <v>0.94499999999999995</v>
      </c>
      <c r="AK9" s="319"/>
      <c r="AL9" s="319">
        <v>0.01</v>
      </c>
      <c r="AM9" s="319">
        <f>0.675*3</f>
        <v>2.0250000000000004</v>
      </c>
      <c r="AN9" s="319">
        <v>2.621</v>
      </c>
      <c r="AO9" s="319">
        <v>0.18099999999999999</v>
      </c>
      <c r="AP9" s="319"/>
      <c r="AQ9" s="319">
        <v>0.105</v>
      </c>
      <c r="AR9" s="319">
        <v>0.121</v>
      </c>
      <c r="AS9" s="319">
        <v>7.0000000000000007E-2</v>
      </c>
      <c r="AT9" s="319">
        <f>1.512*3.6</f>
        <v>5.4432</v>
      </c>
      <c r="AU9" s="319">
        <f>2.621*9</f>
        <v>23.588999999999999</v>
      </c>
      <c r="AV9" s="319">
        <f>0.731*2.3</f>
        <v>1.6812999999999998</v>
      </c>
      <c r="AW9" s="319">
        <v>3.024</v>
      </c>
      <c r="AX9" s="319">
        <f>1.008*5</f>
        <v>5.04</v>
      </c>
      <c r="AY9" s="319">
        <f>0.302</f>
        <v>0.30199999999999999</v>
      </c>
      <c r="AZ9" s="319">
        <v>0.54400000000000004</v>
      </c>
      <c r="BA9" s="319">
        <f>0.534</f>
        <v>0.53400000000000003</v>
      </c>
      <c r="BB9" s="245">
        <f>0.66*1.5</f>
        <v>0.99</v>
      </c>
      <c r="BC9" s="319">
        <f>0.726/1.2*0.3</f>
        <v>0.18149999999999999</v>
      </c>
      <c r="BD9" s="319">
        <f>0.091/0.3*0.1</f>
        <v>3.0333333333333337E-2</v>
      </c>
      <c r="BE9" s="319">
        <v>0.06</v>
      </c>
      <c r="BF9" s="319">
        <f>0.121/0.6*0.7</f>
        <v>0.14116666666666666</v>
      </c>
      <c r="BG9" s="319">
        <v>1E-3</v>
      </c>
      <c r="BH9" s="319"/>
      <c r="BI9" s="319">
        <v>0.66</v>
      </c>
      <c r="BJ9" s="336">
        <f>1.613/8*1.8</f>
        <v>0.362925</v>
      </c>
      <c r="BK9" s="342">
        <f>1.613/8*1.5</f>
        <v>0.30243750000000003</v>
      </c>
      <c r="BL9" s="319">
        <v>0.121</v>
      </c>
      <c r="BM9" s="245">
        <f>0.66*0.6</f>
        <v>0.39600000000000002</v>
      </c>
      <c r="BN9" s="319">
        <f>2.621*0.6</f>
        <v>1.5726</v>
      </c>
      <c r="BO9" s="245"/>
      <c r="BP9" s="336">
        <f>1.613/8*4.7</f>
        <v>0.94763750000000002</v>
      </c>
      <c r="BQ9" s="245">
        <v>3.024</v>
      </c>
      <c r="BR9" s="336">
        <f>0.227/0.9*0.8</f>
        <v>0.20177777777777781</v>
      </c>
      <c r="BS9" s="336">
        <f>1.512*4</f>
        <v>6.048</v>
      </c>
      <c r="BT9" s="319"/>
      <c r="BU9" s="319">
        <f>0.605*0.4</f>
        <v>0.24199999999999999</v>
      </c>
      <c r="BV9" s="319">
        <v>0.34499999999999997</v>
      </c>
      <c r="BW9" s="319">
        <f>0.675*3</f>
        <v>2.0250000000000004</v>
      </c>
      <c r="BX9" s="319">
        <v>0.24199999999999999</v>
      </c>
      <c r="BY9" s="319">
        <f>0.181*3.8</f>
        <v>0.68779999999999997</v>
      </c>
      <c r="BZ9" s="319">
        <f>0.66*0.5</f>
        <v>0.33</v>
      </c>
      <c r="CA9" s="251">
        <f t="shared" si="0"/>
        <v>90.165177777777785</v>
      </c>
      <c r="CB9" s="335"/>
      <c r="CC9" s="319">
        <f>0.675*2.4</f>
        <v>1.62</v>
      </c>
      <c r="CD9" s="319">
        <v>1E-3</v>
      </c>
      <c r="CE9" s="319">
        <f>0.181*0.6</f>
        <v>0.10859999999999999</v>
      </c>
      <c r="CF9" s="319">
        <f>0.675*1.8</f>
        <v>1.2150000000000001</v>
      </c>
      <c r="CG9" s="319">
        <f>0.675*1.3</f>
        <v>0.87750000000000006</v>
      </c>
      <c r="CH9" s="319">
        <v>0.66</v>
      </c>
      <c r="CI9" s="319">
        <f>0.534*0.9</f>
        <v>0.48060000000000003</v>
      </c>
      <c r="CJ9" s="319">
        <f>0.66*1.3</f>
        <v>0.8580000000000001</v>
      </c>
      <c r="CK9" s="245">
        <f>0.675*5</f>
        <v>3.375</v>
      </c>
      <c r="CL9" s="319">
        <f>0.198/0.3*0.2</f>
        <v>0.13200000000000001</v>
      </c>
      <c r="CM9" s="319">
        <f>0.675*5</f>
        <v>3.375</v>
      </c>
      <c r="CN9" s="319">
        <v>0.75600000000000001</v>
      </c>
      <c r="CO9" s="319">
        <f>0.181*6</f>
        <v>1.0859999999999999</v>
      </c>
      <c r="CP9" s="319">
        <f>0.792/1.2*0.6</f>
        <v>0.39600000000000002</v>
      </c>
      <c r="CQ9" s="319">
        <f>0.66*2</f>
        <v>1.32</v>
      </c>
      <c r="CR9" s="319">
        <v>0.121</v>
      </c>
      <c r="CS9" s="319">
        <f>0.171*5</f>
        <v>0.85500000000000009</v>
      </c>
      <c r="CT9" s="245"/>
      <c r="CU9" s="319">
        <f>0.534/1*1.5</f>
        <v>0.80100000000000005</v>
      </c>
      <c r="CV9" s="319">
        <f>1.008*4</f>
        <v>4.032</v>
      </c>
      <c r="CW9" s="319">
        <f>0.302</f>
        <v>0.30199999999999999</v>
      </c>
      <c r="CX9" s="319"/>
      <c r="CY9" s="245">
        <f>0.99/1.5*0.5</f>
        <v>0.33</v>
      </c>
      <c r="CZ9" s="245">
        <f>0.66*1.5</f>
        <v>0.99</v>
      </c>
      <c r="DA9" s="319">
        <f>0.353*2</f>
        <v>0.70599999999999996</v>
      </c>
      <c r="DB9" s="319">
        <v>3.629</v>
      </c>
      <c r="DC9" s="319">
        <f>0.544/3*3.5</f>
        <v>0.63466666666666671</v>
      </c>
      <c r="DD9" s="319">
        <f>0.68*7</f>
        <v>4.7600000000000007</v>
      </c>
      <c r="DE9" s="319">
        <f>0.68*3</f>
        <v>2.04</v>
      </c>
      <c r="DF9" s="319">
        <f>1.31*1.5</f>
        <v>1.9650000000000001</v>
      </c>
      <c r="DG9" s="245">
        <v>3.024</v>
      </c>
      <c r="DH9" s="319">
        <v>0.17199999999999999</v>
      </c>
      <c r="DI9" s="319">
        <v>3.0000000000000001E-3</v>
      </c>
      <c r="DJ9" s="245"/>
      <c r="DK9" s="319">
        <f>0.181*5</f>
        <v>0.90500000000000003</v>
      </c>
      <c r="DL9" s="319">
        <v>2.621</v>
      </c>
      <c r="DM9" s="319">
        <f>0.181*7</f>
        <v>1.2669999999999999</v>
      </c>
      <c r="DN9" s="319"/>
      <c r="DO9" s="319">
        <f>0.202*1.2</f>
        <v>0.2424</v>
      </c>
      <c r="DP9" s="319">
        <f>0.181*1.5</f>
        <v>0.27149999999999996</v>
      </c>
      <c r="DQ9" s="319">
        <f>0.675*1.7</f>
        <v>1.1475</v>
      </c>
      <c r="DR9" s="319">
        <f>0.66*0.3</f>
        <v>0.19800000000000001</v>
      </c>
      <c r="DS9" s="319"/>
      <c r="DT9" s="319">
        <f>0.68*5</f>
        <v>3.4000000000000004</v>
      </c>
      <c r="DU9" s="417">
        <f t="shared" si="1"/>
        <v>50.677766666666678</v>
      </c>
      <c r="DV9" s="340"/>
      <c r="DW9" s="319">
        <f>0.675*2.4</f>
        <v>1.62</v>
      </c>
      <c r="DX9" s="319">
        <f>0.66*1.3</f>
        <v>0.8580000000000001</v>
      </c>
      <c r="DY9" s="319">
        <f>0.181*1.5</f>
        <v>0.27149999999999996</v>
      </c>
      <c r="DZ9" s="319">
        <v>0.66</v>
      </c>
      <c r="EA9" s="319">
        <f>0.675*5</f>
        <v>3.375</v>
      </c>
      <c r="EB9" s="319"/>
      <c r="EC9" s="319">
        <f>0.66*2</f>
        <v>1.32</v>
      </c>
      <c r="ED9" s="319"/>
      <c r="EE9" s="319">
        <f>2.621*1.8</f>
        <v>4.7178000000000004</v>
      </c>
      <c r="EF9" s="339"/>
      <c r="EG9" s="339"/>
      <c r="EH9" s="339"/>
      <c r="EI9" s="339"/>
      <c r="EJ9" s="339"/>
      <c r="EK9" s="339"/>
      <c r="EL9" s="339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9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339"/>
      <c r="FJ9" s="339"/>
      <c r="FK9" s="33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9"/>
      <c r="FX9" s="339"/>
      <c r="FY9" s="339"/>
      <c r="FZ9" s="339"/>
      <c r="GA9" s="251">
        <f t="shared" si="2"/>
        <v>12.8223</v>
      </c>
      <c r="GB9" s="149"/>
      <c r="GC9" s="374"/>
      <c r="GD9" s="319">
        <f>0.181*0.9</f>
        <v>0.16289999999999999</v>
      </c>
      <c r="GE9" s="319">
        <f>0.181*0.9</f>
        <v>0.16289999999999999</v>
      </c>
      <c r="GF9" s="319">
        <f>1.21*3</f>
        <v>3.63</v>
      </c>
      <c r="GG9" s="319">
        <f>0.66*1.2</f>
        <v>0.79200000000000004</v>
      </c>
      <c r="GH9" s="319">
        <f>0.675*3</f>
        <v>2.0250000000000004</v>
      </c>
      <c r="GI9" s="342"/>
      <c r="GJ9" s="342"/>
      <c r="GK9" s="342"/>
      <c r="GL9" s="342"/>
      <c r="GM9" s="337"/>
      <c r="GN9" s="489"/>
      <c r="GO9" s="490">
        <f t="shared" si="3"/>
        <v>6.7728000000000002</v>
      </c>
      <c r="GP9" s="558">
        <f t="shared" ref="GP9:GP17" si="4">I9-GO9</f>
        <v>57.591200000000001</v>
      </c>
      <c r="GQ9" s="604">
        <f t="shared" ref="GQ9:GQ17" si="5">I9</f>
        <v>64.364000000000004</v>
      </c>
      <c r="GR9" s="626">
        <f t="shared" ref="GR9:GR17" si="6">C9</f>
        <v>70.447000000000003</v>
      </c>
      <c r="GS9" s="1307">
        <f t="shared" ref="GS9:GS17" si="7">E9</f>
        <v>50.723999999999997</v>
      </c>
      <c r="GT9" s="36" t="str">
        <f t="shared" ref="GT9:GT17" si="8">B9</f>
        <v>вит А 1000</v>
      </c>
      <c r="GU9" s="60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</row>
    <row r="10" spans="1:215" ht="15" customHeight="1" x14ac:dyDescent="0.3">
      <c r="A10" s="1129">
        <f>A9+1</f>
        <v>2</v>
      </c>
      <c r="B10" s="688" t="s">
        <v>423</v>
      </c>
      <c r="C10" s="565">
        <f>'1_квартал'!G10</f>
        <v>32.712000000000003</v>
      </c>
      <c r="D10" s="588">
        <f>0.845+41.565</f>
        <v>42.41</v>
      </c>
      <c r="E10" s="757">
        <f>29.144</f>
        <v>29.143999999999998</v>
      </c>
      <c r="F10" s="570"/>
      <c r="G10" s="878">
        <f t="shared" ref="G10:G70" si="9">ROUND(AVERAGE(D10:F10),3)</f>
        <v>35.777000000000001</v>
      </c>
      <c r="H10" s="93">
        <v>25.091000000000001</v>
      </c>
      <c r="I10" s="93">
        <v>19.401</v>
      </c>
      <c r="J10" s="94"/>
      <c r="K10" s="245">
        <f>0.413*3</f>
        <v>1.2389999999999999</v>
      </c>
      <c r="L10" s="245">
        <v>0.153</v>
      </c>
      <c r="M10" s="319"/>
      <c r="N10" s="319">
        <f>0.081*5</f>
        <v>0.40500000000000003</v>
      </c>
      <c r="O10" s="319">
        <f>0.097*2.7</f>
        <v>0.26190000000000002</v>
      </c>
      <c r="P10" s="319">
        <f>0.413*2.4</f>
        <v>0.99119999999999986</v>
      </c>
      <c r="Q10" s="319">
        <f>0.097*0.6</f>
        <v>5.8200000000000002E-2</v>
      </c>
      <c r="R10" s="319"/>
      <c r="S10" s="319">
        <f>0.101*7.5</f>
        <v>0.75750000000000006</v>
      </c>
      <c r="T10" s="319">
        <f>0.101*3.5</f>
        <v>0.35350000000000004</v>
      </c>
      <c r="U10" s="319">
        <f>0.323*0.6</f>
        <v>0.1938</v>
      </c>
      <c r="V10" s="319">
        <f>0.413*1.6</f>
        <v>0.66080000000000005</v>
      </c>
      <c r="W10" s="319">
        <f>0.101*0.6</f>
        <v>6.0600000000000001E-2</v>
      </c>
      <c r="X10" s="319">
        <f>0.101*3</f>
        <v>0.30300000000000005</v>
      </c>
      <c r="Y10" s="319">
        <f>0.323</f>
        <v>0.32300000000000001</v>
      </c>
      <c r="Z10" s="319">
        <v>5.8000000000000003E-2</v>
      </c>
      <c r="AA10" s="319">
        <f>0.202*0.9</f>
        <v>0.18180000000000002</v>
      </c>
      <c r="AB10" s="319">
        <f>0.101*3</f>
        <v>0.30300000000000005</v>
      </c>
      <c r="AC10" s="245">
        <f>0.413*2</f>
        <v>0.82599999999999996</v>
      </c>
      <c r="AD10" s="319">
        <f>0.135*5</f>
        <v>0.67500000000000004</v>
      </c>
      <c r="AE10" s="319">
        <f>0.31*1.3</f>
        <v>0.40300000000000002</v>
      </c>
      <c r="AF10" s="245">
        <f>0.323*0.6</f>
        <v>0.1938</v>
      </c>
      <c r="AG10" s="319">
        <v>9.0999999999999998E-2</v>
      </c>
      <c r="AH10" s="319">
        <f>0.423*2</f>
        <v>0.84599999999999997</v>
      </c>
      <c r="AI10" s="319">
        <f>0.423*8</f>
        <v>3.3839999999999999</v>
      </c>
      <c r="AJ10" s="319">
        <f>0.413*1.4</f>
        <v>0.57819999999999994</v>
      </c>
      <c r="AK10" s="319">
        <v>2.4E-2</v>
      </c>
      <c r="AL10" s="319">
        <v>5.0000000000000001E-3</v>
      </c>
      <c r="AM10" s="319">
        <f>0.413*3</f>
        <v>1.2389999999999999</v>
      </c>
      <c r="AN10" s="319">
        <v>0.60499999999999998</v>
      </c>
      <c r="AO10" s="319">
        <v>0.10100000000000001</v>
      </c>
      <c r="AP10" s="319"/>
      <c r="AQ10" s="319">
        <v>2.4E-2</v>
      </c>
      <c r="AR10" s="319">
        <v>0.06</v>
      </c>
      <c r="AS10" s="319">
        <v>1.6E-2</v>
      </c>
      <c r="AT10" s="319">
        <f>0.766*3.6</f>
        <v>2.7576000000000001</v>
      </c>
      <c r="AU10" s="319">
        <f>0.605*9</f>
        <v>5.4450000000000003</v>
      </c>
      <c r="AV10" s="319">
        <f>0.605*2.3</f>
        <v>1.3915</v>
      </c>
      <c r="AW10" s="319">
        <v>1.532</v>
      </c>
      <c r="AX10" s="319">
        <f>0.413*5</f>
        <v>2.0649999999999999</v>
      </c>
      <c r="AY10" s="319">
        <f>0.171</f>
        <v>0.17100000000000001</v>
      </c>
      <c r="AZ10" s="319">
        <v>0.30199999999999999</v>
      </c>
      <c r="BA10" s="319">
        <f>0.202</f>
        <v>0.20200000000000001</v>
      </c>
      <c r="BB10" s="245">
        <f>0.323*1.5</f>
        <v>0.48450000000000004</v>
      </c>
      <c r="BC10" s="319">
        <f>(0.099+0.045)/1.2*0.3</f>
        <v>3.6000000000000004E-2</v>
      </c>
      <c r="BD10" s="319">
        <f>0.018/0.3*0.1</f>
        <v>6.0000000000000001E-3</v>
      </c>
      <c r="BE10" s="319">
        <v>0.02</v>
      </c>
      <c r="BF10" s="319">
        <f>0.06/0.6*0.7</f>
        <v>6.9999999999999993E-2</v>
      </c>
      <c r="BG10" s="319">
        <v>1E-3</v>
      </c>
      <c r="BH10" s="319"/>
      <c r="BI10" s="319">
        <v>0.32300000000000001</v>
      </c>
      <c r="BJ10" s="177">
        <f>0.435/8*1.8</f>
        <v>9.7875000000000004E-2</v>
      </c>
      <c r="BK10" s="271">
        <f>0.435/8*1.5</f>
        <v>8.1562499999999996E-2</v>
      </c>
      <c r="BL10" s="319">
        <v>0.06</v>
      </c>
      <c r="BM10" s="245">
        <f>0.323*0.6</f>
        <v>0.1938</v>
      </c>
      <c r="BN10" s="319">
        <f>0.605*0.6</f>
        <v>0.36299999999999999</v>
      </c>
      <c r="BO10" s="245"/>
      <c r="BP10" s="177">
        <f>0.435/8*4.7</f>
        <v>0.25556250000000003</v>
      </c>
      <c r="BQ10" s="245">
        <v>6.048</v>
      </c>
      <c r="BR10" s="177">
        <f>0.054/0.9*0.8</f>
        <v>4.8000000000000001E-2</v>
      </c>
      <c r="BS10" s="177">
        <f>0.766*4</f>
        <v>3.0640000000000001</v>
      </c>
      <c r="BT10" s="319"/>
      <c r="BU10" s="319"/>
      <c r="BV10" s="319">
        <v>0.16900000000000001</v>
      </c>
      <c r="BW10" s="319">
        <f>0.413*3</f>
        <v>1.2389999999999999</v>
      </c>
      <c r="BX10" s="319">
        <f>0.085+0.034</f>
        <v>0.11900000000000001</v>
      </c>
      <c r="BY10" s="319">
        <f>0.101*3.8</f>
        <v>0.38380000000000003</v>
      </c>
      <c r="BZ10" s="319">
        <f>0.323*0.5</f>
        <v>0.1615</v>
      </c>
      <c r="CA10" s="158">
        <f t="shared" si="0"/>
        <v>42.464999999999996</v>
      </c>
      <c r="CB10" s="94"/>
      <c r="CC10" s="319">
        <f>0.413*2.4</f>
        <v>0.99119999999999986</v>
      </c>
      <c r="CD10" s="319">
        <v>1E-3</v>
      </c>
      <c r="CE10" s="319">
        <f>0.101*0.6</f>
        <v>6.0600000000000001E-2</v>
      </c>
      <c r="CF10" s="319">
        <f>0.413*1.8</f>
        <v>0.74339999999999995</v>
      </c>
      <c r="CG10" s="319">
        <f>0.413*1.3</f>
        <v>0.53690000000000004</v>
      </c>
      <c r="CH10" s="319">
        <v>0.32300000000000001</v>
      </c>
      <c r="CI10" s="319">
        <f>0.202*0.9</f>
        <v>0.18180000000000002</v>
      </c>
      <c r="CJ10" s="319">
        <f>0.323*1.3</f>
        <v>0.41990000000000005</v>
      </c>
      <c r="CK10" s="245">
        <f>0.413*5</f>
        <v>2.0649999999999999</v>
      </c>
      <c r="CL10" s="319">
        <f>0.097/0.3*0.2</f>
        <v>6.4666666666666678E-2</v>
      </c>
      <c r="CM10" s="319">
        <f>0.413*5</f>
        <v>2.0649999999999999</v>
      </c>
      <c r="CN10" s="319">
        <v>0.18099999999999999</v>
      </c>
      <c r="CO10" s="319">
        <f>0.101*6</f>
        <v>0.60600000000000009</v>
      </c>
      <c r="CP10" s="319">
        <f>0.387/1.2*0.6</f>
        <v>0.19350000000000001</v>
      </c>
      <c r="CQ10" s="319">
        <f>0.323*2</f>
        <v>0.64600000000000002</v>
      </c>
      <c r="CR10" s="319">
        <v>0.06</v>
      </c>
      <c r="CS10" s="319">
        <f>0.081*5</f>
        <v>0.40500000000000003</v>
      </c>
      <c r="CT10" s="245"/>
      <c r="CU10" s="319">
        <f>0.202/1*1.5</f>
        <v>0.30300000000000005</v>
      </c>
      <c r="CV10" s="319">
        <f>0.413*4</f>
        <v>1.6519999999999999</v>
      </c>
      <c r="CW10" s="319">
        <f>0.171</f>
        <v>0.17100000000000001</v>
      </c>
      <c r="CX10" s="319"/>
      <c r="CY10" s="245">
        <f>0.484/1.5*0.5</f>
        <v>0.16133333333333333</v>
      </c>
      <c r="CZ10" s="245">
        <f>0.323*1.5</f>
        <v>0.48450000000000004</v>
      </c>
      <c r="DA10" s="319">
        <v>0.32300000000000001</v>
      </c>
      <c r="DB10" s="319">
        <v>1.512</v>
      </c>
      <c r="DC10" s="319">
        <f>0.302/3*3.5</f>
        <v>0.35233333333333333</v>
      </c>
      <c r="DD10" s="319">
        <f>0.348*7</f>
        <v>2.4359999999999999</v>
      </c>
      <c r="DE10" s="319">
        <f>0.348*3</f>
        <v>1.044</v>
      </c>
      <c r="DF10" s="319">
        <f>0.302*1.5</f>
        <v>0.45299999999999996</v>
      </c>
      <c r="DG10" s="245">
        <v>6.048</v>
      </c>
      <c r="DH10" s="319">
        <v>8.5000000000000006E-2</v>
      </c>
      <c r="DI10" s="319">
        <v>3.0000000000000001E-3</v>
      </c>
      <c r="DJ10" s="245"/>
      <c r="DK10" s="319">
        <f>0.101*5</f>
        <v>0.505</v>
      </c>
      <c r="DL10" s="319">
        <v>0.60499999999999998</v>
      </c>
      <c r="DM10" s="319">
        <f>0.101*7</f>
        <v>0.70700000000000007</v>
      </c>
      <c r="DN10" s="319"/>
      <c r="DO10" s="319">
        <f>0.101*1.2</f>
        <v>0.1212</v>
      </c>
      <c r="DP10" s="319">
        <f>0.101*1.5</f>
        <v>0.15150000000000002</v>
      </c>
      <c r="DQ10" s="319">
        <f>0.413*1.7</f>
        <v>0.70209999999999995</v>
      </c>
      <c r="DR10" s="319">
        <f>0.323*0.3</f>
        <v>9.69E-2</v>
      </c>
      <c r="DS10" s="319"/>
      <c r="DT10" s="319">
        <f>0.348*5</f>
        <v>1.7399999999999998</v>
      </c>
      <c r="DU10" s="419">
        <f t="shared" si="1"/>
        <v>29.200833333333343</v>
      </c>
      <c r="DV10" s="57"/>
      <c r="DW10" s="319">
        <f>0.413*2.4</f>
        <v>0.99119999999999986</v>
      </c>
      <c r="DX10" s="319">
        <f>0.323*1.3</f>
        <v>0.41990000000000005</v>
      </c>
      <c r="DY10" s="319">
        <f>0.101*1.5</f>
        <v>0.15150000000000002</v>
      </c>
      <c r="DZ10" s="319">
        <v>0.32300000000000001</v>
      </c>
      <c r="EA10" s="319">
        <f>0.413*5</f>
        <v>2.0649999999999999</v>
      </c>
      <c r="EB10" s="319"/>
      <c r="EC10" s="319">
        <f>0.323*2</f>
        <v>0.64600000000000002</v>
      </c>
      <c r="ED10" s="319"/>
      <c r="EE10" s="319">
        <f>0.605*1.8</f>
        <v>1.089</v>
      </c>
      <c r="EF10" s="319"/>
      <c r="EG10" s="319"/>
      <c r="EH10" s="319"/>
      <c r="EI10" s="319"/>
      <c r="EJ10" s="319"/>
      <c r="EK10" s="319"/>
      <c r="EL10" s="319"/>
      <c r="EM10" s="319"/>
      <c r="EN10" s="319"/>
      <c r="EO10" s="319"/>
      <c r="EP10" s="319"/>
      <c r="EQ10" s="319"/>
      <c r="ER10" s="319"/>
      <c r="ES10" s="319"/>
      <c r="ET10" s="319"/>
      <c r="EU10" s="319"/>
      <c r="EV10" s="319"/>
      <c r="EW10" s="319"/>
      <c r="EX10" s="319"/>
      <c r="EY10" s="319"/>
      <c r="EZ10" s="319"/>
      <c r="FA10" s="319"/>
      <c r="FB10" s="319"/>
      <c r="FC10" s="319"/>
      <c r="FD10" s="319"/>
      <c r="FE10" s="319"/>
      <c r="FF10" s="319"/>
      <c r="FG10" s="319"/>
      <c r="FH10" s="319"/>
      <c r="FI10" s="319"/>
      <c r="FJ10" s="319"/>
      <c r="FK10" s="319"/>
      <c r="FL10" s="319"/>
      <c r="FM10" s="319"/>
      <c r="FN10" s="319"/>
      <c r="FO10" s="319"/>
      <c r="FP10" s="319"/>
      <c r="FQ10" s="319"/>
      <c r="FR10" s="319"/>
      <c r="FS10" s="319"/>
      <c r="FT10" s="319"/>
      <c r="FU10" s="319"/>
      <c r="FV10" s="319"/>
      <c r="FW10" s="319"/>
      <c r="FX10" s="319"/>
      <c r="FY10" s="319"/>
      <c r="FZ10" s="319"/>
      <c r="GA10" s="158">
        <f t="shared" si="2"/>
        <v>5.6855999999999991</v>
      </c>
      <c r="GB10" s="95"/>
      <c r="GC10" s="374"/>
      <c r="GD10" s="319">
        <f>0.101*0.9</f>
        <v>9.0900000000000009E-2</v>
      </c>
      <c r="GE10" s="319">
        <f>0.101*0.9</f>
        <v>9.0900000000000009E-2</v>
      </c>
      <c r="GF10" s="319">
        <f>0.504*3</f>
        <v>1.512</v>
      </c>
      <c r="GG10" s="319">
        <f>0.323*1.2</f>
        <v>0.3876</v>
      </c>
      <c r="GH10" s="319">
        <f>0.413*3</f>
        <v>1.2389999999999999</v>
      </c>
      <c r="GI10" s="271"/>
      <c r="GJ10" s="271"/>
      <c r="GK10" s="271"/>
      <c r="GL10" s="271"/>
      <c r="GM10" s="272"/>
      <c r="GN10" s="435"/>
      <c r="GO10" s="327">
        <f t="shared" si="3"/>
        <v>3.3203999999999998</v>
      </c>
      <c r="GP10" s="558">
        <f t="shared" si="4"/>
        <v>16.0806</v>
      </c>
      <c r="GQ10" s="605">
        <f t="shared" si="5"/>
        <v>19.401</v>
      </c>
      <c r="GR10" s="627">
        <f t="shared" si="6"/>
        <v>32.712000000000003</v>
      </c>
      <c r="GS10" s="239">
        <f t="shared" si="7"/>
        <v>29.143999999999998</v>
      </c>
      <c r="GT10" s="36" t="str">
        <f t="shared" si="8"/>
        <v>вит Д3 500</v>
      </c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</row>
    <row r="11" spans="1:215" ht="15" customHeight="1" x14ac:dyDescent="0.3">
      <c r="A11" s="1129">
        <f t="shared" ref="A11:A17" si="10">A10+1</f>
        <v>3</v>
      </c>
      <c r="B11" s="688" t="s">
        <v>424</v>
      </c>
      <c r="C11" s="565">
        <f>'1_квартал'!G11</f>
        <v>951.46</v>
      </c>
      <c r="D11" s="588">
        <f>370.44+460.86</f>
        <v>831.3</v>
      </c>
      <c r="E11" s="757">
        <f>87.31+631.63</f>
        <v>718.94</v>
      </c>
      <c r="F11" s="570"/>
      <c r="G11" s="878">
        <f t="shared" si="9"/>
        <v>775.12</v>
      </c>
      <c r="H11" s="93">
        <v>907.51</v>
      </c>
      <c r="I11" s="93">
        <v>724.39</v>
      </c>
      <c r="J11" s="94"/>
      <c r="K11" s="245">
        <f>8.795*3</f>
        <v>26.384999999999998</v>
      </c>
      <c r="L11" s="245">
        <v>0.39500000000000002</v>
      </c>
      <c r="M11" s="319">
        <f>2.965*5</f>
        <v>14.824999999999999</v>
      </c>
      <c r="N11" s="319">
        <f>2.866*5</f>
        <v>14.33</v>
      </c>
      <c r="O11" s="319">
        <f>2.372*2.7</f>
        <v>6.4043999999999999</v>
      </c>
      <c r="P11" s="319">
        <f>8.795*2.4</f>
        <v>21.108000000000001</v>
      </c>
      <c r="Q11" s="319">
        <f>9.289*0.6</f>
        <v>5.5733999999999995</v>
      </c>
      <c r="R11" s="319"/>
      <c r="S11" s="319">
        <f>2.372*7.5</f>
        <v>17.79</v>
      </c>
      <c r="T11" s="319">
        <f>9.289*3.5</f>
        <v>32.511499999999998</v>
      </c>
      <c r="U11" s="319">
        <f>23.52*0.6</f>
        <v>14.112</v>
      </c>
      <c r="V11" s="319">
        <f>8.795*1.6</f>
        <v>14.072000000000001</v>
      </c>
      <c r="W11" s="319">
        <f>2.372*0.6</f>
        <v>1.4231999999999998</v>
      </c>
      <c r="X11" s="319">
        <f>9.289*3</f>
        <v>27.866999999999997</v>
      </c>
      <c r="Y11" s="319">
        <f>23.52</f>
        <v>23.52</v>
      </c>
      <c r="Z11" s="319">
        <v>1.423</v>
      </c>
      <c r="AA11" s="319">
        <f>9.882*0.9</f>
        <v>8.8938000000000006</v>
      </c>
      <c r="AB11" s="319">
        <f>2.372*3</f>
        <v>7.1159999999999997</v>
      </c>
      <c r="AC11" s="245">
        <f>8.795*2</f>
        <v>17.59</v>
      </c>
      <c r="AD11" s="319">
        <f>4.032*5</f>
        <v>20.16</v>
      </c>
      <c r="AE11" s="319">
        <f>18.776*1.3</f>
        <v>24.408799999999999</v>
      </c>
      <c r="AF11" s="245">
        <f>19.152*0.6</f>
        <v>11.491200000000001</v>
      </c>
      <c r="AG11" s="319">
        <v>8.5280000000000005</v>
      </c>
      <c r="AH11" s="319">
        <f>12.096*2</f>
        <v>24.192</v>
      </c>
      <c r="AI11" s="319">
        <f>12.096*8</f>
        <v>96.768000000000001</v>
      </c>
      <c r="AJ11" s="319">
        <f>8.971*1.4</f>
        <v>12.5594</v>
      </c>
      <c r="AK11" s="319">
        <v>2.298</v>
      </c>
      <c r="AL11" s="319">
        <v>0.48399999999999999</v>
      </c>
      <c r="AM11" s="319">
        <f>8.971*3</f>
        <v>26.913</v>
      </c>
      <c r="AN11" s="319">
        <v>3.024</v>
      </c>
      <c r="AO11" s="319">
        <v>9.4749999999999996</v>
      </c>
      <c r="AP11" s="319">
        <f>3.024*0.3</f>
        <v>0.90720000000000001</v>
      </c>
      <c r="AQ11" s="319">
        <v>0.24199999999999999</v>
      </c>
      <c r="AR11" s="319">
        <v>5.4429999999999996</v>
      </c>
      <c r="AS11" s="319">
        <v>8.1000000000000003E-2</v>
      </c>
      <c r="AT11" s="319">
        <f>1.976*3.6</f>
        <v>7.1135999999999999</v>
      </c>
      <c r="AU11" s="319">
        <f>2.965*9</f>
        <v>26.684999999999999</v>
      </c>
      <c r="AV11" s="319">
        <f>15.713*2.3</f>
        <v>36.139899999999997</v>
      </c>
      <c r="AW11" s="319">
        <v>4.032</v>
      </c>
      <c r="AX11" s="319">
        <f>8.971*5</f>
        <v>44.855000000000004</v>
      </c>
      <c r="AY11" s="319">
        <f>8.064</f>
        <v>8.0640000000000001</v>
      </c>
      <c r="AZ11" s="319">
        <v>7.258</v>
      </c>
      <c r="BA11" s="319">
        <v>10.08</v>
      </c>
      <c r="BB11" s="245">
        <f>19.152*1.5</f>
        <v>28.728000000000002</v>
      </c>
      <c r="BC11" s="319">
        <f>4.355/1.2*0.3</f>
        <v>1.0887500000000001</v>
      </c>
      <c r="BD11" s="319">
        <f>0.423/0.3*0.1</f>
        <v>0.14099999999999999</v>
      </c>
      <c r="BE11" s="319">
        <v>0.36299999999999999</v>
      </c>
      <c r="BF11" s="319">
        <f>5.443/0.6*0.7</f>
        <v>6.3501666666666665</v>
      </c>
      <c r="BG11" s="319">
        <v>0.02</v>
      </c>
      <c r="BH11" s="319"/>
      <c r="BI11" s="319">
        <v>19.152000000000001</v>
      </c>
      <c r="BJ11" s="177">
        <f>16.128/8*1.8</f>
        <v>3.6288</v>
      </c>
      <c r="BK11" s="271">
        <f>16.128/8*1.5</f>
        <v>3.024</v>
      </c>
      <c r="BL11" s="319">
        <v>5.4429999999999996</v>
      </c>
      <c r="BM11" s="245">
        <f>19.152*0.6</f>
        <v>11.491200000000001</v>
      </c>
      <c r="BN11" s="319">
        <f>4.032*0.6</f>
        <v>2.4192</v>
      </c>
      <c r="BO11" s="245">
        <f>2.419*5</f>
        <v>12.095000000000001</v>
      </c>
      <c r="BP11" s="177">
        <f>16.128/8*4.7</f>
        <v>9.475200000000001</v>
      </c>
      <c r="BQ11" s="245"/>
      <c r="BR11" s="177">
        <f>4.81/0.9*0.8</f>
        <v>4.2755555555555551</v>
      </c>
      <c r="BS11" s="177">
        <f>2.016*4</f>
        <v>8.0640000000000001</v>
      </c>
      <c r="BT11" s="319"/>
      <c r="BU11" s="319">
        <f>10.08*0.4</f>
        <v>4.032</v>
      </c>
      <c r="BV11" s="319">
        <v>6.29</v>
      </c>
      <c r="BW11" s="319">
        <f>8.971*3</f>
        <v>26.913</v>
      </c>
      <c r="BX11" s="319">
        <v>11.032</v>
      </c>
      <c r="BY11" s="319">
        <f>2.372*3.8</f>
        <v>9.0135999999999985</v>
      </c>
      <c r="BZ11" s="319">
        <f>23.52*0.5</f>
        <v>11.76</v>
      </c>
      <c r="CA11" s="158">
        <f t="shared" si="0"/>
        <v>831.3408722222224</v>
      </c>
      <c r="CB11" s="94"/>
      <c r="CC11" s="319">
        <f>8.795*2.4</f>
        <v>21.108000000000001</v>
      </c>
      <c r="CD11" s="319">
        <v>0.02</v>
      </c>
      <c r="CE11" s="319">
        <f>2.372*0.6</f>
        <v>1.4231999999999998</v>
      </c>
      <c r="CF11" s="319">
        <f>8.971*1.8</f>
        <v>16.1478</v>
      </c>
      <c r="CG11" s="319">
        <f>8.971*1.3</f>
        <v>11.6623</v>
      </c>
      <c r="CH11" s="319">
        <v>19.152000000000001</v>
      </c>
      <c r="CI11" s="319">
        <f>9.882*0.9</f>
        <v>8.8938000000000006</v>
      </c>
      <c r="CJ11" s="319">
        <f>19.152*1.3</f>
        <v>24.897600000000001</v>
      </c>
      <c r="CK11" s="245">
        <f>8.795*5</f>
        <v>43.975000000000001</v>
      </c>
      <c r="CL11" s="319">
        <f>5.746/0.3*0.2</f>
        <v>3.8306666666666676</v>
      </c>
      <c r="CM11" s="319">
        <f>8.971*5</f>
        <v>44.855000000000004</v>
      </c>
      <c r="CN11" s="319">
        <v>16.033000000000001</v>
      </c>
      <c r="CO11" s="319">
        <f>2.419*6</f>
        <v>14.513999999999999</v>
      </c>
      <c r="CP11" s="319">
        <f>22.982/1.2*0.6</f>
        <v>11.491</v>
      </c>
      <c r="CQ11" s="319">
        <f>23.99*2</f>
        <v>47.98</v>
      </c>
      <c r="CR11" s="319">
        <f>5.443</f>
        <v>5.4429999999999996</v>
      </c>
      <c r="CS11" s="319">
        <f>2.923*5</f>
        <v>14.615</v>
      </c>
      <c r="CT11" s="245">
        <f>2.419*5</f>
        <v>12.095000000000001</v>
      </c>
      <c r="CU11" s="319">
        <f>2.96+11.92</f>
        <v>14.879999999999999</v>
      </c>
      <c r="CV11" s="319">
        <f>8.971*4</f>
        <v>35.884</v>
      </c>
      <c r="CW11" s="319">
        <f>8.064</f>
        <v>8.0640000000000001</v>
      </c>
      <c r="CX11" s="319"/>
      <c r="CY11" s="245">
        <f>28.728/1.5*0.5</f>
        <v>9.5760000000000005</v>
      </c>
      <c r="CZ11" s="245">
        <f>19.152*1.5</f>
        <v>28.728000000000002</v>
      </c>
      <c r="DA11" s="319">
        <v>19.152000000000001</v>
      </c>
      <c r="DB11" s="319">
        <v>54.432000000000002</v>
      </c>
      <c r="DC11" s="319">
        <f>7.258/3*3.5</f>
        <v>8.4676666666666662</v>
      </c>
      <c r="DD11" s="319">
        <f>9.072*7</f>
        <v>63.503999999999991</v>
      </c>
      <c r="DE11" s="319">
        <f>9.072*3</f>
        <v>27.215999999999998</v>
      </c>
      <c r="DF11" s="319">
        <f>1.512*1.5</f>
        <v>2.2679999999999998</v>
      </c>
      <c r="DG11" s="245"/>
      <c r="DH11" s="319">
        <v>3.145</v>
      </c>
      <c r="DI11" s="319">
        <v>0.06</v>
      </c>
      <c r="DJ11" s="245"/>
      <c r="DK11" s="319">
        <f>2.419*5</f>
        <v>12.095000000000001</v>
      </c>
      <c r="DL11" s="319">
        <v>4.032</v>
      </c>
      <c r="DM11" s="319">
        <f>2.419*7</f>
        <v>16.933</v>
      </c>
      <c r="DN11" s="319"/>
      <c r="DO11" s="319">
        <f>9.072*1.2</f>
        <v>10.886399999999998</v>
      </c>
      <c r="DP11" s="319">
        <f>9.475*1.5</f>
        <v>14.212499999999999</v>
      </c>
      <c r="DQ11" s="319">
        <f>8.971*1.7</f>
        <v>15.2507</v>
      </c>
      <c r="DR11" s="319">
        <f>19.152*0.3</f>
        <v>5.7456000000000005</v>
      </c>
      <c r="DS11" s="319">
        <f>3.024*0.3</f>
        <v>0.90720000000000001</v>
      </c>
      <c r="DT11" s="319">
        <f>9.072*5</f>
        <v>45.36</v>
      </c>
      <c r="DU11" s="419">
        <f t="shared" si="1"/>
        <v>718.93543333333344</v>
      </c>
      <c r="DV11" s="57"/>
      <c r="DW11" s="319">
        <f>8.971*2.4</f>
        <v>21.5304</v>
      </c>
      <c r="DX11" s="319">
        <f>19.152*1.3</f>
        <v>24.897600000000001</v>
      </c>
      <c r="DY11" s="319">
        <f>9.475*1.5</f>
        <v>14.212499999999999</v>
      </c>
      <c r="DZ11" s="319">
        <v>19.152000000000001</v>
      </c>
      <c r="EA11" s="319">
        <f>8.971*5</f>
        <v>44.855000000000004</v>
      </c>
      <c r="EB11" s="319">
        <f>1.075*3</f>
        <v>3.2249999999999996</v>
      </c>
      <c r="EC11" s="319">
        <f>23.99*2</f>
        <v>47.98</v>
      </c>
      <c r="ED11" s="319"/>
      <c r="EE11" s="319">
        <f>4.032*1.8</f>
        <v>7.2576000000000001</v>
      </c>
      <c r="EF11" s="319"/>
      <c r="EG11" s="319"/>
      <c r="EH11" s="319"/>
      <c r="EI11" s="319"/>
      <c r="EJ11" s="319"/>
      <c r="EK11" s="319"/>
      <c r="EL11" s="319"/>
      <c r="EM11" s="319"/>
      <c r="EN11" s="319"/>
      <c r="EO11" s="319"/>
      <c r="EP11" s="319"/>
      <c r="EQ11" s="319"/>
      <c r="ER11" s="319"/>
      <c r="ES11" s="319"/>
      <c r="ET11" s="319"/>
      <c r="EU11" s="319"/>
      <c r="EV11" s="319"/>
      <c r="EW11" s="319"/>
      <c r="EX11" s="319"/>
      <c r="EY11" s="319"/>
      <c r="EZ11" s="319"/>
      <c r="FA11" s="319"/>
      <c r="FB11" s="319"/>
      <c r="FC11" s="319"/>
      <c r="FD11" s="319"/>
      <c r="FE11" s="319"/>
      <c r="FF11" s="319"/>
      <c r="FG11" s="319"/>
      <c r="FH11" s="319"/>
      <c r="FI11" s="319"/>
      <c r="FJ11" s="319"/>
      <c r="FK11" s="319"/>
      <c r="FL11" s="319"/>
      <c r="FM11" s="319"/>
      <c r="FN11" s="319"/>
      <c r="FO11" s="319"/>
      <c r="FP11" s="319"/>
      <c r="FQ11" s="319"/>
      <c r="FR11" s="319"/>
      <c r="FS11" s="319"/>
      <c r="FT11" s="319"/>
      <c r="FU11" s="319"/>
      <c r="FV11" s="319"/>
      <c r="FW11" s="319"/>
      <c r="FX11" s="319"/>
      <c r="FY11" s="319"/>
      <c r="FZ11" s="319"/>
      <c r="GA11" s="158">
        <f t="shared" si="2"/>
        <v>183.11009999999999</v>
      </c>
      <c r="GB11" s="95"/>
      <c r="GC11" s="374"/>
      <c r="GD11" s="319">
        <f>9.475*0.9</f>
        <v>8.5274999999999999</v>
      </c>
      <c r="GE11" s="319">
        <f>2.419*0.9</f>
        <v>2.1771000000000003</v>
      </c>
      <c r="GF11" s="319">
        <f>18.144*3</f>
        <v>54.431999999999995</v>
      </c>
      <c r="GG11" s="319">
        <f>19.152*1.2</f>
        <v>22.982400000000002</v>
      </c>
      <c r="GH11" s="319">
        <f>8.971*3</f>
        <v>26.913</v>
      </c>
      <c r="GI11" s="271"/>
      <c r="GJ11" s="271"/>
      <c r="GK11" s="271"/>
      <c r="GL11" s="271"/>
      <c r="GM11" s="272"/>
      <c r="GN11" s="435"/>
      <c r="GO11" s="327">
        <f t="shared" si="3"/>
        <v>115.03199999999998</v>
      </c>
      <c r="GP11" s="558">
        <f t="shared" si="4"/>
        <v>609.35799999999995</v>
      </c>
      <c r="GQ11" s="605">
        <f t="shared" si="5"/>
        <v>724.39</v>
      </c>
      <c r="GR11" s="627">
        <f t="shared" si="6"/>
        <v>951.46</v>
      </c>
      <c r="GS11" s="239">
        <f t="shared" si="7"/>
        <v>718.94</v>
      </c>
      <c r="GT11" s="36" t="str">
        <f t="shared" si="8"/>
        <v>вит Е 50%</v>
      </c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</row>
    <row r="12" spans="1:215" ht="15" customHeight="1" x14ac:dyDescent="0.3">
      <c r="A12" s="1129">
        <f t="shared" si="10"/>
        <v>4</v>
      </c>
      <c r="B12" s="689" t="s">
        <v>25</v>
      </c>
      <c r="C12" s="565">
        <f>'1_квартал'!G12</f>
        <v>0</v>
      </c>
      <c r="D12" s="263">
        <v>0</v>
      </c>
      <c r="E12" s="1300">
        <v>0</v>
      </c>
      <c r="F12" s="571"/>
      <c r="G12" s="878">
        <f t="shared" si="9"/>
        <v>0</v>
      </c>
      <c r="H12" s="93">
        <v>0</v>
      </c>
      <c r="I12" s="93">
        <v>0</v>
      </c>
      <c r="J12" s="112"/>
      <c r="K12" s="245"/>
      <c r="L12" s="245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245"/>
      <c r="AD12" s="319"/>
      <c r="AE12" s="319"/>
      <c r="AF12" s="245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  <c r="AZ12" s="319"/>
      <c r="BA12" s="319"/>
      <c r="BB12" s="245"/>
      <c r="BC12" s="319"/>
      <c r="BD12" s="319"/>
      <c r="BE12" s="319"/>
      <c r="BF12" s="319"/>
      <c r="BG12" s="319"/>
      <c r="BH12" s="319"/>
      <c r="BI12" s="319"/>
      <c r="BJ12" s="177"/>
      <c r="BK12" s="271"/>
      <c r="BL12" s="319"/>
      <c r="BM12" s="245"/>
      <c r="BN12" s="319"/>
      <c r="BO12" s="245"/>
      <c r="BP12" s="177"/>
      <c r="BQ12" s="245"/>
      <c r="BR12" s="177"/>
      <c r="BS12" s="177"/>
      <c r="BT12" s="319"/>
      <c r="BU12" s="319"/>
      <c r="BV12" s="319"/>
      <c r="BW12" s="319"/>
      <c r="BX12" s="319"/>
      <c r="BY12" s="319"/>
      <c r="BZ12" s="319"/>
      <c r="CA12" s="158">
        <f t="shared" si="0"/>
        <v>0</v>
      </c>
      <c r="CB12" s="112"/>
      <c r="CC12" s="319"/>
      <c r="CD12" s="319"/>
      <c r="CE12" s="319"/>
      <c r="CF12" s="319"/>
      <c r="CG12" s="319"/>
      <c r="CH12" s="319"/>
      <c r="CI12" s="319"/>
      <c r="CJ12" s="319"/>
      <c r="CK12" s="245"/>
      <c r="CL12" s="319"/>
      <c r="CM12" s="319"/>
      <c r="CN12" s="319"/>
      <c r="CO12" s="319"/>
      <c r="CP12" s="319"/>
      <c r="CQ12" s="319"/>
      <c r="CR12" s="319"/>
      <c r="CS12" s="319"/>
      <c r="CT12" s="245"/>
      <c r="CU12" s="319"/>
      <c r="CV12" s="319"/>
      <c r="CW12" s="319"/>
      <c r="CX12" s="319"/>
      <c r="CY12" s="245"/>
      <c r="CZ12" s="245"/>
      <c r="DA12" s="319"/>
      <c r="DB12" s="319"/>
      <c r="DC12" s="319"/>
      <c r="DD12" s="319"/>
      <c r="DE12" s="319"/>
      <c r="DF12" s="319"/>
      <c r="DG12" s="245"/>
      <c r="DH12" s="319"/>
      <c r="DI12" s="319"/>
      <c r="DJ12" s="245"/>
      <c r="DK12" s="319"/>
      <c r="DL12" s="319"/>
      <c r="DM12" s="319"/>
      <c r="DN12" s="319"/>
      <c r="DO12" s="319"/>
      <c r="DP12" s="319"/>
      <c r="DQ12" s="319"/>
      <c r="DR12" s="319"/>
      <c r="DS12" s="319"/>
      <c r="DT12" s="319"/>
      <c r="DU12" s="419">
        <f t="shared" si="1"/>
        <v>0</v>
      </c>
      <c r="DV12" s="57"/>
      <c r="DW12" s="319"/>
      <c r="DX12" s="319"/>
      <c r="DY12" s="319"/>
      <c r="DZ12" s="319"/>
      <c r="EA12" s="319"/>
      <c r="EB12" s="319"/>
      <c r="EC12" s="319"/>
      <c r="ED12" s="319"/>
      <c r="EE12" s="319"/>
      <c r="EF12" s="319"/>
      <c r="EG12" s="319"/>
      <c r="EH12" s="319"/>
      <c r="EI12" s="319"/>
      <c r="EJ12" s="319"/>
      <c r="EK12" s="319"/>
      <c r="EL12" s="319"/>
      <c r="EM12" s="319"/>
      <c r="EN12" s="319"/>
      <c r="EO12" s="319"/>
      <c r="EP12" s="319"/>
      <c r="EQ12" s="319"/>
      <c r="ER12" s="319"/>
      <c r="ES12" s="319"/>
      <c r="ET12" s="319"/>
      <c r="EU12" s="319"/>
      <c r="EV12" s="319"/>
      <c r="EW12" s="319"/>
      <c r="EX12" s="319"/>
      <c r="EY12" s="319"/>
      <c r="EZ12" s="319"/>
      <c r="FA12" s="319"/>
      <c r="FB12" s="319"/>
      <c r="FC12" s="319"/>
      <c r="FD12" s="319"/>
      <c r="FE12" s="319"/>
      <c r="FF12" s="319"/>
      <c r="FG12" s="319"/>
      <c r="FH12" s="319"/>
      <c r="FI12" s="319"/>
      <c r="FJ12" s="319"/>
      <c r="FK12" s="319"/>
      <c r="FL12" s="319"/>
      <c r="FM12" s="319"/>
      <c r="FN12" s="319"/>
      <c r="FO12" s="319"/>
      <c r="FP12" s="319"/>
      <c r="FQ12" s="319"/>
      <c r="FR12" s="319"/>
      <c r="FS12" s="319"/>
      <c r="FT12" s="319"/>
      <c r="FU12" s="319"/>
      <c r="FV12" s="319"/>
      <c r="FW12" s="319"/>
      <c r="FX12" s="319"/>
      <c r="FY12" s="319"/>
      <c r="FZ12" s="319"/>
      <c r="GA12" s="158">
        <f t="shared" si="2"/>
        <v>0</v>
      </c>
      <c r="GB12" s="113"/>
      <c r="GC12" s="374"/>
      <c r="GD12" s="319"/>
      <c r="GE12" s="319"/>
      <c r="GF12" s="319"/>
      <c r="GG12" s="319"/>
      <c r="GH12" s="319"/>
      <c r="GI12" s="271"/>
      <c r="GJ12" s="271"/>
      <c r="GK12" s="271"/>
      <c r="GL12" s="271"/>
      <c r="GM12" s="272"/>
      <c r="GN12" s="435"/>
      <c r="GO12" s="584">
        <f t="shared" si="3"/>
        <v>0</v>
      </c>
      <c r="GP12" s="445">
        <f t="shared" si="4"/>
        <v>0</v>
      </c>
      <c r="GQ12" s="605">
        <f t="shared" si="5"/>
        <v>0</v>
      </c>
      <c r="GR12" s="627">
        <f t="shared" si="6"/>
        <v>0</v>
      </c>
      <c r="GS12" s="239">
        <f t="shared" si="7"/>
        <v>0</v>
      </c>
      <c r="GT12" s="36" t="str">
        <f t="shared" si="8"/>
        <v>вит В1 (тиамин)</v>
      </c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</row>
    <row r="13" spans="1:215" ht="15" customHeight="1" x14ac:dyDescent="0.3">
      <c r="A13" s="1129">
        <f t="shared" si="10"/>
        <v>5</v>
      </c>
      <c r="B13" s="688" t="s">
        <v>3</v>
      </c>
      <c r="C13" s="565">
        <f>'1_квартал'!G13</f>
        <v>0.43</v>
      </c>
      <c r="D13" s="263">
        <v>0</v>
      </c>
      <c r="E13" s="1300">
        <v>0</v>
      </c>
      <c r="F13" s="571"/>
      <c r="G13" s="878">
        <f t="shared" si="9"/>
        <v>0</v>
      </c>
      <c r="H13" s="93">
        <v>0</v>
      </c>
      <c r="I13" s="93">
        <v>0</v>
      </c>
      <c r="J13" s="94"/>
      <c r="K13" s="245"/>
      <c r="L13" s="245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245"/>
      <c r="AD13" s="319"/>
      <c r="AE13" s="319"/>
      <c r="AF13" s="245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19"/>
      <c r="BD13" s="319"/>
      <c r="BE13" s="319"/>
      <c r="BF13" s="319"/>
      <c r="BG13" s="319"/>
      <c r="BH13" s="319"/>
      <c r="BI13" s="319"/>
      <c r="BJ13" s="177"/>
      <c r="BK13" s="271"/>
      <c r="BL13" s="319"/>
      <c r="BM13" s="245"/>
      <c r="BN13" s="319"/>
      <c r="BO13" s="245"/>
      <c r="BP13" s="177"/>
      <c r="BQ13" s="245"/>
      <c r="BR13" s="177"/>
      <c r="BS13" s="177"/>
      <c r="BT13" s="319"/>
      <c r="BU13" s="319"/>
      <c r="BV13" s="319"/>
      <c r="BW13" s="319"/>
      <c r="BX13" s="319"/>
      <c r="BY13" s="319"/>
      <c r="BZ13" s="319"/>
      <c r="CA13" s="158">
        <f t="shared" si="0"/>
        <v>0</v>
      </c>
      <c r="CB13" s="94"/>
      <c r="CC13" s="319"/>
      <c r="CD13" s="319"/>
      <c r="CE13" s="319"/>
      <c r="CF13" s="319"/>
      <c r="CG13" s="319"/>
      <c r="CH13" s="319"/>
      <c r="CI13" s="319"/>
      <c r="CJ13" s="319"/>
      <c r="CK13" s="245"/>
      <c r="CL13" s="319"/>
      <c r="CM13" s="319"/>
      <c r="CN13" s="319"/>
      <c r="CO13" s="319"/>
      <c r="CP13" s="319"/>
      <c r="CQ13" s="319"/>
      <c r="CR13" s="319"/>
      <c r="CS13" s="319"/>
      <c r="CT13" s="245"/>
      <c r="CU13" s="319"/>
      <c r="CV13" s="319"/>
      <c r="CW13" s="319"/>
      <c r="CX13" s="319"/>
      <c r="CY13" s="319"/>
      <c r="CZ13" s="319"/>
      <c r="DA13" s="319"/>
      <c r="DB13" s="319"/>
      <c r="DC13" s="319"/>
      <c r="DD13" s="319"/>
      <c r="DE13" s="319"/>
      <c r="DF13" s="319"/>
      <c r="DG13" s="245"/>
      <c r="DH13" s="319"/>
      <c r="DI13" s="319"/>
      <c r="DJ13" s="245"/>
      <c r="DK13" s="319"/>
      <c r="DL13" s="319"/>
      <c r="DM13" s="319"/>
      <c r="DN13" s="319"/>
      <c r="DO13" s="319"/>
      <c r="DP13" s="319"/>
      <c r="DQ13" s="319"/>
      <c r="DR13" s="319"/>
      <c r="DS13" s="319"/>
      <c r="DT13" s="319"/>
      <c r="DU13" s="419">
        <f t="shared" si="1"/>
        <v>0</v>
      </c>
      <c r="DV13" s="57"/>
      <c r="DW13" s="319"/>
      <c r="DX13" s="319"/>
      <c r="DY13" s="319"/>
      <c r="DZ13" s="319"/>
      <c r="EA13" s="319"/>
      <c r="EB13" s="319"/>
      <c r="EC13" s="319"/>
      <c r="ED13" s="319"/>
      <c r="EE13" s="319"/>
      <c r="EF13" s="319"/>
      <c r="EG13" s="319"/>
      <c r="EH13" s="319"/>
      <c r="EI13" s="319"/>
      <c r="EJ13" s="319"/>
      <c r="EK13" s="319"/>
      <c r="EL13" s="319"/>
      <c r="EM13" s="319"/>
      <c r="EN13" s="319"/>
      <c r="EO13" s="319"/>
      <c r="EP13" s="319"/>
      <c r="EQ13" s="319"/>
      <c r="ER13" s="319"/>
      <c r="ES13" s="319"/>
      <c r="ET13" s="319"/>
      <c r="EU13" s="319"/>
      <c r="EV13" s="319"/>
      <c r="EW13" s="319"/>
      <c r="EX13" s="319"/>
      <c r="EY13" s="319"/>
      <c r="EZ13" s="319"/>
      <c r="FA13" s="319"/>
      <c r="FB13" s="319"/>
      <c r="FC13" s="319"/>
      <c r="FD13" s="319"/>
      <c r="FE13" s="319"/>
      <c r="FF13" s="319"/>
      <c r="FG13" s="319"/>
      <c r="FH13" s="319"/>
      <c r="FI13" s="319"/>
      <c r="FJ13" s="319"/>
      <c r="FK13" s="319"/>
      <c r="FL13" s="319"/>
      <c r="FM13" s="319"/>
      <c r="FN13" s="319"/>
      <c r="FO13" s="319"/>
      <c r="FP13" s="319"/>
      <c r="FQ13" s="319"/>
      <c r="FR13" s="319"/>
      <c r="FS13" s="319"/>
      <c r="FT13" s="319"/>
      <c r="FU13" s="319"/>
      <c r="FV13" s="319"/>
      <c r="FW13" s="319"/>
      <c r="FX13" s="319"/>
      <c r="FY13" s="319"/>
      <c r="FZ13" s="319"/>
      <c r="GA13" s="158">
        <f t="shared" si="2"/>
        <v>0</v>
      </c>
      <c r="GB13" s="95"/>
      <c r="GC13" s="374"/>
      <c r="GD13" s="319"/>
      <c r="GE13" s="319"/>
      <c r="GF13" s="319"/>
      <c r="GG13" s="319"/>
      <c r="GH13" s="319"/>
      <c r="GI13" s="271"/>
      <c r="GJ13" s="271"/>
      <c r="GK13" s="271"/>
      <c r="GL13" s="271"/>
      <c r="GM13" s="272"/>
      <c r="GN13" s="435"/>
      <c r="GO13" s="327">
        <f t="shared" si="3"/>
        <v>0</v>
      </c>
      <c r="GP13" s="445">
        <f t="shared" si="4"/>
        <v>0</v>
      </c>
      <c r="GQ13" s="605">
        <f t="shared" si="5"/>
        <v>0</v>
      </c>
      <c r="GR13" s="627">
        <f t="shared" si="6"/>
        <v>0.43</v>
      </c>
      <c r="GS13" s="239">
        <f t="shared" si="7"/>
        <v>0</v>
      </c>
      <c r="GT13" s="36" t="str">
        <f t="shared" si="8"/>
        <v>вит В2</v>
      </c>
      <c r="GU13" s="953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</row>
    <row r="14" spans="1:215" ht="15" customHeight="1" x14ac:dyDescent="0.3">
      <c r="A14" s="1129">
        <f t="shared" si="10"/>
        <v>6</v>
      </c>
      <c r="B14" s="688" t="s">
        <v>17</v>
      </c>
      <c r="C14" s="565">
        <f>'1_квартал'!G14</f>
        <v>8.3000000000000004E-2</v>
      </c>
      <c r="D14" s="263">
        <v>4.83</v>
      </c>
      <c r="E14" s="1300">
        <v>2.42</v>
      </c>
      <c r="F14" s="571"/>
      <c r="G14" s="878">
        <f t="shared" si="9"/>
        <v>3.625</v>
      </c>
      <c r="H14" s="93">
        <v>6.87</v>
      </c>
      <c r="I14" s="93">
        <v>6.87</v>
      </c>
      <c r="J14" s="94"/>
      <c r="K14" s="245"/>
      <c r="L14" s="245"/>
      <c r="M14" s="319"/>
      <c r="N14" s="319"/>
      <c r="O14" s="319"/>
      <c r="P14" s="319"/>
      <c r="Q14" s="319"/>
      <c r="R14" s="319"/>
      <c r="S14" s="319">
        <f>0.103*7.5</f>
        <v>0.77249999999999996</v>
      </c>
      <c r="T14" s="319">
        <f>0.103*3.5</f>
        <v>0.36049999999999999</v>
      </c>
      <c r="U14" s="319">
        <f>0.103*0.6</f>
        <v>6.1799999999999994E-2</v>
      </c>
      <c r="V14" s="319"/>
      <c r="W14" s="319">
        <f>0.103*0.6</f>
        <v>6.1799999999999994E-2</v>
      </c>
      <c r="X14" s="319">
        <f>0.103*3</f>
        <v>0.309</v>
      </c>
      <c r="Y14" s="319">
        <f>0.103</f>
        <v>0.10299999999999999</v>
      </c>
      <c r="Z14" s="319"/>
      <c r="AA14" s="319"/>
      <c r="AB14" s="319">
        <f>0.103*3</f>
        <v>0.309</v>
      </c>
      <c r="AC14" s="245"/>
      <c r="AD14" s="319">
        <f>0.103*5</f>
        <v>0.51500000000000001</v>
      </c>
      <c r="AE14" s="319"/>
      <c r="AF14" s="245"/>
      <c r="AG14" s="319"/>
      <c r="AH14" s="319">
        <f>0.103*2</f>
        <v>0.20599999999999999</v>
      </c>
      <c r="AI14" s="319">
        <f>0.103*8</f>
        <v>0.82399999999999995</v>
      </c>
      <c r="AJ14" s="319"/>
      <c r="AK14" s="319"/>
      <c r="AL14" s="319"/>
      <c r="AM14" s="319">
        <f>0.103*3</f>
        <v>0.309</v>
      </c>
      <c r="AN14" s="319"/>
      <c r="AO14" s="319">
        <v>0.10299999999999999</v>
      </c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>
        <f>0.062/0.3*0.1</f>
        <v>2.0666666666666667E-2</v>
      </c>
      <c r="BE14" s="319"/>
      <c r="BF14" s="319"/>
      <c r="BG14" s="319"/>
      <c r="BH14" s="319"/>
      <c r="BI14" s="319">
        <v>0.10299999999999999</v>
      </c>
      <c r="BJ14" s="177"/>
      <c r="BK14" s="271"/>
      <c r="BL14" s="319"/>
      <c r="BM14" s="245"/>
      <c r="BN14" s="319"/>
      <c r="BO14" s="245"/>
      <c r="BP14" s="177"/>
      <c r="BQ14" s="245"/>
      <c r="BR14" s="177">
        <f>0.046/0.9*0.8</f>
        <v>4.0888888888888891E-2</v>
      </c>
      <c r="BS14" s="177"/>
      <c r="BT14" s="319"/>
      <c r="BU14" s="319"/>
      <c r="BV14" s="319"/>
      <c r="BW14" s="319">
        <f>0.103*3</f>
        <v>0.309</v>
      </c>
      <c r="BX14" s="319"/>
      <c r="BY14" s="319">
        <f>0.103*3.8</f>
        <v>0.39139999999999997</v>
      </c>
      <c r="BZ14" s="319">
        <f>0.103*0.5</f>
        <v>5.1499999999999997E-2</v>
      </c>
      <c r="CA14" s="158">
        <f t="shared" si="0"/>
        <v>4.851055555555555</v>
      </c>
      <c r="CB14" s="94"/>
      <c r="CC14" s="319"/>
      <c r="CD14" s="319"/>
      <c r="CE14" s="319">
        <f>0.103*0.6</f>
        <v>6.1799999999999994E-2</v>
      </c>
      <c r="CF14" s="319"/>
      <c r="CG14" s="319">
        <f>0.103*1.3</f>
        <v>0.13389999999999999</v>
      </c>
      <c r="CH14" s="319">
        <v>0.10299999999999999</v>
      </c>
      <c r="CI14" s="319"/>
      <c r="CJ14" s="319">
        <f>0.103*1.3</f>
        <v>0.13389999999999999</v>
      </c>
      <c r="CK14" s="245"/>
      <c r="CL14" s="319"/>
      <c r="CM14" s="319">
        <f>0.103*5</f>
        <v>0.51500000000000001</v>
      </c>
      <c r="CN14" s="319">
        <v>0.154</v>
      </c>
      <c r="CO14" s="319">
        <f>0.103*6</f>
        <v>0.61799999999999999</v>
      </c>
      <c r="CP14" s="319"/>
      <c r="CQ14" s="319">
        <f>0.103*2</f>
        <v>0.20599999999999999</v>
      </c>
      <c r="CR14" s="319"/>
      <c r="CS14" s="319"/>
      <c r="CT14" s="245"/>
      <c r="CU14" s="319"/>
      <c r="CV14" s="319"/>
      <c r="CW14" s="319"/>
      <c r="CX14" s="319"/>
      <c r="CY14" s="319"/>
      <c r="CZ14" s="319"/>
      <c r="DA14" s="319"/>
      <c r="DB14" s="319"/>
      <c r="DC14" s="319"/>
      <c r="DD14" s="319"/>
      <c r="DE14" s="319"/>
      <c r="DF14" s="319"/>
      <c r="DG14" s="245"/>
      <c r="DH14" s="319"/>
      <c r="DI14" s="319"/>
      <c r="DJ14" s="245"/>
      <c r="DK14" s="319">
        <f>0.103*5</f>
        <v>0.51500000000000001</v>
      </c>
      <c r="DL14" s="319"/>
      <c r="DM14" s="319"/>
      <c r="DN14" s="319"/>
      <c r="DO14" s="319"/>
      <c r="DP14" s="319"/>
      <c r="DQ14" s="319"/>
      <c r="DR14" s="319"/>
      <c r="DS14" s="319"/>
      <c r="DT14" s="319"/>
      <c r="DU14" s="419">
        <f t="shared" si="1"/>
        <v>2.4405999999999999</v>
      </c>
      <c r="DV14" s="57"/>
      <c r="DW14" s="319"/>
      <c r="DX14" s="319"/>
      <c r="DY14" s="319"/>
      <c r="DZ14" s="319"/>
      <c r="EA14" s="319"/>
      <c r="EB14" s="319"/>
      <c r="EC14" s="319"/>
      <c r="ED14" s="319"/>
      <c r="EE14" s="319"/>
      <c r="EF14" s="319"/>
      <c r="EG14" s="319"/>
      <c r="EH14" s="319"/>
      <c r="EI14" s="319"/>
      <c r="EJ14" s="319"/>
      <c r="EK14" s="319"/>
      <c r="EL14" s="319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319"/>
      <c r="FQ14" s="319"/>
      <c r="FR14" s="319"/>
      <c r="FS14" s="319"/>
      <c r="FT14" s="319"/>
      <c r="FU14" s="319"/>
      <c r="FV14" s="319"/>
      <c r="FW14" s="319"/>
      <c r="FX14" s="319"/>
      <c r="FY14" s="319"/>
      <c r="FZ14" s="319"/>
      <c r="GA14" s="158">
        <f t="shared" si="2"/>
        <v>0</v>
      </c>
      <c r="GB14" s="95"/>
      <c r="GC14" s="374"/>
      <c r="GD14" s="319"/>
      <c r="GE14" s="319"/>
      <c r="GF14" s="319"/>
      <c r="GG14" s="319"/>
      <c r="GH14" s="319"/>
      <c r="GI14" s="271"/>
      <c r="GJ14" s="271"/>
      <c r="GK14" s="271"/>
      <c r="GL14" s="271"/>
      <c r="GM14" s="272"/>
      <c r="GN14" s="435"/>
      <c r="GO14" s="327">
        <f t="shared" si="3"/>
        <v>0</v>
      </c>
      <c r="GP14" s="445">
        <f t="shared" si="4"/>
        <v>6.87</v>
      </c>
      <c r="GQ14" s="605">
        <f t="shared" si="5"/>
        <v>6.87</v>
      </c>
      <c r="GR14" s="627">
        <f t="shared" si="6"/>
        <v>8.3000000000000004E-2</v>
      </c>
      <c r="GS14" s="239">
        <f t="shared" si="7"/>
        <v>2.42</v>
      </c>
      <c r="GT14" s="36" t="str">
        <f t="shared" si="8"/>
        <v>вит В3, Нутравит В5 (кальпан)</v>
      </c>
      <c r="GU14" s="942">
        <v>46455</v>
      </c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</row>
    <row r="15" spans="1:215" ht="15" customHeight="1" x14ac:dyDescent="0.3">
      <c r="A15" s="1129">
        <f t="shared" si="10"/>
        <v>7</v>
      </c>
      <c r="B15" s="688" t="s">
        <v>6</v>
      </c>
      <c r="C15" s="565">
        <f>'1_квартал'!G15</f>
        <v>0.247</v>
      </c>
      <c r="D15" s="263">
        <v>0.13</v>
      </c>
      <c r="E15" s="1300">
        <v>1.59</v>
      </c>
      <c r="F15" s="571"/>
      <c r="G15" s="878">
        <f t="shared" si="9"/>
        <v>0.86</v>
      </c>
      <c r="H15" s="93">
        <v>17.747</v>
      </c>
      <c r="I15" s="93">
        <v>16.507000000000001</v>
      </c>
      <c r="J15" s="94"/>
      <c r="K15" s="245"/>
      <c r="L15" s="245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245"/>
      <c r="AD15" s="319"/>
      <c r="AE15" s="319"/>
      <c r="AF15" s="245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  <c r="AZ15" s="319"/>
      <c r="BA15" s="319"/>
      <c r="BB15" s="319"/>
      <c r="BC15" s="319"/>
      <c r="BD15" s="319">
        <f>0.031/0.3*0.1</f>
        <v>1.0333333333333333E-2</v>
      </c>
      <c r="BE15" s="319"/>
      <c r="BF15" s="319"/>
      <c r="BG15" s="319"/>
      <c r="BH15" s="319"/>
      <c r="BI15" s="319"/>
      <c r="BJ15" s="177"/>
      <c r="BK15" s="271"/>
      <c r="BL15" s="319"/>
      <c r="BM15" s="245"/>
      <c r="BN15" s="319"/>
      <c r="BO15" s="245"/>
      <c r="BP15" s="177"/>
      <c r="BQ15" s="245"/>
      <c r="BR15" s="177">
        <f>0.137/0.9*0.8</f>
        <v>0.12177777777777779</v>
      </c>
      <c r="BS15" s="177"/>
      <c r="BT15" s="319"/>
      <c r="BU15" s="319"/>
      <c r="BV15" s="319"/>
      <c r="BW15" s="319"/>
      <c r="BX15" s="319"/>
      <c r="BY15" s="319"/>
      <c r="BZ15" s="319"/>
      <c r="CA15" s="158">
        <f t="shared" si="0"/>
        <v>0.13211111111111112</v>
      </c>
      <c r="CB15" s="94"/>
      <c r="CC15" s="319"/>
      <c r="CD15" s="319"/>
      <c r="CE15" s="319"/>
      <c r="CF15" s="319"/>
      <c r="CG15" s="319"/>
      <c r="CH15" s="319"/>
      <c r="CI15" s="319"/>
      <c r="CJ15" s="319"/>
      <c r="CK15" s="245"/>
      <c r="CL15" s="319"/>
      <c r="CM15" s="319"/>
      <c r="CN15" s="319">
        <v>0.45800000000000002</v>
      </c>
      <c r="CO15" s="319"/>
      <c r="CP15" s="319"/>
      <c r="CQ15" s="319"/>
      <c r="CR15" s="319"/>
      <c r="CS15" s="319"/>
      <c r="CT15" s="245"/>
      <c r="CU15" s="319"/>
      <c r="CV15" s="319"/>
      <c r="CW15" s="319"/>
      <c r="CX15" s="319">
        <f>0.102*1.2</f>
        <v>0.12239999999999998</v>
      </c>
      <c r="CY15" s="319"/>
      <c r="CZ15" s="319"/>
      <c r="DA15" s="319"/>
      <c r="DB15" s="319"/>
      <c r="DC15" s="319"/>
      <c r="DD15" s="319"/>
      <c r="DE15" s="319"/>
      <c r="DF15" s="319"/>
      <c r="DG15" s="245"/>
      <c r="DH15" s="319"/>
      <c r="DI15" s="319"/>
      <c r="DJ15" s="245"/>
      <c r="DK15" s="319"/>
      <c r="DL15" s="319"/>
      <c r="DM15" s="319">
        <f>0.102*7</f>
        <v>0.71399999999999997</v>
      </c>
      <c r="DN15" s="319">
        <f>0.102*1.5</f>
        <v>0.153</v>
      </c>
      <c r="DO15" s="319"/>
      <c r="DP15" s="319">
        <f>0.102*1.5</f>
        <v>0.153</v>
      </c>
      <c r="DQ15" s="319"/>
      <c r="DR15" s="319"/>
      <c r="DS15" s="319"/>
      <c r="DT15" s="319"/>
      <c r="DU15" s="419">
        <f t="shared" si="1"/>
        <v>1.6004</v>
      </c>
      <c r="DV15" s="57"/>
      <c r="DW15" s="319"/>
      <c r="DX15" s="319">
        <f>0.102*1.3</f>
        <v>0.1326</v>
      </c>
      <c r="DY15" s="319">
        <f>0.102*1.5</f>
        <v>0.153</v>
      </c>
      <c r="DZ15" s="319">
        <v>0.10199999999999999</v>
      </c>
      <c r="EA15" s="319">
        <f>0.102*5</f>
        <v>0.51</v>
      </c>
      <c r="EB15" s="319"/>
      <c r="EC15" s="319">
        <f>0.102*2</f>
        <v>0.20399999999999999</v>
      </c>
      <c r="ED15" s="319">
        <f>0.102*1.5</f>
        <v>0.153</v>
      </c>
      <c r="EE15" s="319"/>
      <c r="EF15" s="319"/>
      <c r="EG15" s="319"/>
      <c r="EH15" s="319"/>
      <c r="EI15" s="319"/>
      <c r="EJ15" s="319"/>
      <c r="EK15" s="319"/>
      <c r="EL15" s="319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/>
      <c r="EX15" s="319"/>
      <c r="EY15" s="319"/>
      <c r="EZ15" s="319"/>
      <c r="FA15" s="319"/>
      <c r="FB15" s="319"/>
      <c r="FC15" s="319"/>
      <c r="FD15" s="319"/>
      <c r="FE15" s="319"/>
      <c r="FF15" s="319"/>
      <c r="FG15" s="319"/>
      <c r="FH15" s="319"/>
      <c r="FI15" s="319"/>
      <c r="FJ15" s="319"/>
      <c r="FK15" s="319"/>
      <c r="FL15" s="319"/>
      <c r="FM15" s="319"/>
      <c r="FN15" s="319"/>
      <c r="FO15" s="319"/>
      <c r="FP15" s="319"/>
      <c r="FQ15" s="319"/>
      <c r="FR15" s="319"/>
      <c r="FS15" s="319"/>
      <c r="FT15" s="319"/>
      <c r="FU15" s="319"/>
      <c r="FV15" s="319"/>
      <c r="FW15" s="319"/>
      <c r="FX15" s="319"/>
      <c r="FY15" s="319"/>
      <c r="FZ15" s="319"/>
      <c r="GA15" s="158">
        <f t="shared" si="2"/>
        <v>1.2545999999999999</v>
      </c>
      <c r="GB15" s="95"/>
      <c r="GC15" s="374"/>
      <c r="GD15" s="319"/>
      <c r="GE15" s="319"/>
      <c r="GF15" s="319"/>
      <c r="GG15" s="319"/>
      <c r="GH15" s="319">
        <f>0.102*3</f>
        <v>0.30599999999999999</v>
      </c>
      <c r="GI15" s="271"/>
      <c r="GJ15" s="271"/>
      <c r="GK15" s="271"/>
      <c r="GL15" s="271"/>
      <c r="GM15" s="272"/>
      <c r="GN15" s="435"/>
      <c r="GO15" s="327">
        <f t="shared" si="3"/>
        <v>0.30599999999999999</v>
      </c>
      <c r="GP15" s="445">
        <f t="shared" si="4"/>
        <v>16.201000000000001</v>
      </c>
      <c r="GQ15" s="605">
        <f t="shared" si="5"/>
        <v>16.507000000000001</v>
      </c>
      <c r="GR15" s="627">
        <f t="shared" si="6"/>
        <v>0.247</v>
      </c>
      <c r="GS15" s="239">
        <f t="shared" si="7"/>
        <v>1.59</v>
      </c>
      <c r="GT15" s="36" t="str">
        <f t="shared" si="8"/>
        <v>вит В5 (ниацин)</v>
      </c>
      <c r="GU15" s="943">
        <v>46890</v>
      </c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</row>
    <row r="16" spans="1:215" ht="15" customHeight="1" x14ac:dyDescent="0.3">
      <c r="A16" s="1129">
        <f t="shared" si="10"/>
        <v>8</v>
      </c>
      <c r="B16" s="688" t="s">
        <v>425</v>
      </c>
      <c r="C16" s="565">
        <f>'1_квартал'!G16</f>
        <v>0.221</v>
      </c>
      <c r="D16" s="263">
        <v>1.54</v>
      </c>
      <c r="E16" s="1300">
        <v>1.05</v>
      </c>
      <c r="F16" s="571"/>
      <c r="G16" s="878">
        <f t="shared" si="9"/>
        <v>1.2949999999999999</v>
      </c>
      <c r="H16" s="93">
        <v>11.377000000000001</v>
      </c>
      <c r="I16" s="93">
        <v>11.377000000000001</v>
      </c>
      <c r="J16" s="94"/>
      <c r="K16" s="245">
        <f>0.102*3</f>
        <v>0.30599999999999999</v>
      </c>
      <c r="L16" s="245"/>
      <c r="M16" s="319"/>
      <c r="N16" s="319">
        <f>0.102*5</f>
        <v>0.51</v>
      </c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245">
        <f>0.102*2</f>
        <v>0.20399999999999999</v>
      </c>
      <c r="AD16" s="319">
        <f>0.102*5</f>
        <v>0.51</v>
      </c>
      <c r="AE16" s="319"/>
      <c r="AF16" s="245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  <c r="AZ16" s="319"/>
      <c r="BA16" s="319"/>
      <c r="BB16" s="319"/>
      <c r="BC16" s="319"/>
      <c r="BD16" s="319"/>
      <c r="BE16" s="319"/>
      <c r="BF16" s="319"/>
      <c r="BG16" s="319"/>
      <c r="BH16" s="319"/>
      <c r="BI16" s="319"/>
      <c r="BJ16" s="177"/>
      <c r="BK16" s="271"/>
      <c r="BL16" s="319"/>
      <c r="BM16" s="245"/>
      <c r="BN16" s="319"/>
      <c r="BO16" s="245"/>
      <c r="BP16" s="177"/>
      <c r="BQ16" s="245"/>
      <c r="BR16" s="177">
        <f>0.009/0.9*0.8</f>
        <v>7.9999999999999984E-3</v>
      </c>
      <c r="BS16" s="177"/>
      <c r="BT16" s="319"/>
      <c r="BU16" s="319"/>
      <c r="BV16" s="319"/>
      <c r="BW16" s="319"/>
      <c r="BX16" s="319"/>
      <c r="BY16" s="319"/>
      <c r="BZ16" s="319"/>
      <c r="CA16" s="158">
        <f t="shared" si="0"/>
        <v>1.538</v>
      </c>
      <c r="CB16" s="94"/>
      <c r="CC16" s="319"/>
      <c r="CD16" s="319"/>
      <c r="CE16" s="319"/>
      <c r="CF16" s="319"/>
      <c r="CG16" s="319"/>
      <c r="CH16" s="319"/>
      <c r="CI16" s="319"/>
      <c r="CJ16" s="319"/>
      <c r="CK16" s="245">
        <f>0.102*5</f>
        <v>0.51</v>
      </c>
      <c r="CL16" s="319"/>
      <c r="CM16" s="319"/>
      <c r="CN16" s="319">
        <v>3.1E-2</v>
      </c>
      <c r="CO16" s="319"/>
      <c r="CP16" s="319"/>
      <c r="CQ16" s="319"/>
      <c r="CR16" s="319"/>
      <c r="CS16" s="319">
        <f>0.102*5</f>
        <v>0.51</v>
      </c>
      <c r="CT16" s="245"/>
      <c r="CU16" s="319"/>
      <c r="CV16" s="319"/>
      <c r="CW16" s="319"/>
      <c r="CX16" s="319"/>
      <c r="CY16" s="319"/>
      <c r="CZ16" s="319"/>
      <c r="DA16" s="319"/>
      <c r="DB16" s="319"/>
      <c r="DC16" s="319"/>
      <c r="DD16" s="319"/>
      <c r="DE16" s="319"/>
      <c r="DF16" s="319"/>
      <c r="DG16" s="245"/>
      <c r="DH16" s="319"/>
      <c r="DI16" s="319"/>
      <c r="DJ16" s="245"/>
      <c r="DK16" s="319"/>
      <c r="DL16" s="319"/>
      <c r="DM16" s="319"/>
      <c r="DN16" s="319"/>
      <c r="DO16" s="319"/>
      <c r="DP16" s="319"/>
      <c r="DQ16" s="319"/>
      <c r="DR16" s="319"/>
      <c r="DS16" s="319"/>
      <c r="DT16" s="319"/>
      <c r="DU16" s="419">
        <f t="shared" si="1"/>
        <v>1.0510000000000002</v>
      </c>
      <c r="DV16" s="57"/>
      <c r="DW16" s="319"/>
      <c r="DX16" s="319"/>
      <c r="DY16" s="319"/>
      <c r="DZ16" s="319"/>
      <c r="EA16" s="319"/>
      <c r="EB16" s="319"/>
      <c r="EC16" s="319"/>
      <c r="ED16" s="319"/>
      <c r="EE16" s="319"/>
      <c r="EF16" s="319"/>
      <c r="EG16" s="319"/>
      <c r="EH16" s="319"/>
      <c r="EI16" s="319"/>
      <c r="EJ16" s="319"/>
      <c r="EK16" s="319"/>
      <c r="EL16" s="319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/>
      <c r="EX16" s="319"/>
      <c r="EY16" s="319"/>
      <c r="EZ16" s="319"/>
      <c r="FA16" s="319"/>
      <c r="FB16" s="319"/>
      <c r="FC16" s="319"/>
      <c r="FD16" s="319"/>
      <c r="FE16" s="319"/>
      <c r="FF16" s="319"/>
      <c r="FG16" s="319"/>
      <c r="FH16" s="319"/>
      <c r="FI16" s="319"/>
      <c r="FJ16" s="319"/>
      <c r="FK16" s="319"/>
      <c r="FL16" s="319"/>
      <c r="FM16" s="319"/>
      <c r="FN16" s="319"/>
      <c r="FO16" s="319"/>
      <c r="FP16" s="319"/>
      <c r="FQ16" s="319"/>
      <c r="FR16" s="319"/>
      <c r="FS16" s="319"/>
      <c r="FT16" s="319"/>
      <c r="FU16" s="319"/>
      <c r="FV16" s="319"/>
      <c r="FW16" s="319"/>
      <c r="FX16" s="319"/>
      <c r="FY16" s="319"/>
      <c r="FZ16" s="319"/>
      <c r="GA16" s="158">
        <f t="shared" si="2"/>
        <v>0</v>
      </c>
      <c r="GB16" s="95"/>
      <c r="GC16" s="374"/>
      <c r="GD16" s="319"/>
      <c r="GE16" s="319"/>
      <c r="GF16" s="319"/>
      <c r="GG16" s="319"/>
      <c r="GH16" s="319"/>
      <c r="GI16" s="271"/>
      <c r="GJ16" s="271"/>
      <c r="GK16" s="271"/>
      <c r="GL16" s="271"/>
      <c r="GM16" s="272"/>
      <c r="GN16" s="435"/>
      <c r="GO16" s="327">
        <f t="shared" si="3"/>
        <v>0</v>
      </c>
      <c r="GP16" s="445">
        <f t="shared" si="4"/>
        <v>11.377000000000001</v>
      </c>
      <c r="GQ16" s="605">
        <f t="shared" si="5"/>
        <v>11.377000000000001</v>
      </c>
      <c r="GR16" s="627">
        <f t="shared" si="6"/>
        <v>0.221</v>
      </c>
      <c r="GS16" s="239">
        <f t="shared" si="7"/>
        <v>1.05</v>
      </c>
      <c r="GT16" s="36" t="str">
        <f t="shared" si="8"/>
        <v>вит В6 (пиридоксин)</v>
      </c>
      <c r="GU16" s="953">
        <v>46941</v>
      </c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</row>
    <row r="17" spans="1:215" ht="15" customHeight="1" x14ac:dyDescent="0.3">
      <c r="A17" s="1129">
        <f t="shared" si="10"/>
        <v>9</v>
      </c>
      <c r="B17" s="688" t="s">
        <v>426</v>
      </c>
      <c r="C17" s="565">
        <f>'1_квартал'!G17</f>
        <v>218.50700000000001</v>
      </c>
      <c r="D17" s="263">
        <f>129.78</f>
        <v>129.78</v>
      </c>
      <c r="E17" s="1300">
        <f>4.23+149.19</f>
        <v>153.41999999999999</v>
      </c>
      <c r="F17" s="571"/>
      <c r="G17" s="878">
        <f t="shared" si="9"/>
        <v>141.6</v>
      </c>
      <c r="H17" s="93">
        <f>6.36+350.81</f>
        <v>357.17</v>
      </c>
      <c r="I17" s="93">
        <f>3.34+350.81</f>
        <v>354.15</v>
      </c>
      <c r="J17" s="94"/>
      <c r="K17" s="245"/>
      <c r="L17" s="245"/>
      <c r="M17" s="319"/>
      <c r="N17" s="319"/>
      <c r="O17" s="319">
        <f>2.016*2.7</f>
        <v>5.4432</v>
      </c>
      <c r="P17" s="319"/>
      <c r="Q17" s="319">
        <f>2.016*0.6</f>
        <v>1.2096</v>
      </c>
      <c r="R17" s="319"/>
      <c r="S17" s="319">
        <f>2.016*7.5</f>
        <v>15.120000000000001</v>
      </c>
      <c r="T17" s="319">
        <f>2.016*3.5</f>
        <v>7.056</v>
      </c>
      <c r="U17" s="319"/>
      <c r="V17" s="319"/>
      <c r="W17" s="319">
        <f>2.016*0.6</f>
        <v>1.2096</v>
      </c>
      <c r="X17" s="319">
        <f>2.016*3</f>
        <v>6.048</v>
      </c>
      <c r="Y17" s="319"/>
      <c r="Z17" s="319">
        <v>1.21</v>
      </c>
      <c r="AA17" s="319"/>
      <c r="AB17" s="319">
        <f>2.016*3</f>
        <v>6.048</v>
      </c>
      <c r="AC17" s="245"/>
      <c r="AD17" s="319"/>
      <c r="AE17" s="319"/>
      <c r="AF17" s="245"/>
      <c r="AG17" s="319">
        <v>1.8140000000000001</v>
      </c>
      <c r="AH17" s="319">
        <f>5.796*2</f>
        <v>11.592000000000001</v>
      </c>
      <c r="AI17" s="319">
        <f>5.796*8</f>
        <v>46.368000000000002</v>
      </c>
      <c r="AJ17" s="319"/>
      <c r="AK17" s="319">
        <v>1.21</v>
      </c>
      <c r="AL17" s="319"/>
      <c r="AM17" s="319"/>
      <c r="AN17" s="319"/>
      <c r="AO17" s="319">
        <v>2.016</v>
      </c>
      <c r="AP17" s="319"/>
      <c r="AQ17" s="319">
        <v>0.40200000000000002</v>
      </c>
      <c r="AR17" s="319"/>
      <c r="AS17" s="319">
        <v>0.26800000000000002</v>
      </c>
      <c r="AT17" s="319"/>
      <c r="AU17" s="319"/>
      <c r="AV17" s="319"/>
      <c r="AW17" s="319"/>
      <c r="AX17" s="319"/>
      <c r="AY17" s="319"/>
      <c r="AZ17" s="319">
        <v>6.048</v>
      </c>
      <c r="BA17" s="319"/>
      <c r="BB17" s="319"/>
      <c r="BC17" s="319">
        <f>3.81/1.2*0.3</f>
        <v>0.95250000000000001</v>
      </c>
      <c r="BD17" s="319"/>
      <c r="BE17" s="319">
        <v>0.318</v>
      </c>
      <c r="BF17" s="319"/>
      <c r="BG17" s="319"/>
      <c r="BH17" s="319"/>
      <c r="BI17" s="319"/>
      <c r="BJ17" s="177">
        <f>5.363/8*1.8</f>
        <v>1.2066750000000002</v>
      </c>
      <c r="BK17" s="271">
        <f>5.363/8*1.5</f>
        <v>1.0055625000000001</v>
      </c>
      <c r="BL17" s="319"/>
      <c r="BM17" s="245"/>
      <c r="BN17" s="319"/>
      <c r="BO17" s="245"/>
      <c r="BP17" s="177">
        <f>5.363/8*4.7</f>
        <v>3.1507625000000004</v>
      </c>
      <c r="BQ17" s="245"/>
      <c r="BR17" s="177"/>
      <c r="BS17" s="177"/>
      <c r="BT17" s="319"/>
      <c r="BU17" s="319"/>
      <c r="BV17" s="319"/>
      <c r="BW17" s="319"/>
      <c r="BX17" s="319">
        <v>2.419</v>
      </c>
      <c r="BY17" s="319">
        <f>2.016*3.8</f>
        <v>7.6608000000000001</v>
      </c>
      <c r="BZ17" s="319"/>
      <c r="CA17" s="158">
        <f t="shared" si="0"/>
        <v>129.7757</v>
      </c>
      <c r="CB17" s="94"/>
      <c r="CC17" s="319"/>
      <c r="CD17" s="319"/>
      <c r="CE17" s="319">
        <f>2.016*0.6</f>
        <v>1.2096</v>
      </c>
      <c r="CF17" s="319"/>
      <c r="CG17" s="319"/>
      <c r="CH17" s="319"/>
      <c r="CI17" s="319"/>
      <c r="CJ17" s="319"/>
      <c r="CK17" s="245"/>
      <c r="CL17" s="319"/>
      <c r="CM17" s="319"/>
      <c r="CN17" s="319"/>
      <c r="CO17" s="319">
        <f>2.016*6</f>
        <v>12.096</v>
      </c>
      <c r="CP17" s="319"/>
      <c r="CQ17" s="319"/>
      <c r="CR17" s="319"/>
      <c r="CS17" s="319"/>
      <c r="CT17" s="245"/>
      <c r="CU17" s="319"/>
      <c r="CV17" s="319"/>
      <c r="CW17" s="319"/>
      <c r="CX17" s="319"/>
      <c r="CY17" s="319"/>
      <c r="CZ17" s="319"/>
      <c r="DA17" s="319"/>
      <c r="DB17" s="319">
        <v>30.24</v>
      </c>
      <c r="DC17" s="319">
        <f>6.048/3*3.5</f>
        <v>7.056</v>
      </c>
      <c r="DD17" s="319">
        <f>5.04*7</f>
        <v>35.28</v>
      </c>
      <c r="DE17" s="319">
        <f>5.04*3</f>
        <v>15.120000000000001</v>
      </c>
      <c r="DF17" s="319"/>
      <c r="DG17" s="245"/>
      <c r="DH17" s="319"/>
      <c r="DI17" s="319"/>
      <c r="DJ17" s="245"/>
      <c r="DK17" s="319">
        <f>2.016*5</f>
        <v>10.08</v>
      </c>
      <c r="DL17" s="319"/>
      <c r="DM17" s="319">
        <f>2.016*7</f>
        <v>14.112</v>
      </c>
      <c r="DN17" s="319"/>
      <c r="DO17" s="319"/>
      <c r="DP17" s="319">
        <f>2.016*1.5</f>
        <v>3.024</v>
      </c>
      <c r="DQ17" s="319"/>
      <c r="DR17" s="319"/>
      <c r="DS17" s="319"/>
      <c r="DT17" s="319">
        <f>5.04*5</f>
        <v>25.2</v>
      </c>
      <c r="DU17" s="419">
        <f t="shared" si="1"/>
        <v>153.41759999999996</v>
      </c>
      <c r="DV17" s="57"/>
      <c r="DW17" s="319"/>
      <c r="DX17" s="319"/>
      <c r="DY17" s="319">
        <f>2.016*1.5</f>
        <v>3.024</v>
      </c>
      <c r="DZ17" s="319"/>
      <c r="EA17" s="319"/>
      <c r="EB17" s="319"/>
      <c r="EC17" s="319"/>
      <c r="ED17" s="319"/>
      <c r="EE17" s="319"/>
      <c r="EF17" s="319"/>
      <c r="EG17" s="319"/>
      <c r="EH17" s="319"/>
      <c r="EI17" s="319"/>
      <c r="EJ17" s="319"/>
      <c r="EK17" s="319"/>
      <c r="EL17" s="319"/>
      <c r="EM17" s="319"/>
      <c r="EN17" s="319"/>
      <c r="EO17" s="319"/>
      <c r="EP17" s="319"/>
      <c r="EQ17" s="319"/>
      <c r="ER17" s="319"/>
      <c r="ES17" s="319"/>
      <c r="ET17" s="319"/>
      <c r="EU17" s="319"/>
      <c r="EV17" s="319"/>
      <c r="EW17" s="319"/>
      <c r="EX17" s="319"/>
      <c r="EY17" s="319"/>
      <c r="EZ17" s="319"/>
      <c r="FA17" s="319"/>
      <c r="FB17" s="319"/>
      <c r="FC17" s="319"/>
      <c r="FD17" s="319"/>
      <c r="FE17" s="319"/>
      <c r="FF17" s="319"/>
      <c r="FG17" s="319"/>
      <c r="FH17" s="319"/>
      <c r="FI17" s="319"/>
      <c r="FJ17" s="319"/>
      <c r="FK17" s="319"/>
      <c r="FL17" s="319"/>
      <c r="FM17" s="319"/>
      <c r="FN17" s="319"/>
      <c r="FO17" s="319"/>
      <c r="FP17" s="319"/>
      <c r="FQ17" s="319"/>
      <c r="FR17" s="319"/>
      <c r="FS17" s="319"/>
      <c r="FT17" s="319"/>
      <c r="FU17" s="319"/>
      <c r="FV17" s="319"/>
      <c r="FW17" s="319"/>
      <c r="FX17" s="319"/>
      <c r="FY17" s="319"/>
      <c r="FZ17" s="319"/>
      <c r="GA17" s="158">
        <f t="shared" si="2"/>
        <v>3.024</v>
      </c>
      <c r="GB17" s="95"/>
      <c r="GC17" s="374"/>
      <c r="GD17" s="319">
        <f>2.016*0.9</f>
        <v>1.8144</v>
      </c>
      <c r="GE17" s="319">
        <f>2.016*0.9</f>
        <v>1.8144</v>
      </c>
      <c r="GF17" s="319">
        <f>10.08*3</f>
        <v>30.240000000000002</v>
      </c>
      <c r="GG17" s="319"/>
      <c r="GH17" s="319"/>
      <c r="GI17" s="271"/>
      <c r="GJ17" s="271"/>
      <c r="GK17" s="271"/>
      <c r="GL17" s="271"/>
      <c r="GM17" s="272"/>
      <c r="GN17" s="435"/>
      <c r="GO17" s="327">
        <f t="shared" si="3"/>
        <v>33.8688</v>
      </c>
      <c r="GP17" s="445">
        <f t="shared" si="4"/>
        <v>320.28119999999996</v>
      </c>
      <c r="GQ17" s="605">
        <f t="shared" si="5"/>
        <v>354.15</v>
      </c>
      <c r="GR17" s="627">
        <f t="shared" si="6"/>
        <v>218.50700000000001</v>
      </c>
      <c r="GS17" s="239">
        <f t="shared" si="7"/>
        <v>153.41999999999999</v>
      </c>
      <c r="GT17" s="36" t="str">
        <f t="shared" si="8"/>
        <v xml:space="preserve">вит Н (биотин) </v>
      </c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</row>
    <row r="18" spans="1:215" ht="15" customHeight="1" x14ac:dyDescent="0.3">
      <c r="A18" s="1169"/>
      <c r="B18" s="1044"/>
      <c r="C18" s="1044"/>
      <c r="D18" s="1259">
        <f t="shared" ref="D18:G18" si="11">SUM(D9:D17)</f>
        <v>1100.1409999999998</v>
      </c>
      <c r="E18" s="1260">
        <f t="shared" si="11"/>
        <v>957.2879999999999</v>
      </c>
      <c r="F18" s="1258">
        <f t="shared" si="11"/>
        <v>0</v>
      </c>
      <c r="G18" s="1028">
        <f t="shared" si="11"/>
        <v>1028.7149999999999</v>
      </c>
      <c r="H18" s="1028">
        <f>SUM(H9:H17)</f>
        <v>1402.9590000000001</v>
      </c>
      <c r="I18" s="1028">
        <f>SUM(I9:I17)</f>
        <v>1197.0589999999997</v>
      </c>
      <c r="J18" s="1170"/>
      <c r="K18" s="1030"/>
      <c r="L18" s="1030"/>
      <c r="M18" s="1029"/>
      <c r="N18" s="1029"/>
      <c r="O18" s="1029"/>
      <c r="P18" s="1029"/>
      <c r="Q18" s="1029"/>
      <c r="R18" s="1029"/>
      <c r="S18" s="1029"/>
      <c r="T18" s="1029"/>
      <c r="U18" s="1029"/>
      <c r="V18" s="1029"/>
      <c r="W18" s="1029"/>
      <c r="X18" s="1029"/>
      <c r="Y18" s="1029"/>
      <c r="Z18" s="1029"/>
      <c r="AA18" s="1029"/>
      <c r="AB18" s="1029"/>
      <c r="AC18" s="1030"/>
      <c r="AD18" s="1029"/>
      <c r="AE18" s="1029"/>
      <c r="AF18" s="1030"/>
      <c r="AG18" s="1029"/>
      <c r="AH18" s="1029"/>
      <c r="AI18" s="1029"/>
      <c r="AJ18" s="1029"/>
      <c r="AK18" s="1029"/>
      <c r="AL18" s="1029"/>
      <c r="AM18" s="1029"/>
      <c r="AN18" s="1029"/>
      <c r="AO18" s="1029"/>
      <c r="AP18" s="1029"/>
      <c r="AQ18" s="1029"/>
      <c r="AR18" s="1029"/>
      <c r="AS18" s="1029"/>
      <c r="AT18" s="1029"/>
      <c r="AU18" s="1029"/>
      <c r="AV18" s="1029"/>
      <c r="AW18" s="1029"/>
      <c r="AX18" s="1029"/>
      <c r="AY18" s="1029"/>
      <c r="AZ18" s="1029"/>
      <c r="BA18" s="1029"/>
      <c r="BB18" s="1029"/>
      <c r="BC18" s="1029"/>
      <c r="BD18" s="1029"/>
      <c r="BE18" s="1029"/>
      <c r="BF18" s="1029"/>
      <c r="BG18" s="1029"/>
      <c r="BH18" s="1029"/>
      <c r="BI18" s="1029"/>
      <c r="BJ18" s="1032"/>
      <c r="BK18" s="1033"/>
      <c r="BL18" s="1029"/>
      <c r="BM18" s="1030"/>
      <c r="BN18" s="1029"/>
      <c r="BO18" s="1030"/>
      <c r="BP18" s="1032"/>
      <c r="BQ18" s="1030"/>
      <c r="BR18" s="1032"/>
      <c r="BS18" s="1032"/>
      <c r="BT18" s="1029"/>
      <c r="BU18" s="1029"/>
      <c r="BV18" s="1029"/>
      <c r="BW18" s="1029"/>
      <c r="BX18" s="1029"/>
      <c r="BY18" s="1029"/>
      <c r="BZ18" s="1029"/>
      <c r="CA18" s="1031"/>
      <c r="CB18" s="94"/>
      <c r="CC18" s="1029"/>
      <c r="CD18" s="1029"/>
      <c r="CE18" s="1029"/>
      <c r="CF18" s="1029"/>
      <c r="CG18" s="1029"/>
      <c r="CH18" s="1029"/>
      <c r="CI18" s="1029"/>
      <c r="CJ18" s="1029"/>
      <c r="CK18" s="1030"/>
      <c r="CL18" s="1029"/>
      <c r="CM18" s="1029"/>
      <c r="CN18" s="1029"/>
      <c r="CO18" s="1029"/>
      <c r="CP18" s="1029"/>
      <c r="CQ18" s="1029"/>
      <c r="CR18" s="1029"/>
      <c r="CS18" s="1029"/>
      <c r="CT18" s="1030"/>
      <c r="CU18" s="1029"/>
      <c r="CV18" s="1029"/>
      <c r="CW18" s="1029"/>
      <c r="CX18" s="1029"/>
      <c r="CY18" s="1029"/>
      <c r="CZ18" s="1029"/>
      <c r="DA18" s="1029"/>
      <c r="DB18" s="1029"/>
      <c r="DC18" s="1029"/>
      <c r="DD18" s="1029"/>
      <c r="DE18" s="1029"/>
      <c r="DF18" s="1029"/>
      <c r="DG18" s="1030"/>
      <c r="DH18" s="1029"/>
      <c r="DI18" s="1029"/>
      <c r="DJ18" s="1030"/>
      <c r="DK18" s="1029"/>
      <c r="DL18" s="1029"/>
      <c r="DM18" s="1029"/>
      <c r="DN18" s="1029"/>
      <c r="DO18" s="1029"/>
      <c r="DP18" s="1029"/>
      <c r="DQ18" s="1029"/>
      <c r="DR18" s="1029"/>
      <c r="DS18" s="1029"/>
      <c r="DT18" s="1029"/>
      <c r="DU18" s="1050"/>
      <c r="DV18" s="57"/>
      <c r="DW18" s="1029"/>
      <c r="DX18" s="1029"/>
      <c r="DY18" s="1029"/>
      <c r="DZ18" s="1029"/>
      <c r="EA18" s="1029"/>
      <c r="EB18" s="1029"/>
      <c r="EC18" s="1029"/>
      <c r="ED18" s="1029"/>
      <c r="EE18" s="1029"/>
      <c r="EF18" s="1029"/>
      <c r="EG18" s="1029"/>
      <c r="EH18" s="1029"/>
      <c r="EI18" s="1029"/>
      <c r="EJ18" s="1029"/>
      <c r="EK18" s="1029"/>
      <c r="EL18" s="1029"/>
      <c r="EM18" s="1029"/>
      <c r="EN18" s="1029"/>
      <c r="EO18" s="1029"/>
      <c r="EP18" s="1029"/>
      <c r="EQ18" s="1029"/>
      <c r="ER18" s="1029"/>
      <c r="ES18" s="1029"/>
      <c r="ET18" s="1029"/>
      <c r="EU18" s="1029"/>
      <c r="EV18" s="1029"/>
      <c r="EW18" s="1029"/>
      <c r="EX18" s="1029"/>
      <c r="EY18" s="1029"/>
      <c r="EZ18" s="1029"/>
      <c r="FA18" s="1029"/>
      <c r="FB18" s="1029"/>
      <c r="FC18" s="1029"/>
      <c r="FD18" s="1029"/>
      <c r="FE18" s="1029"/>
      <c r="FF18" s="1029"/>
      <c r="FG18" s="1029"/>
      <c r="FH18" s="1029"/>
      <c r="FI18" s="1029"/>
      <c r="FJ18" s="1029"/>
      <c r="FK18" s="1029"/>
      <c r="FL18" s="1029"/>
      <c r="FM18" s="1029"/>
      <c r="FN18" s="1029"/>
      <c r="FO18" s="1029"/>
      <c r="FP18" s="1029"/>
      <c r="FQ18" s="1029"/>
      <c r="FR18" s="1029"/>
      <c r="FS18" s="1029"/>
      <c r="FT18" s="1029"/>
      <c r="FU18" s="1029"/>
      <c r="FV18" s="1029"/>
      <c r="FW18" s="1029"/>
      <c r="FX18" s="1029"/>
      <c r="FY18" s="1029"/>
      <c r="FZ18" s="1029"/>
      <c r="GA18" s="1029"/>
      <c r="GB18" s="95"/>
      <c r="GC18" s="1225"/>
      <c r="GD18" s="1029"/>
      <c r="GE18" s="1029"/>
      <c r="GF18" s="1029"/>
      <c r="GG18" s="1029"/>
      <c r="GH18" s="1029"/>
      <c r="GI18" s="356"/>
      <c r="GJ18" s="1033"/>
      <c r="GK18" s="1033"/>
      <c r="GL18" s="1033"/>
      <c r="GM18" s="1036"/>
      <c r="GN18" s="1037"/>
      <c r="GO18" s="1038"/>
      <c r="GP18" s="1049"/>
      <c r="GQ18" s="1049"/>
      <c r="GR18" s="1049"/>
      <c r="GS18" s="1049"/>
      <c r="GT18" s="1041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</row>
    <row r="19" spans="1:215" ht="15" customHeight="1" x14ac:dyDescent="0.3">
      <c r="A19" s="1129">
        <f>A17+1</f>
        <v>10</v>
      </c>
      <c r="B19" s="690" t="s">
        <v>56</v>
      </c>
      <c r="C19" s="565">
        <f>'1_квартал'!G19</f>
        <v>12526.257</v>
      </c>
      <c r="D19" s="263">
        <v>11486.2</v>
      </c>
      <c r="E19" s="1300">
        <v>9827.7000000000007</v>
      </c>
      <c r="F19" s="571"/>
      <c r="G19" s="878">
        <f t="shared" si="9"/>
        <v>10656.95</v>
      </c>
      <c r="H19" s="93">
        <v>10136.120000000001</v>
      </c>
      <c r="I19" s="93">
        <f>7169.28+20000</f>
        <v>27169.279999999999</v>
      </c>
      <c r="J19" s="94"/>
      <c r="K19" s="245">
        <f>159.472*3</f>
        <v>478.41600000000005</v>
      </c>
      <c r="L19" s="245">
        <v>0.55000000000000004</v>
      </c>
      <c r="M19" s="319"/>
      <c r="N19" s="319"/>
      <c r="O19" s="319">
        <f>93.433*2.7</f>
        <v>252.26910000000004</v>
      </c>
      <c r="P19" s="319">
        <f>159.472*2.4</f>
        <v>382.7328</v>
      </c>
      <c r="Q19" s="319">
        <f>93.348*0.6</f>
        <v>56.008800000000001</v>
      </c>
      <c r="R19" s="319"/>
      <c r="S19" s="319"/>
      <c r="T19" s="319">
        <f>93.347*3.5</f>
        <v>326.71449999999999</v>
      </c>
      <c r="U19" s="319">
        <f>208.212*0.6</f>
        <v>124.92719999999998</v>
      </c>
      <c r="V19" s="319">
        <f>160.014*1.6</f>
        <v>256.0224</v>
      </c>
      <c r="W19" s="319">
        <f>93.433*0.6</f>
        <v>56.059800000000003</v>
      </c>
      <c r="X19" s="319">
        <f>93.347*3</f>
        <v>280.041</v>
      </c>
      <c r="Y19" s="319">
        <f>208.212</f>
        <v>208.21199999999999</v>
      </c>
      <c r="Z19" s="319">
        <v>60.451999999999998</v>
      </c>
      <c r="AA19" s="319">
        <f>109.964*0.9</f>
        <v>98.967600000000004</v>
      </c>
      <c r="AB19" s="319"/>
      <c r="AC19" s="245">
        <f>159.472*2</f>
        <v>318.94400000000002</v>
      </c>
      <c r="AD19" s="319">
        <f>121.391*5</f>
        <v>606.95500000000004</v>
      </c>
      <c r="AE19" s="319">
        <f>208.212*1.3</f>
        <v>270.67559999999997</v>
      </c>
      <c r="AF19" s="245">
        <f>208.212*0.6</f>
        <v>124.92719999999998</v>
      </c>
      <c r="AG19" s="319">
        <v>92.38</v>
      </c>
      <c r="AH19" s="319">
        <f>70.362*2</f>
        <v>140.72399999999999</v>
      </c>
      <c r="AI19" s="319">
        <f>70.362*8</f>
        <v>562.89599999999996</v>
      </c>
      <c r="AJ19" s="319">
        <f>160.014*1.4</f>
        <v>224.0196</v>
      </c>
      <c r="AK19" s="319"/>
      <c r="AL19" s="319"/>
      <c r="AM19" s="319">
        <f>160.014*3</f>
        <v>480.04200000000003</v>
      </c>
      <c r="AN19" s="319">
        <v>249.251</v>
      </c>
      <c r="AO19" s="319">
        <v>93.346999999999994</v>
      </c>
      <c r="AP19" s="319"/>
      <c r="AQ19" s="319">
        <v>1.466</v>
      </c>
      <c r="AR19" s="319"/>
      <c r="AS19" s="319">
        <v>0.97699999999999998</v>
      </c>
      <c r="AT19" s="319">
        <f>2.749*3.6</f>
        <v>9.8963999999999999</v>
      </c>
      <c r="AU19" s="319">
        <f>36.655*9</f>
        <v>329.89499999999998</v>
      </c>
      <c r="AV19" s="319">
        <f>164.945*2.3</f>
        <v>379.37349999999998</v>
      </c>
      <c r="AW19" s="319">
        <v>5.4980000000000002</v>
      </c>
      <c r="AX19" s="319">
        <f>444.203*5</f>
        <v>2221.0149999999999</v>
      </c>
      <c r="AY19" s="319">
        <f>91.636</f>
        <v>91.635999999999996</v>
      </c>
      <c r="AZ19" s="319">
        <v>302.262</v>
      </c>
      <c r="BA19" s="319">
        <f>109.964</f>
        <v>109.964</v>
      </c>
      <c r="BB19" s="245">
        <f>208.212*1.5</f>
        <v>312.31799999999998</v>
      </c>
      <c r="BC19" s="319">
        <f>16.495/1.2*0.3</f>
        <v>4.1237500000000002</v>
      </c>
      <c r="BD19" s="319">
        <f>4.399/0.3*0.1</f>
        <v>1.4663333333333335</v>
      </c>
      <c r="BE19" s="319">
        <v>1.375</v>
      </c>
      <c r="BF19" s="319"/>
      <c r="BG19" s="319"/>
      <c r="BH19" s="319">
        <f>403.2*0.6</f>
        <v>241.92</v>
      </c>
      <c r="BI19" s="319">
        <v>208.21199999999999</v>
      </c>
      <c r="BJ19" s="177">
        <f>98.234/8*1.8</f>
        <v>22.102650000000001</v>
      </c>
      <c r="BK19" s="271">
        <f>98.234/8*1.5</f>
        <v>18.418875</v>
      </c>
      <c r="BL19" s="319"/>
      <c r="BM19" s="245">
        <f>208.212*0.6</f>
        <v>124.92719999999998</v>
      </c>
      <c r="BN19" s="319">
        <f>36.655*0.6</f>
        <v>21.992999999999999</v>
      </c>
      <c r="BO19" s="245"/>
      <c r="BP19" s="177">
        <f>98.234/8*4.7</f>
        <v>57.712474999999998</v>
      </c>
      <c r="BQ19" s="245"/>
      <c r="BR19" s="177">
        <f>24.742/0.9*0.8</f>
        <v>21.992888888888888</v>
      </c>
      <c r="BS19" s="177">
        <f>2.749*4</f>
        <v>10.996</v>
      </c>
      <c r="BT19" s="319">
        <f>403.2*1.2</f>
        <v>483.84</v>
      </c>
      <c r="BU19" s="319"/>
      <c r="BV19" s="319">
        <v>90.179000000000002</v>
      </c>
      <c r="BW19" s="319">
        <f>160.014*3</f>
        <v>480.04200000000003</v>
      </c>
      <c r="BX19" s="319">
        <v>82.921999999999997</v>
      </c>
      <c r="BY19" s="319"/>
      <c r="BZ19" s="319">
        <f>208.212*0.5</f>
        <v>104.10599999999999</v>
      </c>
      <c r="CA19" s="158">
        <f t="shared" ref="CA19:CA58" si="12">SUM(K19:BZ19)</f>
        <v>11486.164672222221</v>
      </c>
      <c r="CB19" s="94"/>
      <c r="CC19" s="319">
        <f>159.472*2.4</f>
        <v>382.7328</v>
      </c>
      <c r="CD19" s="319"/>
      <c r="CE19" s="319">
        <f>93.433*0.6</f>
        <v>56.059800000000003</v>
      </c>
      <c r="CF19" s="319">
        <f>160.014*1.8</f>
        <v>288.02520000000004</v>
      </c>
      <c r="CG19" s="319">
        <f>160.014*1.3</f>
        <v>208.01820000000001</v>
      </c>
      <c r="CH19" s="319">
        <v>208.21199999999999</v>
      </c>
      <c r="CI19" s="319">
        <f>109.964*0.9</f>
        <v>98.967600000000004</v>
      </c>
      <c r="CJ19" s="319">
        <f>208.212*1.3</f>
        <v>270.67559999999997</v>
      </c>
      <c r="CK19" s="245">
        <f>159.472*5</f>
        <v>797.36</v>
      </c>
      <c r="CL19" s="319">
        <f>62.464/0.3*0.2</f>
        <v>41.64266666666667</v>
      </c>
      <c r="CM19" s="319">
        <f>160.014*5</f>
        <v>800.07</v>
      </c>
      <c r="CN19" s="319">
        <v>82.472999999999999</v>
      </c>
      <c r="CO19" s="319"/>
      <c r="CP19" s="319">
        <f>249.855/1.2*0.6</f>
        <v>124.92749999999999</v>
      </c>
      <c r="CQ19" s="319">
        <f>208.212*2</f>
        <v>416.42399999999998</v>
      </c>
      <c r="CR19" s="319"/>
      <c r="CS19" s="319"/>
      <c r="CT19" s="245"/>
      <c r="CU19" s="319">
        <f>109.964*1.5</f>
        <v>164.946</v>
      </c>
      <c r="CV19" s="319">
        <f>444.203*4</f>
        <v>1776.8119999999999</v>
      </c>
      <c r="CW19" s="319">
        <f>91.636</f>
        <v>91.635999999999996</v>
      </c>
      <c r="CX19" s="319">
        <f>403.2*1.2</f>
        <v>483.84</v>
      </c>
      <c r="CY19" s="245">
        <f>312.319/1.5*0.5</f>
        <v>104.10633333333334</v>
      </c>
      <c r="CZ19" s="245">
        <f>208.212*1.5</f>
        <v>312.31799999999998</v>
      </c>
      <c r="DA19" s="319">
        <f>104.11*2</f>
        <v>208.22</v>
      </c>
      <c r="DB19" s="319">
        <f>1209.6</f>
        <v>1209.5999999999999</v>
      </c>
      <c r="DC19" s="319">
        <f>302.262/3*3.5</f>
        <v>352.63900000000001</v>
      </c>
      <c r="DD19" s="319"/>
      <c r="DE19" s="319"/>
      <c r="DF19" s="319">
        <f>124.625*1.5</f>
        <v>186.9375</v>
      </c>
      <c r="DG19" s="245"/>
      <c r="DH19" s="319">
        <v>45.09</v>
      </c>
      <c r="DI19" s="319"/>
      <c r="DJ19" s="245"/>
      <c r="DK19" s="319"/>
      <c r="DL19" s="319">
        <v>36.655000000000001</v>
      </c>
      <c r="DM19" s="319"/>
      <c r="DN19" s="319">
        <f>403.2*1.5</f>
        <v>604.79999999999995</v>
      </c>
      <c r="DO19" s="319"/>
      <c r="DP19" s="319">
        <f>93.347*1.5</f>
        <v>140.0205</v>
      </c>
      <c r="DQ19" s="319">
        <f>160.014*1.7</f>
        <v>272.02379999999999</v>
      </c>
      <c r="DR19" s="319">
        <f>208.213*0.3</f>
        <v>62.463899999999995</v>
      </c>
      <c r="DS19" s="319"/>
      <c r="DT19" s="319"/>
      <c r="DU19" s="275">
        <f t="shared" ref="DU19:DU36" si="13">SUM(CC19:DT19)</f>
        <v>9827.6964000000025</v>
      </c>
      <c r="DV19" s="57"/>
      <c r="DW19" s="319">
        <f>159.472*2.4</f>
        <v>382.7328</v>
      </c>
      <c r="DX19" s="319">
        <f>208.212*1.3</f>
        <v>270.67559999999997</v>
      </c>
      <c r="DY19" s="319">
        <f>93.347*1.5</f>
        <v>140.0205</v>
      </c>
      <c r="DZ19" s="319">
        <v>208.21199999999999</v>
      </c>
      <c r="EA19" s="319">
        <f>159.472*5</f>
        <v>797.36</v>
      </c>
      <c r="EB19" s="319">
        <f>26.88*3</f>
        <v>80.64</v>
      </c>
      <c r="EC19" s="319">
        <f>208.212*2</f>
        <v>416.42399999999998</v>
      </c>
      <c r="ED19" s="319">
        <f>403.2*1.5</f>
        <v>604.79999999999995</v>
      </c>
      <c r="EE19" s="319">
        <f>36.655*1.8</f>
        <v>65.978999999999999</v>
      </c>
      <c r="EF19" s="319"/>
      <c r="EG19" s="319"/>
      <c r="EH19" s="319"/>
      <c r="EI19" s="319"/>
      <c r="EJ19" s="319"/>
      <c r="EK19" s="319"/>
      <c r="EL19" s="319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19"/>
      <c r="FD19" s="319"/>
      <c r="FE19" s="319"/>
      <c r="FF19" s="319"/>
      <c r="FG19" s="319"/>
      <c r="FH19" s="319"/>
      <c r="FI19" s="319"/>
      <c r="FJ19" s="319"/>
      <c r="FK19" s="319"/>
      <c r="FL19" s="319"/>
      <c r="FM19" s="319"/>
      <c r="FN19" s="319"/>
      <c r="FO19" s="319"/>
      <c r="FP19" s="319"/>
      <c r="FQ19" s="319"/>
      <c r="FR19" s="319"/>
      <c r="FS19" s="319"/>
      <c r="FT19" s="319"/>
      <c r="FU19" s="319"/>
      <c r="FV19" s="319"/>
      <c r="FW19" s="319"/>
      <c r="FX19" s="319"/>
      <c r="FY19" s="319"/>
      <c r="FZ19" s="319"/>
      <c r="GA19" s="158">
        <f t="shared" ref="GA19:GA36" si="14">SUM(DW19:FZ19)</f>
        <v>2966.8439000000003</v>
      </c>
      <c r="GB19" s="95"/>
      <c r="GC19" s="374"/>
      <c r="GD19" s="319">
        <f>102.644*0.9</f>
        <v>92.379600000000011</v>
      </c>
      <c r="GE19" s="319">
        <f>100.754*0.9</f>
        <v>90.678600000000003</v>
      </c>
      <c r="GF19" s="319">
        <f>403.2*3</f>
        <v>1209.5999999999999</v>
      </c>
      <c r="GG19" s="319">
        <f>208.212*1.2</f>
        <v>249.85439999999997</v>
      </c>
      <c r="GH19" s="319">
        <f>160.014*3</f>
        <v>480.04200000000003</v>
      </c>
      <c r="GI19" s="271"/>
      <c r="GJ19" s="271"/>
      <c r="GK19" s="271"/>
      <c r="GL19" s="271"/>
      <c r="GM19" s="272"/>
      <c r="GN19" s="435"/>
      <c r="GO19" s="327">
        <f t="shared" ref="GO19:GO36" si="15">SUM(GC19:GN19)</f>
        <v>2122.5545999999999</v>
      </c>
      <c r="GP19" s="445">
        <f t="shared" ref="GP19:GP36" si="16">I19-GO19</f>
        <v>25046.725399999999</v>
      </c>
      <c r="GQ19" s="605">
        <f t="shared" ref="GQ19:GQ36" si="17">I19</f>
        <v>27169.279999999999</v>
      </c>
      <c r="GR19" s="627">
        <f t="shared" ref="GR19:GR36" si="18">C19</f>
        <v>12526.257</v>
      </c>
      <c r="GS19" s="239">
        <f t="shared" ref="GS19:GS36" si="19">E19</f>
        <v>9827.7000000000007</v>
      </c>
      <c r="GT19" s="36" t="str">
        <f t="shared" ref="GT19:GT36" si="20">B19</f>
        <v>окись магния, порошок магнезитовый</v>
      </c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</row>
    <row r="20" spans="1:215" ht="15" customHeight="1" x14ac:dyDescent="0.3">
      <c r="A20" s="1129">
        <f>A19+1</f>
        <v>11</v>
      </c>
      <c r="B20" s="691" t="s">
        <v>142</v>
      </c>
      <c r="C20" s="565">
        <f>'1_квартал'!G20</f>
        <v>9027.0169999999998</v>
      </c>
      <c r="D20" s="589">
        <f>8795.96+665.67</f>
        <v>9461.6299999999992</v>
      </c>
      <c r="E20" s="1301">
        <v>7540.5</v>
      </c>
      <c r="F20" s="571"/>
      <c r="G20" s="878">
        <f t="shared" si="9"/>
        <v>8501.0650000000005</v>
      </c>
      <c r="H20" s="93">
        <f>4394.27+8000+2000</f>
        <v>14394.27</v>
      </c>
      <c r="I20" s="93">
        <f>2845.68+8000+2000</f>
        <v>12845.68</v>
      </c>
      <c r="J20" s="94"/>
      <c r="K20" s="245">
        <f>100.724*3</f>
        <v>302.17200000000003</v>
      </c>
      <c r="L20" s="245"/>
      <c r="M20" s="319">
        <f>178.004*5</f>
        <v>890.02</v>
      </c>
      <c r="N20" s="319">
        <f>201.6*5</f>
        <v>1008</v>
      </c>
      <c r="O20" s="319">
        <f>33.544*2.7</f>
        <v>90.568799999999996</v>
      </c>
      <c r="P20" s="319">
        <f>100.724*2.4</f>
        <v>241.73759999999999</v>
      </c>
      <c r="Q20" s="319">
        <f>111.812*0.6</f>
        <v>67.087199999999996</v>
      </c>
      <c r="R20" s="319">
        <f>665.67+21.929</f>
        <v>687.59899999999993</v>
      </c>
      <c r="S20" s="319">
        <f>67.086*7.5</f>
        <v>503.14499999999998</v>
      </c>
      <c r="T20" s="319">
        <f>111.812*3.5</f>
        <v>391.34199999999998</v>
      </c>
      <c r="U20" s="319">
        <f>147.793*0.6</f>
        <v>88.675799999999995</v>
      </c>
      <c r="V20" s="319">
        <f>99.068*1.6</f>
        <v>158.50880000000001</v>
      </c>
      <c r="W20" s="319">
        <f>33.544*0.6</f>
        <v>20.126399999999997</v>
      </c>
      <c r="X20" s="319">
        <f>111.812*3</f>
        <v>335.43599999999998</v>
      </c>
      <c r="Y20" s="319">
        <f>147.793</f>
        <v>147.79300000000001</v>
      </c>
      <c r="Z20" s="319">
        <v>20.126000000000001</v>
      </c>
      <c r="AA20" s="319"/>
      <c r="AB20" s="319">
        <f>67.086*3</f>
        <v>201.25799999999998</v>
      </c>
      <c r="AC20" s="245">
        <f>100.724*2</f>
        <v>201.44800000000001</v>
      </c>
      <c r="AD20" s="319">
        <f>77.082*5</f>
        <v>385.40999999999997</v>
      </c>
      <c r="AE20" s="319">
        <f>147.793*1.3</f>
        <v>192.13090000000003</v>
      </c>
      <c r="AF20" s="245">
        <f>147.793*0.6</f>
        <v>88.675799999999995</v>
      </c>
      <c r="AG20" s="319">
        <v>61.369</v>
      </c>
      <c r="AH20" s="319">
        <f>72.678*2</f>
        <v>145.35599999999999</v>
      </c>
      <c r="AI20" s="319">
        <f>72.678*8</f>
        <v>581.42399999999998</v>
      </c>
      <c r="AJ20" s="319">
        <f>99.068*1.4</f>
        <v>138.6952</v>
      </c>
      <c r="AK20" s="319">
        <v>19.385000000000002</v>
      </c>
      <c r="AL20" s="319"/>
      <c r="AM20" s="319">
        <f>99.068*3</f>
        <v>297.20400000000001</v>
      </c>
      <c r="AN20" s="319"/>
      <c r="AO20" s="319">
        <v>111.812</v>
      </c>
      <c r="AP20" s="319">
        <f>178.004*0.3</f>
        <v>53.401199999999996</v>
      </c>
      <c r="AQ20" s="319"/>
      <c r="AR20" s="319">
        <v>60.48</v>
      </c>
      <c r="AS20" s="319"/>
      <c r="AT20" s="319"/>
      <c r="AU20" s="319"/>
      <c r="AV20" s="319"/>
      <c r="AW20" s="319"/>
      <c r="AX20" s="319">
        <f>100.631*5</f>
        <v>503.15499999999997</v>
      </c>
      <c r="AY20" s="319"/>
      <c r="AZ20" s="319">
        <v>100.631</v>
      </c>
      <c r="BA20" s="319"/>
      <c r="BB20" s="245">
        <f>147.793*1.5</f>
        <v>221.68950000000001</v>
      </c>
      <c r="BC20" s="319"/>
      <c r="BD20" s="319"/>
      <c r="BE20" s="319"/>
      <c r="BF20" s="319">
        <f>60.48/0.6*0.7</f>
        <v>70.559999999999988</v>
      </c>
      <c r="BG20" s="319"/>
      <c r="BH20" s="319"/>
      <c r="BI20" s="319">
        <v>147.79300000000001</v>
      </c>
      <c r="BJ20" s="177"/>
      <c r="BK20" s="271"/>
      <c r="BL20" s="319">
        <v>60.48</v>
      </c>
      <c r="BM20" s="245">
        <f>147.793*0.6</f>
        <v>88.675799999999995</v>
      </c>
      <c r="BN20" s="319"/>
      <c r="BO20" s="245"/>
      <c r="BP20" s="177"/>
      <c r="BQ20" s="245"/>
      <c r="BR20" s="177"/>
      <c r="BS20" s="177"/>
      <c r="BT20" s="319"/>
      <c r="BU20" s="319"/>
      <c r="BV20" s="319">
        <v>47.012</v>
      </c>
      <c r="BW20" s="319">
        <f>99.068*3</f>
        <v>297.20400000000001</v>
      </c>
      <c r="BX20" s="319">
        <v>105.205</v>
      </c>
      <c r="BY20" s="319">
        <f>67.086*3.8</f>
        <v>254.92679999999999</v>
      </c>
      <c r="BZ20" s="319">
        <f>147.793*0.5</f>
        <v>73.896500000000003</v>
      </c>
      <c r="CA20" s="158">
        <f t="shared" si="12"/>
        <v>9461.6152999999977</v>
      </c>
      <c r="CB20" s="94"/>
      <c r="CC20" s="319">
        <f>100.724*2.4</f>
        <v>241.73759999999999</v>
      </c>
      <c r="CD20" s="319"/>
      <c r="CE20" s="319">
        <f>33.544*0.6</f>
        <v>20.126399999999997</v>
      </c>
      <c r="CF20" s="319">
        <f>99.068*1.8</f>
        <v>178.32239999999999</v>
      </c>
      <c r="CG20" s="319">
        <f>99.068*1.3</f>
        <v>128.7884</v>
      </c>
      <c r="CH20" s="319">
        <v>147.79300000000001</v>
      </c>
      <c r="CI20" s="319"/>
      <c r="CJ20" s="319">
        <f>147.793*1.3</f>
        <v>192.13090000000003</v>
      </c>
      <c r="CK20" s="245">
        <f>100.724*5</f>
        <v>503.62</v>
      </c>
      <c r="CL20" s="319">
        <f>44.338/0.3*0.2</f>
        <v>29.558666666666671</v>
      </c>
      <c r="CM20" s="319">
        <f>99.068*5</f>
        <v>495.34</v>
      </c>
      <c r="CN20" s="319"/>
      <c r="CO20" s="319">
        <f>67.086*6</f>
        <v>402.51599999999996</v>
      </c>
      <c r="CP20" s="319">
        <f>177.352/1.2*0.6</f>
        <v>88.676000000000002</v>
      </c>
      <c r="CQ20" s="319">
        <f>147.793*2</f>
        <v>295.58600000000001</v>
      </c>
      <c r="CR20" s="319">
        <v>60.48</v>
      </c>
      <c r="CS20" s="319">
        <f>201.6*5</f>
        <v>1008</v>
      </c>
      <c r="CT20" s="245"/>
      <c r="CU20" s="319"/>
      <c r="CV20" s="319">
        <f>100.631*4</f>
        <v>402.524</v>
      </c>
      <c r="CW20" s="319"/>
      <c r="CX20" s="319"/>
      <c r="CY20" s="245">
        <f>221.69/1.5*0.5</f>
        <v>73.896666666666661</v>
      </c>
      <c r="CZ20" s="245">
        <f>147.793*1.5</f>
        <v>221.68950000000001</v>
      </c>
      <c r="DA20" s="319">
        <v>147.79300000000001</v>
      </c>
      <c r="DB20" s="319">
        <f>302.4</f>
        <v>302.39999999999998</v>
      </c>
      <c r="DC20" s="319">
        <f>100.631/3*3.5</f>
        <v>117.40283333333333</v>
      </c>
      <c r="DD20" s="319">
        <f>50.4*7</f>
        <v>352.8</v>
      </c>
      <c r="DE20" s="319">
        <f>50.4*3</f>
        <v>151.19999999999999</v>
      </c>
      <c r="DF20" s="319"/>
      <c r="DG20" s="245"/>
      <c r="DH20" s="319">
        <v>23.506</v>
      </c>
      <c r="DI20" s="319"/>
      <c r="DJ20" s="245">
        <v>342.72</v>
      </c>
      <c r="DK20" s="319">
        <f>67.086*5</f>
        <v>335.43</v>
      </c>
      <c r="DL20" s="319"/>
      <c r="DM20" s="319">
        <f>67.086*7</f>
        <v>469.60199999999998</v>
      </c>
      <c r="DN20" s="319"/>
      <c r="DO20" s="319">
        <f>100.8*1.2</f>
        <v>120.96</v>
      </c>
      <c r="DP20" s="319">
        <f>111.812*1.5</f>
        <v>167.71799999999999</v>
      </c>
      <c r="DQ20" s="319">
        <f>99.068*1.7</f>
        <v>168.41559999999998</v>
      </c>
      <c r="DR20" s="319">
        <f>147.793*0.3</f>
        <v>44.337899999999998</v>
      </c>
      <c r="DS20" s="319">
        <f>178.004*0.3</f>
        <v>53.401199999999996</v>
      </c>
      <c r="DT20" s="319">
        <f>50.4*5</f>
        <v>252</v>
      </c>
      <c r="DU20" s="419">
        <f t="shared" si="13"/>
        <v>7540.4720666666681</v>
      </c>
      <c r="DV20" s="57"/>
      <c r="DW20" s="319">
        <f>100.724*2.4</f>
        <v>241.73759999999999</v>
      </c>
      <c r="DX20" s="319">
        <f>147.793*1.3</f>
        <v>192.13090000000003</v>
      </c>
      <c r="DY20" s="319">
        <f>111.812*1.5</f>
        <v>167.71799999999999</v>
      </c>
      <c r="DZ20" s="319">
        <v>147.79300000000001</v>
      </c>
      <c r="EA20" s="319">
        <f>100.724*5</f>
        <v>503.62</v>
      </c>
      <c r="EB20" s="319"/>
      <c r="EC20" s="319">
        <f>147.793*2</f>
        <v>295.58600000000001</v>
      </c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158">
        <f t="shared" si="14"/>
        <v>1548.5854999999999</v>
      </c>
      <c r="GB20" s="95"/>
      <c r="GC20" s="374"/>
      <c r="GD20" s="319">
        <f>68.188*0.9</f>
        <v>61.369200000000006</v>
      </c>
      <c r="GE20" s="319">
        <f>33.544*0.9</f>
        <v>30.189599999999999</v>
      </c>
      <c r="GF20" s="319">
        <f>100.8*3</f>
        <v>302.39999999999998</v>
      </c>
      <c r="GG20" s="319">
        <f>147.793*1.2</f>
        <v>177.35159999999999</v>
      </c>
      <c r="GH20" s="319">
        <f>99.068*3</f>
        <v>297.20400000000001</v>
      </c>
      <c r="GI20" s="271"/>
      <c r="GJ20" s="271"/>
      <c r="GK20" s="271"/>
      <c r="GL20" s="271"/>
      <c r="GM20" s="272"/>
      <c r="GN20" s="435"/>
      <c r="GO20" s="327">
        <f t="shared" si="15"/>
        <v>868.51440000000002</v>
      </c>
      <c r="GP20" s="558">
        <f t="shared" si="16"/>
        <v>11977.1656</v>
      </c>
      <c r="GQ20" s="605">
        <f t="shared" si="17"/>
        <v>12845.68</v>
      </c>
      <c r="GR20" s="627">
        <f t="shared" si="18"/>
        <v>9027.0169999999998</v>
      </c>
      <c r="GS20" s="239">
        <f t="shared" si="19"/>
        <v>7540.5</v>
      </c>
      <c r="GT20" s="36" t="str">
        <f t="shared" si="20"/>
        <v>сульфат магния б/водный, магний с/кисл.</v>
      </c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</row>
    <row r="21" spans="1:215" ht="15" customHeight="1" x14ac:dyDescent="0.3">
      <c r="A21" s="1129">
        <f t="shared" ref="A21:A57" si="21">A20+1</f>
        <v>12</v>
      </c>
      <c r="B21" s="691" t="s">
        <v>141</v>
      </c>
      <c r="C21" s="565">
        <f>'1_квартал'!G21</f>
        <v>0</v>
      </c>
      <c r="D21" s="263">
        <v>0</v>
      </c>
      <c r="E21" s="1300">
        <v>0</v>
      </c>
      <c r="F21" s="571"/>
      <c r="G21" s="878">
        <f t="shared" si="9"/>
        <v>0</v>
      </c>
      <c r="H21" s="93">
        <v>0</v>
      </c>
      <c r="I21" s="93">
        <v>0</v>
      </c>
      <c r="J21" s="94"/>
      <c r="K21" s="245"/>
      <c r="L21" s="245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245"/>
      <c r="AD21" s="319"/>
      <c r="AE21" s="319"/>
      <c r="AF21" s="245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245"/>
      <c r="BC21" s="319"/>
      <c r="BD21" s="319"/>
      <c r="BE21" s="319"/>
      <c r="BF21" s="319"/>
      <c r="BG21" s="319"/>
      <c r="BH21" s="319"/>
      <c r="BI21" s="319"/>
      <c r="BJ21" s="177"/>
      <c r="BK21" s="271"/>
      <c r="BL21" s="319"/>
      <c r="BM21" s="245"/>
      <c r="BN21" s="319"/>
      <c r="BO21" s="245"/>
      <c r="BP21" s="177"/>
      <c r="BQ21" s="245"/>
      <c r="BR21" s="177"/>
      <c r="BS21" s="177"/>
      <c r="BT21" s="319"/>
      <c r="BU21" s="319"/>
      <c r="BV21" s="319"/>
      <c r="BW21" s="319"/>
      <c r="BX21" s="319"/>
      <c r="BY21" s="319"/>
      <c r="BZ21" s="319"/>
      <c r="CA21" s="158">
        <f t="shared" si="12"/>
        <v>0</v>
      </c>
      <c r="CB21" s="94"/>
      <c r="CC21" s="319"/>
      <c r="CD21" s="319"/>
      <c r="CE21" s="319"/>
      <c r="CF21" s="319"/>
      <c r="CG21" s="319"/>
      <c r="CH21" s="319"/>
      <c r="CI21" s="319"/>
      <c r="CJ21" s="319"/>
      <c r="CK21" s="245"/>
      <c r="CL21" s="319"/>
      <c r="CM21" s="319"/>
      <c r="CN21" s="319"/>
      <c r="CO21" s="319"/>
      <c r="CP21" s="319"/>
      <c r="CQ21" s="319"/>
      <c r="CR21" s="319"/>
      <c r="CS21" s="319"/>
      <c r="CT21" s="245"/>
      <c r="CU21" s="319"/>
      <c r="CV21" s="319"/>
      <c r="CW21" s="319"/>
      <c r="CX21" s="319"/>
      <c r="CY21" s="245"/>
      <c r="CZ21" s="245"/>
      <c r="DA21" s="319"/>
      <c r="DB21" s="319"/>
      <c r="DC21" s="319"/>
      <c r="DD21" s="319"/>
      <c r="DE21" s="319"/>
      <c r="DF21" s="319"/>
      <c r="DG21" s="245"/>
      <c r="DH21" s="319"/>
      <c r="DI21" s="319"/>
      <c r="DJ21" s="245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419">
        <f t="shared" si="13"/>
        <v>0</v>
      </c>
      <c r="DV21" s="57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158">
        <f t="shared" si="14"/>
        <v>0</v>
      </c>
      <c r="GB21" s="95"/>
      <c r="GC21" s="374"/>
      <c r="GD21" s="319"/>
      <c r="GE21" s="319"/>
      <c r="GF21" s="319"/>
      <c r="GG21" s="319"/>
      <c r="GH21" s="319"/>
      <c r="GI21" s="271"/>
      <c r="GJ21" s="271"/>
      <c r="GK21" s="271"/>
      <c r="GL21" s="271"/>
      <c r="GM21" s="272"/>
      <c r="GN21" s="435"/>
      <c r="GO21" s="327">
        <f t="shared" si="15"/>
        <v>0</v>
      </c>
      <c r="GP21" s="445">
        <f t="shared" si="16"/>
        <v>0</v>
      </c>
      <c r="GQ21" s="605">
        <f t="shared" si="17"/>
        <v>0</v>
      </c>
      <c r="GR21" s="627">
        <f t="shared" si="18"/>
        <v>0</v>
      </c>
      <c r="GS21" s="239">
        <f t="shared" si="19"/>
        <v>0</v>
      </c>
      <c r="GT21" s="36" t="str">
        <f t="shared" si="20"/>
        <v>сульфат магния Кизерит</v>
      </c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</row>
    <row r="22" spans="1:215" ht="15" customHeight="1" x14ac:dyDescent="0.3">
      <c r="A22" s="1129">
        <f t="shared" si="21"/>
        <v>13</v>
      </c>
      <c r="B22" s="688" t="s">
        <v>11</v>
      </c>
      <c r="C22" s="565">
        <f>'1_квартал'!G22</f>
        <v>93.417000000000002</v>
      </c>
      <c r="D22" s="346">
        <v>123.55</v>
      </c>
      <c r="E22" s="1300">
        <f>43.61+63.07</f>
        <v>106.68</v>
      </c>
      <c r="F22" s="572"/>
      <c r="G22" s="878">
        <f t="shared" si="9"/>
        <v>115.11499999999999</v>
      </c>
      <c r="H22" s="93">
        <v>136.93</v>
      </c>
      <c r="I22" s="93">
        <v>136.93</v>
      </c>
      <c r="J22" s="94"/>
      <c r="K22" s="245"/>
      <c r="L22" s="245">
        <v>2.036</v>
      </c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245"/>
      <c r="AD22" s="319"/>
      <c r="AE22" s="319"/>
      <c r="AF22" s="245"/>
      <c r="AG22" s="319"/>
      <c r="AH22" s="319"/>
      <c r="AI22" s="319"/>
      <c r="AJ22" s="319"/>
      <c r="AK22" s="319">
        <v>4.4349999999999996</v>
      </c>
      <c r="AL22" s="319"/>
      <c r="AM22" s="319"/>
      <c r="AN22" s="319">
        <v>13.135</v>
      </c>
      <c r="AO22" s="319"/>
      <c r="AP22" s="319"/>
      <c r="AQ22" s="319"/>
      <c r="AR22" s="319"/>
      <c r="AS22" s="319"/>
      <c r="AT22" s="319">
        <f>10.182*3.6</f>
        <v>36.655200000000001</v>
      </c>
      <c r="AU22" s="319"/>
      <c r="AV22" s="319"/>
      <c r="AW22" s="319">
        <v>20.364000000000001</v>
      </c>
      <c r="AX22" s="319"/>
      <c r="AY22" s="319"/>
      <c r="AZ22" s="319"/>
      <c r="BA22" s="319"/>
      <c r="BB22" s="245"/>
      <c r="BC22" s="319"/>
      <c r="BD22" s="319">
        <f>1.527/0.3*0.1</f>
        <v>0.50900000000000001</v>
      </c>
      <c r="BE22" s="319"/>
      <c r="BF22" s="319"/>
      <c r="BG22" s="319"/>
      <c r="BH22" s="319"/>
      <c r="BI22" s="319"/>
      <c r="BJ22" s="177"/>
      <c r="BK22" s="271"/>
      <c r="BL22" s="319"/>
      <c r="BM22" s="245"/>
      <c r="BN22" s="319"/>
      <c r="BO22" s="245"/>
      <c r="BP22" s="177"/>
      <c r="BQ22" s="245"/>
      <c r="BR22" s="177">
        <f>1.833/0.9*0.8</f>
        <v>1.6293333333333333</v>
      </c>
      <c r="BS22" s="177">
        <f>10.182*4</f>
        <v>40.728000000000002</v>
      </c>
      <c r="BT22" s="319"/>
      <c r="BU22" s="319"/>
      <c r="BV22" s="319"/>
      <c r="BW22" s="319"/>
      <c r="BX22" s="319">
        <v>4.0609999999999999</v>
      </c>
      <c r="BY22" s="319"/>
      <c r="BZ22" s="319"/>
      <c r="CA22" s="158">
        <f t="shared" si="12"/>
        <v>123.55253333333334</v>
      </c>
      <c r="CB22" s="94"/>
      <c r="CC22" s="319"/>
      <c r="CD22" s="319"/>
      <c r="CE22" s="319"/>
      <c r="CF22" s="319"/>
      <c r="CG22" s="319"/>
      <c r="CH22" s="319"/>
      <c r="CI22" s="319"/>
      <c r="CJ22" s="319"/>
      <c r="CK22" s="245"/>
      <c r="CL22" s="319"/>
      <c r="CM22" s="319"/>
      <c r="CN22" s="319">
        <v>6.109</v>
      </c>
      <c r="CO22" s="319"/>
      <c r="CP22" s="319"/>
      <c r="CQ22" s="319"/>
      <c r="CR22" s="319"/>
      <c r="CS22" s="319"/>
      <c r="CT22" s="245"/>
      <c r="CU22" s="319"/>
      <c r="CV22" s="319"/>
      <c r="CW22" s="319"/>
      <c r="CX22" s="319"/>
      <c r="CY22" s="245"/>
      <c r="CZ22" s="245"/>
      <c r="DA22" s="319"/>
      <c r="DB22" s="319">
        <f>90.72</f>
        <v>90.72</v>
      </c>
      <c r="DC22" s="319"/>
      <c r="DD22" s="319"/>
      <c r="DE22" s="319"/>
      <c r="DF22" s="319">
        <f>6.567*1.5</f>
        <v>9.8505000000000003</v>
      </c>
      <c r="DG22" s="245"/>
      <c r="DH22" s="319"/>
      <c r="DI22" s="319"/>
      <c r="DJ22" s="245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419">
        <f t="shared" si="13"/>
        <v>106.67949999999999</v>
      </c>
      <c r="DV22" s="57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158">
        <f t="shared" si="14"/>
        <v>0</v>
      </c>
      <c r="GB22" s="95"/>
      <c r="GC22" s="374"/>
      <c r="GD22" s="319"/>
      <c r="GE22" s="319"/>
      <c r="GF22" s="319">
        <f>30.24*3</f>
        <v>90.72</v>
      </c>
      <c r="GG22" s="319"/>
      <c r="GH22" s="319"/>
      <c r="GI22" s="271"/>
      <c r="GJ22" s="271"/>
      <c r="GK22" s="271"/>
      <c r="GL22" s="271"/>
      <c r="GM22" s="272"/>
      <c r="GN22" s="435"/>
      <c r="GO22" s="327">
        <f t="shared" si="15"/>
        <v>90.72</v>
      </c>
      <c r="GP22" s="445">
        <f t="shared" si="16"/>
        <v>46.210000000000008</v>
      </c>
      <c r="GQ22" s="605">
        <f t="shared" si="17"/>
        <v>136.93</v>
      </c>
      <c r="GR22" s="627">
        <f t="shared" si="18"/>
        <v>93.417000000000002</v>
      </c>
      <c r="GS22" s="239">
        <f t="shared" si="19"/>
        <v>106.68</v>
      </c>
      <c r="GT22" s="36" t="str">
        <f t="shared" si="20"/>
        <v>сера</v>
      </c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</row>
    <row r="23" spans="1:215" ht="15" customHeight="1" x14ac:dyDescent="0.3">
      <c r="A23" s="1129">
        <f t="shared" si="21"/>
        <v>14</v>
      </c>
      <c r="B23" s="688" t="s">
        <v>617</v>
      </c>
      <c r="C23" s="565">
        <f>'1_квартал'!G23</f>
        <v>38.557000000000002</v>
      </c>
      <c r="D23" s="346">
        <v>133.85</v>
      </c>
      <c r="E23" s="1300">
        <v>5.38</v>
      </c>
      <c r="F23" s="572"/>
      <c r="G23" s="878">
        <f t="shared" si="9"/>
        <v>69.614999999999995</v>
      </c>
      <c r="H23" s="93">
        <f>5.01+1500</f>
        <v>1505.01</v>
      </c>
      <c r="I23" s="93">
        <v>1498.96</v>
      </c>
      <c r="J23" s="94"/>
      <c r="K23" s="245"/>
      <c r="L23" s="245">
        <v>2.016</v>
      </c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245"/>
      <c r="AD23" s="319"/>
      <c r="AE23" s="319"/>
      <c r="AF23" s="245"/>
      <c r="AG23" s="319"/>
      <c r="AH23" s="319"/>
      <c r="AI23" s="319"/>
      <c r="AJ23" s="319"/>
      <c r="AK23" s="319"/>
      <c r="AL23" s="319">
        <v>6.4000000000000001E-2</v>
      </c>
      <c r="AM23" s="319"/>
      <c r="AN23" s="319"/>
      <c r="AO23" s="319"/>
      <c r="AP23" s="319"/>
      <c r="AQ23" s="319">
        <v>0.13400000000000001</v>
      </c>
      <c r="AR23" s="319"/>
      <c r="AS23" s="319">
        <v>0.09</v>
      </c>
      <c r="AT23" s="319">
        <f>10.08*3.6</f>
        <v>36.288000000000004</v>
      </c>
      <c r="AU23" s="319">
        <f>3.36*9</f>
        <v>30.24</v>
      </c>
      <c r="AV23" s="319"/>
      <c r="AW23" s="319">
        <v>20.16</v>
      </c>
      <c r="AX23" s="319"/>
      <c r="AY23" s="319"/>
      <c r="AZ23" s="319"/>
      <c r="BA23" s="319"/>
      <c r="BB23" s="245"/>
      <c r="BC23" s="319"/>
      <c r="BD23" s="319">
        <f>0.605/0.3*0.1</f>
        <v>0.20166666666666666</v>
      </c>
      <c r="BE23" s="319"/>
      <c r="BF23" s="319"/>
      <c r="BG23" s="319"/>
      <c r="BH23" s="319"/>
      <c r="BI23" s="319"/>
      <c r="BJ23" s="177">
        <f>1.792/8*1.8</f>
        <v>0.4032</v>
      </c>
      <c r="BK23" s="271">
        <f>1.792/8*1.5</f>
        <v>0.33600000000000002</v>
      </c>
      <c r="BL23" s="319"/>
      <c r="BM23" s="245"/>
      <c r="BN23" s="319">
        <f>3.36*0.6</f>
        <v>2.016</v>
      </c>
      <c r="BO23" s="245"/>
      <c r="BP23" s="177">
        <f>1.792/8*4.7</f>
        <v>1.0528</v>
      </c>
      <c r="BQ23" s="245"/>
      <c r="BR23" s="177">
        <f>0.605/0.9*0.8</f>
        <v>0.5377777777777778</v>
      </c>
      <c r="BS23" s="177">
        <f>10.08*4</f>
        <v>40.32</v>
      </c>
      <c r="BT23" s="319"/>
      <c r="BU23" s="319"/>
      <c r="BV23" s="319"/>
      <c r="BW23" s="319"/>
      <c r="BX23" s="319"/>
      <c r="BY23" s="319"/>
      <c r="BZ23" s="319"/>
      <c r="CA23" s="158">
        <f t="shared" si="12"/>
        <v>133.85944444444445</v>
      </c>
      <c r="CB23" s="94"/>
      <c r="CC23" s="319"/>
      <c r="CD23" s="319"/>
      <c r="CE23" s="319"/>
      <c r="CF23" s="319"/>
      <c r="CG23" s="319"/>
      <c r="CH23" s="319"/>
      <c r="CI23" s="319"/>
      <c r="CJ23" s="319"/>
      <c r="CK23" s="245"/>
      <c r="CL23" s="319"/>
      <c r="CM23" s="319"/>
      <c r="CN23" s="319">
        <v>2.016</v>
      </c>
      <c r="CO23" s="319"/>
      <c r="CP23" s="319"/>
      <c r="CQ23" s="319"/>
      <c r="CR23" s="319"/>
      <c r="CS23" s="319"/>
      <c r="CT23" s="245"/>
      <c r="CU23" s="319"/>
      <c r="CV23" s="319"/>
      <c r="CW23" s="319"/>
      <c r="CX23" s="319"/>
      <c r="CY23" s="245"/>
      <c r="CZ23" s="245"/>
      <c r="DA23" s="319"/>
      <c r="DB23" s="319"/>
      <c r="DC23" s="319"/>
      <c r="DD23" s="319"/>
      <c r="DE23" s="319"/>
      <c r="DF23" s="319"/>
      <c r="DG23" s="245"/>
      <c r="DH23" s="319"/>
      <c r="DI23" s="319"/>
      <c r="DJ23" s="245"/>
      <c r="DK23" s="319"/>
      <c r="DL23" s="319">
        <v>3.36</v>
      </c>
      <c r="DM23" s="319"/>
      <c r="DN23" s="319"/>
      <c r="DO23" s="319"/>
      <c r="DP23" s="319"/>
      <c r="DQ23" s="319"/>
      <c r="DR23" s="319"/>
      <c r="DS23" s="319"/>
      <c r="DT23" s="319"/>
      <c r="DU23" s="419">
        <f t="shared" si="13"/>
        <v>5.3759999999999994</v>
      </c>
      <c r="DV23" s="57"/>
      <c r="DW23" s="319"/>
      <c r="DX23" s="319"/>
      <c r="DY23" s="319"/>
      <c r="DZ23" s="319"/>
      <c r="EA23" s="319"/>
      <c r="EB23" s="319"/>
      <c r="EC23" s="319"/>
      <c r="ED23" s="319"/>
      <c r="EE23" s="319">
        <f>3.36*1.8</f>
        <v>6.048</v>
      </c>
      <c r="EF23" s="319"/>
      <c r="EG23" s="319"/>
      <c r="EH23" s="319"/>
      <c r="EI23" s="319"/>
      <c r="EJ23" s="319"/>
      <c r="EK23" s="319"/>
      <c r="EL23" s="319"/>
      <c r="EM23" s="319"/>
      <c r="EN23" s="319"/>
      <c r="EO23" s="319"/>
      <c r="EP23" s="319"/>
      <c r="EQ23" s="319"/>
      <c r="ER23" s="319"/>
      <c r="ES23" s="319"/>
      <c r="ET23" s="319"/>
      <c r="EU23" s="319"/>
      <c r="EV23" s="319"/>
      <c r="EW23" s="319"/>
      <c r="EX23" s="319"/>
      <c r="EY23" s="319"/>
      <c r="EZ23" s="319"/>
      <c r="FA23" s="319"/>
      <c r="FB23" s="319"/>
      <c r="FC23" s="319"/>
      <c r="FD23" s="319"/>
      <c r="FE23" s="319"/>
      <c r="FF23" s="319"/>
      <c r="FG23" s="319"/>
      <c r="FH23" s="319"/>
      <c r="FI23" s="319"/>
      <c r="FJ23" s="319"/>
      <c r="FK23" s="319"/>
      <c r="FL23" s="319"/>
      <c r="FM23" s="319"/>
      <c r="FN23" s="319"/>
      <c r="FO23" s="319"/>
      <c r="FP23" s="319"/>
      <c r="FQ23" s="319"/>
      <c r="FR23" s="319"/>
      <c r="FS23" s="319"/>
      <c r="FT23" s="319"/>
      <c r="FU23" s="319"/>
      <c r="FV23" s="319"/>
      <c r="FW23" s="319"/>
      <c r="FX23" s="319"/>
      <c r="FY23" s="319"/>
      <c r="FZ23" s="319"/>
      <c r="GA23" s="158">
        <f t="shared" si="14"/>
        <v>6.048</v>
      </c>
      <c r="GB23" s="95"/>
      <c r="GC23" s="374"/>
      <c r="GD23" s="319"/>
      <c r="GE23" s="319"/>
      <c r="GF23" s="319"/>
      <c r="GG23" s="319"/>
      <c r="GH23" s="319"/>
      <c r="GI23" s="271"/>
      <c r="GJ23" s="271"/>
      <c r="GK23" s="271"/>
      <c r="GL23" s="271"/>
      <c r="GM23" s="272"/>
      <c r="GN23" s="435"/>
      <c r="GO23" s="327">
        <f t="shared" si="15"/>
        <v>0</v>
      </c>
      <c r="GP23" s="445">
        <f t="shared" si="16"/>
        <v>1498.96</v>
      </c>
      <c r="GQ23" s="605">
        <f t="shared" si="17"/>
        <v>1498.96</v>
      </c>
      <c r="GR23" s="627">
        <f t="shared" si="18"/>
        <v>38.557000000000002</v>
      </c>
      <c r="GS23" s="239">
        <f t="shared" si="19"/>
        <v>5.38</v>
      </c>
      <c r="GT23" s="36" t="str">
        <f t="shared" si="20"/>
        <v>сульфат железа+моносульфер</v>
      </c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</row>
    <row r="24" spans="1:215" ht="15" customHeight="1" x14ac:dyDescent="0.3">
      <c r="A24" s="1129">
        <f t="shared" si="21"/>
        <v>15</v>
      </c>
      <c r="B24" s="688" t="s">
        <v>9</v>
      </c>
      <c r="C24" s="565">
        <f>'1_квартал'!G24</f>
        <v>214.34</v>
      </c>
      <c r="D24" s="346">
        <v>207.37</v>
      </c>
      <c r="E24" s="1300">
        <f>22.122+161.508</f>
        <v>183.63</v>
      </c>
      <c r="F24" s="572"/>
      <c r="G24" s="878">
        <f t="shared" si="9"/>
        <v>195.5</v>
      </c>
      <c r="H24" s="93">
        <v>838.49199999999996</v>
      </c>
      <c r="I24" s="93">
        <v>833.77200000000005</v>
      </c>
      <c r="J24" s="94"/>
      <c r="K24" s="245"/>
      <c r="L24" s="245">
        <v>0.40300000000000002</v>
      </c>
      <c r="M24" s="319"/>
      <c r="N24" s="319"/>
      <c r="O24" s="319">
        <f>0.968*2.7</f>
        <v>2.6135999999999999</v>
      </c>
      <c r="P24" s="319"/>
      <c r="Q24" s="319">
        <f>1.21*0.6</f>
        <v>0.72599999999999998</v>
      </c>
      <c r="R24" s="319"/>
      <c r="S24" s="319">
        <f>0.968*7.5</f>
        <v>7.26</v>
      </c>
      <c r="T24" s="319"/>
      <c r="U24" s="319"/>
      <c r="V24" s="319">
        <f>4.435*1.6</f>
        <v>7.0960000000000001</v>
      </c>
      <c r="W24" s="319">
        <f>0.968*0.6</f>
        <v>0.58079999999999998</v>
      </c>
      <c r="X24" s="319"/>
      <c r="Y24" s="319"/>
      <c r="Z24" s="319"/>
      <c r="AA24" s="319">
        <f>1.411*0.9</f>
        <v>1.2699</v>
      </c>
      <c r="AB24" s="319">
        <f>0.968*3</f>
        <v>2.9039999999999999</v>
      </c>
      <c r="AC24" s="245"/>
      <c r="AD24" s="319">
        <f>2.016*5</f>
        <v>10.08</v>
      </c>
      <c r="AE24" s="319"/>
      <c r="AF24" s="245">
        <f>2.55*0.6</f>
        <v>1.5299999999999998</v>
      </c>
      <c r="AG24" s="319"/>
      <c r="AH24" s="319">
        <f>6.048*2</f>
        <v>12.096</v>
      </c>
      <c r="AI24" s="319">
        <f>6.048*8</f>
        <v>48.384</v>
      </c>
      <c r="AJ24" s="319">
        <f>6.653*1.4</f>
        <v>9.3141999999999996</v>
      </c>
      <c r="AK24" s="319"/>
      <c r="AL24" s="319"/>
      <c r="AM24" s="319">
        <f>4.435*3</f>
        <v>13.305</v>
      </c>
      <c r="AN24" s="319"/>
      <c r="AO24" s="319">
        <v>1.21</v>
      </c>
      <c r="AP24" s="319"/>
      <c r="AQ24" s="319">
        <f>0.113</f>
        <v>0.113</v>
      </c>
      <c r="AR24" s="319"/>
      <c r="AS24" s="319">
        <v>7.4999999999999997E-2</v>
      </c>
      <c r="AT24" s="319">
        <f>2.016*3.6</f>
        <v>7.2576000000000001</v>
      </c>
      <c r="AU24" s="319">
        <f>2.822*9</f>
        <v>25.398</v>
      </c>
      <c r="AV24" s="319">
        <f>8.467*2.3</f>
        <v>19.4741</v>
      </c>
      <c r="AW24" s="319">
        <v>4.032</v>
      </c>
      <c r="AX24" s="319"/>
      <c r="AY24" s="319">
        <f>1.21</f>
        <v>1.21</v>
      </c>
      <c r="AZ24" s="319"/>
      <c r="BA24" s="319">
        <f>1.411</f>
        <v>1.411</v>
      </c>
      <c r="BB24" s="245"/>
      <c r="BC24" s="319">
        <f>4.355/1.2*0.3</f>
        <v>1.0887500000000001</v>
      </c>
      <c r="BD24" s="319">
        <f>0.097/0.3*0.1</f>
        <v>3.2333333333333339E-2</v>
      </c>
      <c r="BE24" s="319">
        <v>0.36299999999999999</v>
      </c>
      <c r="BF24" s="319"/>
      <c r="BG24" s="319"/>
      <c r="BH24" s="319"/>
      <c r="BI24" s="319"/>
      <c r="BJ24" s="177"/>
      <c r="BK24" s="271"/>
      <c r="BL24" s="319"/>
      <c r="BM24" s="245">
        <f>2.55*0.6</f>
        <v>1.5299999999999998</v>
      </c>
      <c r="BN24" s="319">
        <f>2.621*0.6</f>
        <v>1.5726</v>
      </c>
      <c r="BO24" s="245"/>
      <c r="BP24" s="177"/>
      <c r="BQ24" s="245"/>
      <c r="BR24" s="177"/>
      <c r="BS24" s="177">
        <f>2.016*4</f>
        <v>8.0640000000000001</v>
      </c>
      <c r="BT24" s="319"/>
      <c r="BU24" s="319"/>
      <c r="BV24" s="319"/>
      <c r="BW24" s="319">
        <f>4.435*3</f>
        <v>13.305</v>
      </c>
      <c r="BX24" s="319"/>
      <c r="BY24" s="319">
        <f>0.968*3.8</f>
        <v>3.6783999999999999</v>
      </c>
      <c r="BZ24" s="319"/>
      <c r="CA24" s="158">
        <f t="shared" si="12"/>
        <v>207.37728333333334</v>
      </c>
      <c r="CB24" s="94"/>
      <c r="CC24" s="319"/>
      <c r="CD24" s="319"/>
      <c r="CE24" s="319">
        <f>0.968*0.6</f>
        <v>0.58079999999999998</v>
      </c>
      <c r="CF24" s="319">
        <f>6.653*1.8</f>
        <v>11.975399999999999</v>
      </c>
      <c r="CG24" s="319">
        <f>4.435*1.3</f>
        <v>5.7654999999999994</v>
      </c>
      <c r="CH24" s="319"/>
      <c r="CI24" s="319">
        <f>1.411*0.9</f>
        <v>1.2699</v>
      </c>
      <c r="CJ24" s="319"/>
      <c r="CK24" s="245"/>
      <c r="CL24" s="319">
        <f>0.765/0.3*0.2</f>
        <v>0.51000000000000012</v>
      </c>
      <c r="CM24" s="319">
        <f>4.435*5</f>
        <v>22.174999999999997</v>
      </c>
      <c r="CN24" s="319"/>
      <c r="CO24" s="319">
        <f>0.968*6</f>
        <v>5.8079999999999998</v>
      </c>
      <c r="CP24" s="319">
        <f>3.06/1.2*0.6</f>
        <v>1.53</v>
      </c>
      <c r="CQ24" s="319"/>
      <c r="CR24" s="319"/>
      <c r="CS24" s="319"/>
      <c r="CT24" s="245"/>
      <c r="CU24" s="319">
        <f>1.411*1.5</f>
        <v>2.1165000000000003</v>
      </c>
      <c r="CV24" s="319"/>
      <c r="CW24" s="319">
        <f>1.21</f>
        <v>1.21</v>
      </c>
      <c r="CX24" s="319"/>
      <c r="CY24" s="245"/>
      <c r="CZ24" s="245"/>
      <c r="DA24" s="319"/>
      <c r="DB24" s="319">
        <f>28.764</f>
        <v>28.763999999999999</v>
      </c>
      <c r="DC24" s="319"/>
      <c r="DD24" s="319">
        <f>5.04*7</f>
        <v>35.28</v>
      </c>
      <c r="DE24" s="319">
        <f>5.04*3</f>
        <v>15.120000000000001</v>
      </c>
      <c r="DF24" s="319"/>
      <c r="DG24" s="245"/>
      <c r="DH24" s="319"/>
      <c r="DI24" s="319"/>
      <c r="DJ24" s="245"/>
      <c r="DK24" s="319">
        <f>0.968*5</f>
        <v>4.84</v>
      </c>
      <c r="DL24" s="319">
        <v>2.621</v>
      </c>
      <c r="DM24" s="319">
        <f>0.968*7</f>
        <v>6.7759999999999998</v>
      </c>
      <c r="DN24" s="319"/>
      <c r="DO24" s="319"/>
      <c r="DP24" s="319"/>
      <c r="DQ24" s="319">
        <f>6.653*1.7</f>
        <v>11.310099999999998</v>
      </c>
      <c r="DR24" s="319">
        <f>2.55*0.3</f>
        <v>0.7649999999999999</v>
      </c>
      <c r="DS24" s="319"/>
      <c r="DT24" s="319">
        <f>5.04*5</f>
        <v>25.2</v>
      </c>
      <c r="DU24" s="419">
        <f t="shared" si="13"/>
        <v>183.6172</v>
      </c>
      <c r="DV24" s="57"/>
      <c r="DW24" s="319"/>
      <c r="DX24" s="319"/>
      <c r="DY24" s="319"/>
      <c r="DZ24" s="319"/>
      <c r="EA24" s="319"/>
      <c r="EB24" s="319"/>
      <c r="EC24" s="319"/>
      <c r="ED24" s="319"/>
      <c r="EE24" s="319">
        <f>2.621*1.8</f>
        <v>4.7178000000000004</v>
      </c>
      <c r="EF24" s="319"/>
      <c r="EG24" s="319"/>
      <c r="EH24" s="319"/>
      <c r="EI24" s="319"/>
      <c r="EJ24" s="319"/>
      <c r="EK24" s="319"/>
      <c r="EL24" s="319"/>
      <c r="EM24" s="319"/>
      <c r="EN24" s="319"/>
      <c r="EO24" s="319"/>
      <c r="EP24" s="319"/>
      <c r="EQ24" s="319"/>
      <c r="ER24" s="319"/>
      <c r="ES24" s="319"/>
      <c r="ET24" s="319"/>
      <c r="EU24" s="319"/>
      <c r="EV24" s="319"/>
      <c r="EW24" s="319"/>
      <c r="EX24" s="319"/>
      <c r="EY24" s="319"/>
      <c r="EZ24" s="319"/>
      <c r="FA24" s="319"/>
      <c r="FB24" s="319"/>
      <c r="FC24" s="319"/>
      <c r="FD24" s="319"/>
      <c r="FE24" s="319"/>
      <c r="FF24" s="319"/>
      <c r="FG24" s="319"/>
      <c r="FH24" s="319"/>
      <c r="FI24" s="319"/>
      <c r="FJ24" s="319"/>
      <c r="FK24" s="319"/>
      <c r="FL24" s="319"/>
      <c r="FM24" s="319"/>
      <c r="FN24" s="319"/>
      <c r="FO24" s="319"/>
      <c r="FP24" s="319"/>
      <c r="FQ24" s="319"/>
      <c r="FR24" s="319"/>
      <c r="FS24" s="319"/>
      <c r="FT24" s="319"/>
      <c r="FU24" s="319"/>
      <c r="FV24" s="319"/>
      <c r="FW24" s="319"/>
      <c r="FX24" s="319"/>
      <c r="FY24" s="319"/>
      <c r="FZ24" s="319"/>
      <c r="GA24" s="158">
        <f t="shared" si="14"/>
        <v>4.7178000000000004</v>
      </c>
      <c r="GB24" s="95"/>
      <c r="GC24" s="374"/>
      <c r="GD24" s="319"/>
      <c r="GE24" s="319"/>
      <c r="GF24" s="319">
        <f>9.588*3</f>
        <v>28.763999999999996</v>
      </c>
      <c r="GG24" s="319">
        <f>2.55*1.2</f>
        <v>3.0599999999999996</v>
      </c>
      <c r="GH24" s="319">
        <f>4.435*3</f>
        <v>13.305</v>
      </c>
      <c r="GI24" s="271"/>
      <c r="GJ24" s="271"/>
      <c r="GK24" s="271"/>
      <c r="GL24" s="271"/>
      <c r="GM24" s="272"/>
      <c r="GN24" s="435"/>
      <c r="GO24" s="327">
        <f t="shared" si="15"/>
        <v>45.128999999999991</v>
      </c>
      <c r="GP24" s="445">
        <f t="shared" si="16"/>
        <v>788.64300000000003</v>
      </c>
      <c r="GQ24" s="605">
        <f t="shared" si="17"/>
        <v>833.77200000000005</v>
      </c>
      <c r="GR24" s="627">
        <f t="shared" si="18"/>
        <v>214.34</v>
      </c>
      <c r="GS24" s="239">
        <f t="shared" si="19"/>
        <v>183.63</v>
      </c>
      <c r="GT24" s="36" t="str">
        <f t="shared" si="20"/>
        <v>медный купорос</v>
      </c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</row>
    <row r="25" spans="1:215" ht="15" customHeight="1" x14ac:dyDescent="0.3">
      <c r="A25" s="1129">
        <f t="shared" si="21"/>
        <v>16</v>
      </c>
      <c r="B25" s="689" t="s">
        <v>48</v>
      </c>
      <c r="C25" s="565">
        <f>'1_квартал'!G25</f>
        <v>836.95</v>
      </c>
      <c r="D25" s="346">
        <f>574.64+251.82</f>
        <v>826.46</v>
      </c>
      <c r="E25" s="1300">
        <v>732.29</v>
      </c>
      <c r="F25" s="572"/>
      <c r="G25" s="878">
        <f t="shared" si="9"/>
        <v>779.375</v>
      </c>
      <c r="H25" s="93">
        <f>15.89+1000</f>
        <v>1015.89</v>
      </c>
      <c r="I25" s="93">
        <v>989.63</v>
      </c>
      <c r="J25" s="94"/>
      <c r="K25" s="245"/>
      <c r="L25" s="245">
        <v>1.3260000000000001</v>
      </c>
      <c r="M25" s="319"/>
      <c r="N25" s="319">
        <f>10.345*5</f>
        <v>51.725000000000001</v>
      </c>
      <c r="O25" s="319">
        <f>2.918*2.7</f>
        <v>7.8786000000000005</v>
      </c>
      <c r="P25" s="319"/>
      <c r="Q25" s="319">
        <f>1.273*0.6</f>
        <v>0.76379999999999992</v>
      </c>
      <c r="R25" s="319"/>
      <c r="S25" s="319">
        <f>2.918*7.5</f>
        <v>21.885000000000002</v>
      </c>
      <c r="T25" s="319"/>
      <c r="U25" s="319"/>
      <c r="V25" s="319">
        <f>18.568*1.6</f>
        <v>29.708800000000004</v>
      </c>
      <c r="W25" s="319">
        <f>2.918*0.6</f>
        <v>1.7508000000000001</v>
      </c>
      <c r="X25" s="319"/>
      <c r="Y25" s="319"/>
      <c r="Z25" s="319"/>
      <c r="AA25" s="319">
        <f>3.316*0.9</f>
        <v>2.9843999999999999</v>
      </c>
      <c r="AB25" s="319">
        <f>2.918*3</f>
        <v>8.7540000000000013</v>
      </c>
      <c r="AC25" s="245"/>
      <c r="AD25" s="319">
        <f>1.989*5</f>
        <v>9.9450000000000003</v>
      </c>
      <c r="AE25" s="319"/>
      <c r="AF25" s="245">
        <f>2.865*0.6</f>
        <v>1.7190000000000001</v>
      </c>
      <c r="AG25" s="319"/>
      <c r="AH25" s="319">
        <f>24.802*2</f>
        <v>49.603999999999999</v>
      </c>
      <c r="AI25" s="319">
        <f>24.802*8</f>
        <v>198.416</v>
      </c>
      <c r="AJ25" s="319">
        <f>27.853*1.4</f>
        <v>38.994199999999999</v>
      </c>
      <c r="AK25" s="319">
        <v>1.194</v>
      </c>
      <c r="AL25" s="319">
        <v>0.11899999999999999</v>
      </c>
      <c r="AM25" s="319">
        <f>18.568*3</f>
        <v>55.704000000000008</v>
      </c>
      <c r="AN25" s="319"/>
      <c r="AO25" s="319">
        <v>1.2729999999999999</v>
      </c>
      <c r="AP25" s="319"/>
      <c r="AQ25" s="319">
        <v>0.63700000000000001</v>
      </c>
      <c r="AR25" s="319">
        <v>1.1140000000000001</v>
      </c>
      <c r="AS25" s="319">
        <v>0.42399999999999999</v>
      </c>
      <c r="AT25" s="319">
        <f>6.632*3.6</f>
        <v>23.8752</v>
      </c>
      <c r="AU25" s="319">
        <f>15.916*9</f>
        <v>143.244</v>
      </c>
      <c r="AV25" s="319">
        <f>18.568*2.3</f>
        <v>42.706400000000002</v>
      </c>
      <c r="AW25" s="319">
        <v>13.263</v>
      </c>
      <c r="AX25" s="319"/>
      <c r="AY25" s="319">
        <f>2.785</f>
        <v>2.7850000000000001</v>
      </c>
      <c r="AZ25" s="319"/>
      <c r="BA25" s="319">
        <f>3.316</f>
        <v>3.3159999999999998</v>
      </c>
      <c r="BB25" s="245"/>
      <c r="BC25" s="319">
        <f>5.73/1.2*0.3</f>
        <v>1.4325000000000001</v>
      </c>
      <c r="BD25" s="319">
        <f>0.159/0.3*0.1</f>
        <v>5.3000000000000005E-2</v>
      </c>
      <c r="BE25" s="319">
        <v>0.47699999999999998</v>
      </c>
      <c r="BF25" s="319">
        <f>1.114/0.6*0.7</f>
        <v>1.2996666666666667</v>
      </c>
      <c r="BG25" s="319"/>
      <c r="BH25" s="319"/>
      <c r="BI25" s="319"/>
      <c r="BJ25" s="177"/>
      <c r="BK25" s="271"/>
      <c r="BL25" s="319">
        <v>1.1140000000000001</v>
      </c>
      <c r="BM25" s="245">
        <f>2.865*0.6</f>
        <v>1.7190000000000001</v>
      </c>
      <c r="BN25" s="319">
        <f>14.589*0.6</f>
        <v>8.7533999999999992</v>
      </c>
      <c r="BO25" s="245"/>
      <c r="BP25" s="177"/>
      <c r="BQ25" s="245"/>
      <c r="BR25" s="177"/>
      <c r="BS25" s="177">
        <f>6.632*4</f>
        <v>26.527999999999999</v>
      </c>
      <c r="BT25" s="319"/>
      <c r="BU25" s="319"/>
      <c r="BV25" s="319"/>
      <c r="BW25" s="319">
        <f>18.568*3</f>
        <v>55.704000000000008</v>
      </c>
      <c r="BX25" s="319">
        <v>3.1829999999999998</v>
      </c>
      <c r="BY25" s="319">
        <f>2.918*3.8</f>
        <v>11.0884</v>
      </c>
      <c r="BZ25" s="319"/>
      <c r="CA25" s="158">
        <f t="shared" si="12"/>
        <v>826.46116666666683</v>
      </c>
      <c r="CB25" s="94"/>
      <c r="CC25" s="319"/>
      <c r="CD25" s="319"/>
      <c r="CE25" s="319">
        <f>2.918*0.6</f>
        <v>1.7508000000000001</v>
      </c>
      <c r="CF25" s="319">
        <f>27.853*1.8</f>
        <v>50.135400000000004</v>
      </c>
      <c r="CG25" s="319">
        <f>18.568*1.3</f>
        <v>24.138400000000004</v>
      </c>
      <c r="CH25" s="319"/>
      <c r="CI25" s="319">
        <f>3.316*0.9</f>
        <v>2.9843999999999999</v>
      </c>
      <c r="CJ25" s="319"/>
      <c r="CK25" s="245"/>
      <c r="CL25" s="319">
        <f>0.859/0.3*0.2</f>
        <v>0.57266666666666666</v>
      </c>
      <c r="CM25" s="319">
        <f>18.568*5</f>
        <v>92.84</v>
      </c>
      <c r="CN25" s="319"/>
      <c r="CO25" s="319">
        <f>2.918*6</f>
        <v>17.508000000000003</v>
      </c>
      <c r="CP25" s="319">
        <f>3.438/1.2*0.6</f>
        <v>1.7190000000000001</v>
      </c>
      <c r="CQ25" s="319"/>
      <c r="CR25" s="319">
        <f>1.114</f>
        <v>1.1140000000000001</v>
      </c>
      <c r="CS25" s="319">
        <f>11.141*5</f>
        <v>55.704999999999998</v>
      </c>
      <c r="CT25" s="245"/>
      <c r="CU25" s="319">
        <f>3.316*1.5</f>
        <v>4.9740000000000002</v>
      </c>
      <c r="CV25" s="319"/>
      <c r="CW25" s="319">
        <f>2.785</f>
        <v>2.7850000000000001</v>
      </c>
      <c r="CX25" s="319"/>
      <c r="CY25" s="245"/>
      <c r="CZ25" s="245"/>
      <c r="DA25" s="319"/>
      <c r="DB25" s="319">
        <f>67.642</f>
        <v>67.641999999999996</v>
      </c>
      <c r="DC25" s="319"/>
      <c r="DD25" s="319">
        <f>20.558*7</f>
        <v>143.90600000000001</v>
      </c>
      <c r="DE25" s="319">
        <f>20.558*3</f>
        <v>61.673999999999999</v>
      </c>
      <c r="DF25" s="319"/>
      <c r="DG25" s="245"/>
      <c r="DH25" s="319"/>
      <c r="DI25" s="319"/>
      <c r="DJ25" s="245"/>
      <c r="DK25" s="319">
        <f>2.918*5</f>
        <v>14.59</v>
      </c>
      <c r="DL25" s="319">
        <v>14.589</v>
      </c>
      <c r="DM25" s="319">
        <f>2.918*7</f>
        <v>20.426000000000002</v>
      </c>
      <c r="DN25" s="319"/>
      <c r="DO25" s="319">
        <f>1.857*1.2</f>
        <v>2.2283999999999997</v>
      </c>
      <c r="DP25" s="319"/>
      <c r="DQ25" s="319">
        <f>27.853*1.7</f>
        <v>47.350100000000005</v>
      </c>
      <c r="DR25" s="319">
        <f>2.865*0.3</f>
        <v>0.85950000000000004</v>
      </c>
      <c r="DS25" s="319"/>
      <c r="DT25" s="319">
        <f>20.558*5</f>
        <v>102.78999999999999</v>
      </c>
      <c r="DU25" s="419">
        <f t="shared" si="13"/>
        <v>732.28166666666675</v>
      </c>
      <c r="DV25" s="57"/>
      <c r="DW25" s="319"/>
      <c r="DX25" s="319"/>
      <c r="DY25" s="319"/>
      <c r="DZ25" s="319"/>
      <c r="EA25" s="319"/>
      <c r="EB25" s="319"/>
      <c r="EC25" s="319"/>
      <c r="ED25" s="319"/>
      <c r="EE25" s="319">
        <f>14.589*1.8</f>
        <v>26.260200000000001</v>
      </c>
      <c r="EF25" s="319"/>
      <c r="EG25" s="319"/>
      <c r="EH25" s="319"/>
      <c r="EI25" s="319"/>
      <c r="EJ25" s="319"/>
      <c r="EK25" s="319"/>
      <c r="EL25" s="319"/>
      <c r="EM25" s="319"/>
      <c r="EN25" s="319"/>
      <c r="EO25" s="319"/>
      <c r="EP25" s="319"/>
      <c r="EQ25" s="319"/>
      <c r="ER25" s="319"/>
      <c r="ES25" s="319"/>
      <c r="ET25" s="319"/>
      <c r="EU25" s="319"/>
      <c r="EV25" s="319"/>
      <c r="EW25" s="319"/>
      <c r="EX25" s="319"/>
      <c r="EY25" s="319"/>
      <c r="EZ25" s="319"/>
      <c r="FA25" s="319"/>
      <c r="FB25" s="319"/>
      <c r="FC25" s="319"/>
      <c r="FD25" s="319"/>
      <c r="FE25" s="319"/>
      <c r="FF25" s="319"/>
      <c r="FG25" s="319"/>
      <c r="FH25" s="319"/>
      <c r="FI25" s="319"/>
      <c r="FJ25" s="319"/>
      <c r="FK25" s="319"/>
      <c r="FL25" s="319"/>
      <c r="FM25" s="319"/>
      <c r="FN25" s="319"/>
      <c r="FO25" s="319"/>
      <c r="FP25" s="319"/>
      <c r="FQ25" s="319"/>
      <c r="FR25" s="319"/>
      <c r="FS25" s="319"/>
      <c r="FT25" s="319"/>
      <c r="FU25" s="319"/>
      <c r="FV25" s="319"/>
      <c r="FW25" s="319"/>
      <c r="FX25" s="319"/>
      <c r="FY25" s="319"/>
      <c r="FZ25" s="319"/>
      <c r="GA25" s="158">
        <f t="shared" si="14"/>
        <v>26.260200000000001</v>
      </c>
      <c r="GB25" s="95"/>
      <c r="GC25" s="374"/>
      <c r="GD25" s="319"/>
      <c r="GE25" s="319"/>
      <c r="GF25" s="319">
        <f>22.547*3</f>
        <v>67.641000000000005</v>
      </c>
      <c r="GG25" s="319">
        <f>2.865*1.2</f>
        <v>3.4380000000000002</v>
      </c>
      <c r="GH25" s="319">
        <f>18.568*3</f>
        <v>55.704000000000008</v>
      </c>
      <c r="GI25" s="271"/>
      <c r="GJ25" s="271"/>
      <c r="GK25" s="271"/>
      <c r="GL25" s="271"/>
      <c r="GM25" s="272"/>
      <c r="GN25" s="435"/>
      <c r="GO25" s="327">
        <f t="shared" si="15"/>
        <v>126.78300000000002</v>
      </c>
      <c r="GP25" s="445">
        <f t="shared" si="16"/>
        <v>862.84699999999998</v>
      </c>
      <c r="GQ25" s="605">
        <f t="shared" si="17"/>
        <v>989.63</v>
      </c>
      <c r="GR25" s="627">
        <f t="shared" si="18"/>
        <v>836.95</v>
      </c>
      <c r="GS25" s="239">
        <f t="shared" si="19"/>
        <v>732.29</v>
      </c>
      <c r="GT25" s="36" t="str">
        <f t="shared" si="20"/>
        <v>цинковый купорос+ сульфат цинка</v>
      </c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</row>
    <row r="26" spans="1:215" ht="15" customHeight="1" x14ac:dyDescent="0.3">
      <c r="A26" s="1129">
        <f>A25+1</f>
        <v>17</v>
      </c>
      <c r="B26" s="688" t="s">
        <v>13</v>
      </c>
      <c r="C26" s="565">
        <f>'1_квартал'!G26</f>
        <v>532.47</v>
      </c>
      <c r="D26" s="346">
        <v>565.79999999999995</v>
      </c>
      <c r="E26" s="1300">
        <v>523.61</v>
      </c>
      <c r="F26" s="572"/>
      <c r="G26" s="878">
        <f t="shared" si="9"/>
        <v>544.70500000000004</v>
      </c>
      <c r="H26" s="93">
        <v>208.43</v>
      </c>
      <c r="I26" s="93">
        <v>205.59</v>
      </c>
      <c r="J26" s="94"/>
      <c r="K26" s="245"/>
      <c r="L26" s="245">
        <v>2.52</v>
      </c>
      <c r="M26" s="319"/>
      <c r="N26" s="319">
        <f>10.71*5</f>
        <v>53.550000000000004</v>
      </c>
      <c r="O26" s="319">
        <f>1.89*2.7</f>
        <v>5.1029999999999998</v>
      </c>
      <c r="P26" s="319"/>
      <c r="Q26" s="319">
        <f>1.796*0.6</f>
        <v>1.0775999999999999</v>
      </c>
      <c r="R26" s="319"/>
      <c r="S26" s="319">
        <f>1.89*7.5</f>
        <v>14.174999999999999</v>
      </c>
      <c r="T26" s="319"/>
      <c r="U26" s="319"/>
      <c r="V26" s="319">
        <f>11.813*1.6</f>
        <v>18.9008</v>
      </c>
      <c r="W26" s="319">
        <f>1.89*0.6</f>
        <v>1.1339999999999999</v>
      </c>
      <c r="X26" s="319"/>
      <c r="Y26" s="319"/>
      <c r="Z26" s="319"/>
      <c r="AA26" s="319">
        <f>3.938*0.9</f>
        <v>3.5442</v>
      </c>
      <c r="AB26" s="319">
        <f>1.89*3</f>
        <v>5.67</v>
      </c>
      <c r="AC26" s="245"/>
      <c r="AD26" s="319">
        <f>1.575*5</f>
        <v>7.875</v>
      </c>
      <c r="AE26" s="319"/>
      <c r="AF26" s="245">
        <f>4.142*0.6</f>
        <v>2.4852000000000003</v>
      </c>
      <c r="AG26" s="319"/>
      <c r="AH26" s="319">
        <f>14.648*2</f>
        <v>29.295999999999999</v>
      </c>
      <c r="AI26" s="319">
        <f>14.648*8</f>
        <v>117.184</v>
      </c>
      <c r="AJ26" s="319">
        <f>17.719*1.4</f>
        <v>24.8066</v>
      </c>
      <c r="AK26" s="319"/>
      <c r="AL26" s="319">
        <v>5.3999999999999999E-2</v>
      </c>
      <c r="AM26" s="319">
        <f>11.813*3</f>
        <v>35.439</v>
      </c>
      <c r="AN26" s="319"/>
      <c r="AO26" s="319">
        <v>1.796</v>
      </c>
      <c r="AP26" s="319"/>
      <c r="AQ26" s="319">
        <v>8.9999999999999993E-3</v>
      </c>
      <c r="AR26" s="319">
        <v>0.47199999999999998</v>
      </c>
      <c r="AS26" s="319">
        <v>4.2000000000000003E-2</v>
      </c>
      <c r="AT26" s="319">
        <f>12.6*3.6</f>
        <v>45.36</v>
      </c>
      <c r="AU26" s="319">
        <f>1.575*9</f>
        <v>14.174999999999999</v>
      </c>
      <c r="AV26" s="319">
        <f>22.05*2.3</f>
        <v>50.714999999999996</v>
      </c>
      <c r="AW26" s="319">
        <v>25.2</v>
      </c>
      <c r="AX26" s="319"/>
      <c r="AY26" s="319">
        <f>2.599</f>
        <v>2.5990000000000002</v>
      </c>
      <c r="AZ26" s="319"/>
      <c r="BA26" s="319">
        <f>3.938</f>
        <v>3.9380000000000002</v>
      </c>
      <c r="BB26" s="245"/>
      <c r="BC26" s="319">
        <f>3.402/1.2*0.3</f>
        <v>0.85050000000000014</v>
      </c>
      <c r="BD26" s="319">
        <f>0.189/0.3*0.1</f>
        <v>6.3E-2</v>
      </c>
      <c r="BE26" s="319">
        <v>0.28299999999999997</v>
      </c>
      <c r="BF26" s="319">
        <f>0.472/0.6*0.7</f>
        <v>0.55066666666666664</v>
      </c>
      <c r="BG26" s="319"/>
      <c r="BH26" s="319"/>
      <c r="BI26" s="319"/>
      <c r="BJ26" s="177"/>
      <c r="BK26" s="271"/>
      <c r="BL26" s="319">
        <v>0.47199999999999998</v>
      </c>
      <c r="BM26" s="245">
        <f>4.142*0.6</f>
        <v>2.4852000000000003</v>
      </c>
      <c r="BN26" s="319">
        <f>1.575*0.6</f>
        <v>0.94499999999999995</v>
      </c>
      <c r="BO26" s="245"/>
      <c r="BP26" s="177"/>
      <c r="BQ26" s="245"/>
      <c r="BR26" s="177"/>
      <c r="BS26" s="177">
        <f>12.6*4</f>
        <v>50.4</v>
      </c>
      <c r="BT26" s="319"/>
      <c r="BU26" s="319"/>
      <c r="BV26" s="319"/>
      <c r="BW26" s="319">
        <f>11.813*3</f>
        <v>35.439</v>
      </c>
      <c r="BX26" s="319"/>
      <c r="BY26" s="319">
        <f>1.89*3.8</f>
        <v>7.1819999999999995</v>
      </c>
      <c r="BZ26" s="319"/>
      <c r="CA26" s="158">
        <f t="shared" si="12"/>
        <v>565.79076666666663</v>
      </c>
      <c r="CB26" s="94"/>
      <c r="CC26" s="319"/>
      <c r="CD26" s="319"/>
      <c r="CE26" s="319">
        <f>1.89*0.6</f>
        <v>1.1339999999999999</v>
      </c>
      <c r="CF26" s="319">
        <f>17.719*1.8</f>
        <v>31.894200000000001</v>
      </c>
      <c r="CG26" s="319">
        <f>11.813*1.3</f>
        <v>15.356900000000001</v>
      </c>
      <c r="CH26" s="319"/>
      <c r="CI26" s="319">
        <f>3.938*0.9</f>
        <v>3.5442</v>
      </c>
      <c r="CJ26" s="319"/>
      <c r="CK26" s="245"/>
      <c r="CL26" s="319">
        <f>1.243/0.3*0.2</f>
        <v>0.82866666666666677</v>
      </c>
      <c r="CM26" s="319">
        <f>11.813*5</f>
        <v>59.065000000000005</v>
      </c>
      <c r="CN26" s="319"/>
      <c r="CO26" s="319">
        <f>1.89*6</f>
        <v>11.34</v>
      </c>
      <c r="CP26" s="319">
        <f>4.971/1.2*0.6</f>
        <v>2.4855</v>
      </c>
      <c r="CQ26" s="319"/>
      <c r="CR26" s="319">
        <f>0.472</f>
        <v>0.47199999999999998</v>
      </c>
      <c r="CS26" s="319">
        <f>10.71*5</f>
        <v>53.550000000000004</v>
      </c>
      <c r="CT26" s="245"/>
      <c r="CU26" s="319">
        <f>3.938*1.5</f>
        <v>5.907</v>
      </c>
      <c r="CV26" s="319"/>
      <c r="CW26" s="319">
        <f>2.599</f>
        <v>2.5990000000000002</v>
      </c>
      <c r="CX26" s="319"/>
      <c r="CY26" s="245"/>
      <c r="CZ26" s="245"/>
      <c r="DA26" s="319"/>
      <c r="DB26" s="319">
        <f>94.594</f>
        <v>94.593999999999994</v>
      </c>
      <c r="DC26" s="319"/>
      <c r="DD26" s="319">
        <f>12.285*7</f>
        <v>85.995000000000005</v>
      </c>
      <c r="DE26" s="319">
        <f>12.285*3</f>
        <v>36.855000000000004</v>
      </c>
      <c r="DF26" s="319"/>
      <c r="DG26" s="245"/>
      <c r="DH26" s="319"/>
      <c r="DI26" s="319"/>
      <c r="DJ26" s="245"/>
      <c r="DK26" s="319">
        <f>1.89*5</f>
        <v>9.4499999999999993</v>
      </c>
      <c r="DL26" s="319">
        <v>1.575</v>
      </c>
      <c r="DM26" s="319">
        <f>1.89*7</f>
        <v>13.229999999999999</v>
      </c>
      <c r="DN26" s="319"/>
      <c r="DO26" s="319">
        <f>0.787*1.2</f>
        <v>0.94440000000000002</v>
      </c>
      <c r="DP26" s="319"/>
      <c r="DQ26" s="319">
        <f>17.719*1.7</f>
        <v>30.122300000000003</v>
      </c>
      <c r="DR26" s="319">
        <f>4.142*0.3</f>
        <v>1.2426000000000001</v>
      </c>
      <c r="DS26" s="319"/>
      <c r="DT26" s="319">
        <f>12.285*5</f>
        <v>61.424999999999997</v>
      </c>
      <c r="DU26" s="419">
        <f t="shared" si="13"/>
        <v>523.60976666666659</v>
      </c>
      <c r="DV26" s="57"/>
      <c r="DW26" s="319"/>
      <c r="DX26" s="319"/>
      <c r="DY26" s="319"/>
      <c r="DZ26" s="319"/>
      <c r="EA26" s="319"/>
      <c r="EB26" s="319"/>
      <c r="EC26" s="319"/>
      <c r="ED26" s="319"/>
      <c r="EE26" s="319">
        <f>1.575*1.8</f>
        <v>2.835</v>
      </c>
      <c r="EF26" s="319"/>
      <c r="EG26" s="319"/>
      <c r="EH26" s="319"/>
      <c r="EI26" s="319"/>
      <c r="EJ26" s="319"/>
      <c r="EK26" s="319"/>
      <c r="EL26" s="319"/>
      <c r="EM26" s="319"/>
      <c r="EN26" s="319"/>
      <c r="EO26" s="319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19"/>
      <c r="FD26" s="319"/>
      <c r="FE26" s="319"/>
      <c r="FF26" s="319"/>
      <c r="FG26" s="319"/>
      <c r="FH26" s="319"/>
      <c r="FI26" s="319"/>
      <c r="FJ26" s="319"/>
      <c r="FK26" s="319"/>
      <c r="FL26" s="319"/>
      <c r="FM26" s="319"/>
      <c r="FN26" s="319"/>
      <c r="FO26" s="319"/>
      <c r="FP26" s="319"/>
      <c r="FQ26" s="319"/>
      <c r="FR26" s="319"/>
      <c r="FS26" s="319"/>
      <c r="FT26" s="319"/>
      <c r="FU26" s="319"/>
      <c r="FV26" s="319"/>
      <c r="FW26" s="319"/>
      <c r="FX26" s="319"/>
      <c r="FY26" s="319"/>
      <c r="FZ26" s="319"/>
      <c r="GA26" s="158">
        <f t="shared" si="14"/>
        <v>2.835</v>
      </c>
      <c r="GB26" s="95"/>
      <c r="GC26" s="374"/>
      <c r="GD26" s="319"/>
      <c r="GE26" s="319"/>
      <c r="GF26" s="319">
        <f>31.531*3</f>
        <v>94.592999999999989</v>
      </c>
      <c r="GG26" s="319">
        <f>4.142*1.2</f>
        <v>4.9704000000000006</v>
      </c>
      <c r="GH26" s="319">
        <f>11.813*3</f>
        <v>35.439</v>
      </c>
      <c r="GI26" s="271"/>
      <c r="GJ26" s="271"/>
      <c r="GK26" s="271"/>
      <c r="GL26" s="271"/>
      <c r="GM26" s="272"/>
      <c r="GN26" s="435"/>
      <c r="GO26" s="327">
        <f t="shared" si="15"/>
        <v>135.00239999999999</v>
      </c>
      <c r="GP26" s="1294">
        <f t="shared" si="16"/>
        <v>70.587600000000009</v>
      </c>
      <c r="GQ26" s="605">
        <f t="shared" si="17"/>
        <v>205.59</v>
      </c>
      <c r="GR26" s="627">
        <f t="shared" si="18"/>
        <v>532.47</v>
      </c>
      <c r="GS26" s="239">
        <f t="shared" si="19"/>
        <v>523.61</v>
      </c>
      <c r="GT26" s="36" t="str">
        <f t="shared" si="20"/>
        <v>сульфат марганца</v>
      </c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</row>
    <row r="27" spans="1:215" ht="15" customHeight="1" x14ac:dyDescent="0.3">
      <c r="A27" s="1129">
        <f t="shared" si="21"/>
        <v>18</v>
      </c>
      <c r="B27" s="688" t="s">
        <v>7</v>
      </c>
      <c r="C27" s="565">
        <f>'1_квартал'!G27</f>
        <v>15.295999999999999</v>
      </c>
      <c r="D27" s="346">
        <v>15.108000000000001</v>
      </c>
      <c r="E27" s="1300">
        <v>8.01</v>
      </c>
      <c r="F27" s="572"/>
      <c r="G27" s="878">
        <f t="shared" si="9"/>
        <v>11.558999999999999</v>
      </c>
      <c r="H27" s="93">
        <v>1.875</v>
      </c>
      <c r="I27" s="93">
        <v>1.595</v>
      </c>
      <c r="J27" s="94"/>
      <c r="K27" s="245">
        <f>0.219*3</f>
        <v>0.65700000000000003</v>
      </c>
      <c r="L27" s="245">
        <v>4.0000000000000001E-3</v>
      </c>
      <c r="M27" s="319"/>
      <c r="N27" s="319"/>
      <c r="O27" s="319">
        <f>0.044*2.7</f>
        <v>0.1188</v>
      </c>
      <c r="P27" s="319">
        <f>0.219*2.4</f>
        <v>0.52559999999999996</v>
      </c>
      <c r="Q27" s="319">
        <f>0.053*0.6</f>
        <v>3.1799999999999995E-2</v>
      </c>
      <c r="R27" s="319"/>
      <c r="S27" s="319">
        <f>0.044*7.5</f>
        <v>0.32999999999999996</v>
      </c>
      <c r="T27" s="319">
        <f>0.053*3.5</f>
        <v>0.1855</v>
      </c>
      <c r="U27" s="319">
        <f>0.139*0.6</f>
        <v>8.3400000000000002E-2</v>
      </c>
      <c r="V27" s="319">
        <f>0.219*1.6</f>
        <v>0.35040000000000004</v>
      </c>
      <c r="W27" s="319">
        <f>0.044*0.6</f>
        <v>2.6399999999999996E-2</v>
      </c>
      <c r="X27" s="319">
        <f>0.053*3</f>
        <v>0.159</v>
      </c>
      <c r="Y27" s="319">
        <f>0.139</f>
        <v>0.13900000000000001</v>
      </c>
      <c r="Z27" s="319">
        <v>2.5999999999999999E-2</v>
      </c>
      <c r="AA27" s="319">
        <f>0.14*0.9</f>
        <v>0.12600000000000003</v>
      </c>
      <c r="AB27" s="319">
        <f>0.044*3</f>
        <v>0.13200000000000001</v>
      </c>
      <c r="AC27" s="245">
        <f>0.219*2</f>
        <v>0.438</v>
      </c>
      <c r="AD27" s="319">
        <f>0.175*5</f>
        <v>0.875</v>
      </c>
      <c r="AE27" s="319">
        <f>0.139*1.3</f>
        <v>0.18070000000000003</v>
      </c>
      <c r="AF27" s="245">
        <f>0.139*0.6</f>
        <v>8.3400000000000002E-2</v>
      </c>
      <c r="AG27" s="319">
        <v>4.7E-2</v>
      </c>
      <c r="AH27" s="319">
        <f>0.175*2</f>
        <v>0.35</v>
      </c>
      <c r="AI27" s="319">
        <f>0.175*8</f>
        <v>1.4</v>
      </c>
      <c r="AJ27" s="319">
        <f>0.219*1.4</f>
        <v>0.30659999999999998</v>
      </c>
      <c r="AK27" s="319"/>
      <c r="AL27" s="319">
        <v>3.0000000000000001E-3</v>
      </c>
      <c r="AM27" s="319">
        <f>0.219*3</f>
        <v>0.65700000000000003</v>
      </c>
      <c r="AN27" s="319">
        <v>0.35099999999999998</v>
      </c>
      <c r="AO27" s="319">
        <v>5.2999999999999999E-2</v>
      </c>
      <c r="AP27" s="319"/>
      <c r="AQ27" s="319">
        <v>1.4999999999999999E-2</v>
      </c>
      <c r="AR27" s="319"/>
      <c r="AS27" s="319">
        <v>0.01</v>
      </c>
      <c r="AT27" s="319">
        <f>0.018*3.6</f>
        <v>6.4799999999999996E-2</v>
      </c>
      <c r="AU27" s="319">
        <f>0.365*9</f>
        <v>3.2850000000000001</v>
      </c>
      <c r="AV27" s="319">
        <f>0.205*2.3</f>
        <v>0.47149999999999992</v>
      </c>
      <c r="AW27" s="319">
        <v>3.5000000000000003E-2</v>
      </c>
      <c r="AX27" s="319">
        <f>0.219*5</f>
        <v>1.095</v>
      </c>
      <c r="AY27" s="319">
        <f>0.076</f>
        <v>7.5999999999999998E-2</v>
      </c>
      <c r="AZ27" s="319">
        <v>0.13100000000000001</v>
      </c>
      <c r="BA27" s="319">
        <f>0.14</f>
        <v>0.14000000000000001</v>
      </c>
      <c r="BB27" s="245">
        <f>0.139*1.5</f>
        <v>0.20850000000000002</v>
      </c>
      <c r="BC27" s="319">
        <f>0.189/1.2*0.3</f>
        <v>4.725E-2</v>
      </c>
      <c r="BD27" s="319">
        <f>0.004/0.3*0.1</f>
        <v>1.3333333333333335E-3</v>
      </c>
      <c r="BE27" s="319">
        <v>1.6E-2</v>
      </c>
      <c r="BF27" s="319"/>
      <c r="BG27" s="319"/>
      <c r="BH27" s="319"/>
      <c r="BI27" s="319">
        <v>0.13900000000000001</v>
      </c>
      <c r="BJ27" s="177">
        <f>0.195/8*1.8</f>
        <v>4.3875000000000004E-2</v>
      </c>
      <c r="BK27" s="271">
        <f>0.195/8*1.5</f>
        <v>3.6562499999999998E-2</v>
      </c>
      <c r="BL27" s="319"/>
      <c r="BM27" s="245">
        <f>0.139*0.6</f>
        <v>8.3400000000000002E-2</v>
      </c>
      <c r="BN27" s="319">
        <f>0.365*0.6</f>
        <v>0.219</v>
      </c>
      <c r="BO27" s="245"/>
      <c r="BP27" s="177">
        <f>0.195/8*4.7</f>
        <v>0.11456250000000001</v>
      </c>
      <c r="BQ27" s="245"/>
      <c r="BR27" s="177">
        <f>0.026/0.9*0.8</f>
        <v>2.311111111111111E-2</v>
      </c>
      <c r="BS27" s="177">
        <f>0.018*4</f>
        <v>7.1999999999999995E-2</v>
      </c>
      <c r="BT27" s="319"/>
      <c r="BU27" s="319"/>
      <c r="BV27" s="319">
        <v>0.21</v>
      </c>
      <c r="BW27" s="319">
        <f>0.219*3</f>
        <v>0.65700000000000003</v>
      </c>
      <c r="BX27" s="319">
        <v>6.3E-2</v>
      </c>
      <c r="BY27" s="319">
        <f>0.044*3.8</f>
        <v>0.16719999999999999</v>
      </c>
      <c r="BZ27" s="319">
        <f>0.139*0.5</f>
        <v>6.9500000000000006E-2</v>
      </c>
      <c r="CA27" s="158">
        <f t="shared" si="12"/>
        <v>15.134194444444445</v>
      </c>
      <c r="CB27" s="94"/>
      <c r="CC27" s="319">
        <f>0.219*2.4</f>
        <v>0.52559999999999996</v>
      </c>
      <c r="CD27" s="319"/>
      <c r="CE27" s="319">
        <f>0.044*0.6</f>
        <v>2.6399999999999996E-2</v>
      </c>
      <c r="CF27" s="319">
        <f>0.219*1.8</f>
        <v>0.39419999999999999</v>
      </c>
      <c r="CG27" s="319">
        <f>0.219*1.3</f>
        <v>0.28470000000000001</v>
      </c>
      <c r="CH27" s="319">
        <v>0.13900000000000001</v>
      </c>
      <c r="CI27" s="319">
        <f>0.14*0.9</f>
        <v>0.12600000000000003</v>
      </c>
      <c r="CJ27" s="319">
        <f>0.139*1.3</f>
        <v>0.18070000000000003</v>
      </c>
      <c r="CK27" s="245">
        <f>0.219*5</f>
        <v>1.095</v>
      </c>
      <c r="CL27" s="319">
        <f>0.042/0.3*0.2</f>
        <v>2.8000000000000004E-2</v>
      </c>
      <c r="CM27" s="319">
        <f>0.219*5</f>
        <v>1.095</v>
      </c>
      <c r="CN27" s="319">
        <v>8.7999999999999995E-2</v>
      </c>
      <c r="CO27" s="319">
        <f>0.044*6</f>
        <v>0.26400000000000001</v>
      </c>
      <c r="CP27" s="319">
        <f>0.167/1.2*0.6</f>
        <v>8.3500000000000005E-2</v>
      </c>
      <c r="CQ27" s="319">
        <f>0.139*2</f>
        <v>0.27800000000000002</v>
      </c>
      <c r="CR27" s="319"/>
      <c r="CS27" s="319"/>
      <c r="CT27" s="245"/>
      <c r="CU27" s="319">
        <f>0.14*1.5</f>
        <v>0.21000000000000002</v>
      </c>
      <c r="CV27" s="319">
        <f>0.219*4</f>
        <v>0.876</v>
      </c>
      <c r="CW27" s="319">
        <f>0.076</f>
        <v>7.5999999999999998E-2</v>
      </c>
      <c r="CX27" s="319"/>
      <c r="CY27" s="245">
        <f>0.208/1.5*0.5</f>
        <v>6.933333333333333E-2</v>
      </c>
      <c r="CZ27" s="245">
        <f>0.139*1.5</f>
        <v>0.20850000000000002</v>
      </c>
      <c r="DA27" s="319">
        <v>0.153</v>
      </c>
      <c r="DB27" s="319">
        <f>0.789</f>
        <v>0.78900000000000003</v>
      </c>
      <c r="DC27" s="319">
        <f>0.131/3*3.5</f>
        <v>0.15283333333333332</v>
      </c>
      <c r="DD27" s="319"/>
      <c r="DE27" s="319"/>
      <c r="DF27" s="319">
        <f>0.175*1.5</f>
        <v>0.26249999999999996</v>
      </c>
      <c r="DG27" s="245"/>
      <c r="DH27" s="319">
        <v>0.105</v>
      </c>
      <c r="DI27" s="319"/>
      <c r="DJ27" s="245"/>
      <c r="DK27" s="319">
        <f>0.044*5</f>
        <v>0.21999999999999997</v>
      </c>
      <c r="DL27" s="319"/>
      <c r="DM27" s="319">
        <f>0.044*7</f>
        <v>0.308</v>
      </c>
      <c r="DN27" s="319"/>
      <c r="DO27" s="319"/>
      <c r="DP27" s="319"/>
      <c r="DQ27" s="319"/>
      <c r="DR27" s="319"/>
      <c r="DS27" s="319"/>
      <c r="DT27" s="319"/>
      <c r="DU27" s="419">
        <f t="shared" si="13"/>
        <v>8.0382666666666669</v>
      </c>
      <c r="DV27" s="57"/>
      <c r="DW27" s="319"/>
      <c r="DX27" s="319"/>
      <c r="DY27" s="319"/>
      <c r="DZ27" s="319"/>
      <c r="EA27" s="319"/>
      <c r="EB27" s="319"/>
      <c r="EC27" s="319">
        <f>0.139*2</f>
        <v>0.27800000000000002</v>
      </c>
      <c r="ED27" s="319"/>
      <c r="EE27" s="319"/>
      <c r="EF27" s="319"/>
      <c r="EG27" s="319"/>
      <c r="EH27" s="319"/>
      <c r="EI27" s="319"/>
      <c r="EJ27" s="319"/>
      <c r="EK27" s="319"/>
      <c r="EL27" s="319"/>
      <c r="EM27" s="319"/>
      <c r="EN27" s="319"/>
      <c r="EO27" s="319"/>
      <c r="EP27" s="319"/>
      <c r="EQ27" s="319"/>
      <c r="ER27" s="319"/>
      <c r="ES27" s="319"/>
      <c r="ET27" s="319"/>
      <c r="EU27" s="319"/>
      <c r="EV27" s="319"/>
      <c r="EW27" s="319"/>
      <c r="EX27" s="319"/>
      <c r="EY27" s="319"/>
      <c r="EZ27" s="319"/>
      <c r="FA27" s="319"/>
      <c r="FB27" s="319"/>
      <c r="FC27" s="319"/>
      <c r="FD27" s="319"/>
      <c r="FE27" s="319"/>
      <c r="FF27" s="319"/>
      <c r="FG27" s="319"/>
      <c r="FH27" s="319"/>
      <c r="FI27" s="319"/>
      <c r="FJ27" s="319"/>
      <c r="FK27" s="319"/>
      <c r="FL27" s="319"/>
      <c r="FM27" s="319"/>
      <c r="FN27" s="319"/>
      <c r="FO27" s="319"/>
      <c r="FP27" s="319"/>
      <c r="FQ27" s="319"/>
      <c r="FR27" s="319"/>
      <c r="FS27" s="319"/>
      <c r="FT27" s="319"/>
      <c r="FU27" s="319"/>
      <c r="FV27" s="319"/>
      <c r="FW27" s="319"/>
      <c r="FX27" s="319"/>
      <c r="FY27" s="319"/>
      <c r="FZ27" s="319"/>
      <c r="GA27" s="158">
        <f t="shared" si="14"/>
        <v>0.27800000000000002</v>
      </c>
      <c r="GB27" s="95"/>
      <c r="GC27" s="374"/>
      <c r="GD27" s="319"/>
      <c r="GE27" s="319"/>
      <c r="GF27" s="319">
        <f>0.263*3</f>
        <v>0.78900000000000003</v>
      </c>
      <c r="GG27" s="319">
        <f>0.139*1.2</f>
        <v>0.1668</v>
      </c>
      <c r="GH27" s="319">
        <f>0.219*3</f>
        <v>0.65700000000000003</v>
      </c>
      <c r="GI27" s="271"/>
      <c r="GJ27" s="271"/>
      <c r="GK27" s="271"/>
      <c r="GL27" s="271"/>
      <c r="GM27" s="272"/>
      <c r="GN27" s="435"/>
      <c r="GO27" s="327">
        <f t="shared" si="15"/>
        <v>1.6128</v>
      </c>
      <c r="GP27" s="1294">
        <f t="shared" si="16"/>
        <v>-1.7800000000000038E-2</v>
      </c>
      <c r="GQ27" s="605">
        <f t="shared" si="17"/>
        <v>1.595</v>
      </c>
      <c r="GR27" s="627">
        <f t="shared" si="18"/>
        <v>15.295999999999999</v>
      </c>
      <c r="GS27" s="239">
        <f t="shared" si="19"/>
        <v>8.01</v>
      </c>
      <c r="GT27" s="36" t="str">
        <f t="shared" si="20"/>
        <v>калий йод</v>
      </c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</row>
    <row r="28" spans="1:215" ht="15" customHeight="1" x14ac:dyDescent="0.3">
      <c r="A28" s="1129">
        <f t="shared" si="21"/>
        <v>19</v>
      </c>
      <c r="B28" s="688" t="s">
        <v>117</v>
      </c>
      <c r="C28" s="565">
        <f>'1_квартал'!G28</f>
        <v>0</v>
      </c>
      <c r="D28" s="346">
        <v>0</v>
      </c>
      <c r="E28" s="1300">
        <v>3.4</v>
      </c>
      <c r="F28" s="572"/>
      <c r="G28" s="878">
        <f t="shared" si="9"/>
        <v>1.7</v>
      </c>
      <c r="H28" s="93">
        <v>46.6</v>
      </c>
      <c r="I28" s="93">
        <v>43.62</v>
      </c>
      <c r="J28" s="94"/>
      <c r="K28" s="245"/>
      <c r="L28" s="245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245"/>
      <c r="AD28" s="319"/>
      <c r="AE28" s="319"/>
      <c r="AF28" s="245"/>
      <c r="AG28" s="319"/>
      <c r="AH28" s="319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245"/>
      <c r="BC28" s="319"/>
      <c r="BD28" s="319"/>
      <c r="BE28" s="319"/>
      <c r="BF28" s="319"/>
      <c r="BG28" s="319"/>
      <c r="BH28" s="319"/>
      <c r="BI28" s="319"/>
      <c r="BJ28" s="177"/>
      <c r="BK28" s="271"/>
      <c r="BL28" s="319"/>
      <c r="BM28" s="245"/>
      <c r="BN28" s="319"/>
      <c r="BO28" s="245"/>
      <c r="BP28" s="177"/>
      <c r="BQ28" s="245"/>
      <c r="BR28" s="177"/>
      <c r="BS28" s="177"/>
      <c r="BT28" s="319"/>
      <c r="BU28" s="319"/>
      <c r="BV28" s="319"/>
      <c r="BW28" s="319"/>
      <c r="BX28" s="319"/>
      <c r="BY28" s="319"/>
      <c r="BZ28" s="319"/>
      <c r="CA28" s="158">
        <f t="shared" si="12"/>
        <v>0</v>
      </c>
      <c r="CB28" s="94"/>
      <c r="CC28" s="319"/>
      <c r="CD28" s="319"/>
      <c r="CE28" s="319"/>
      <c r="CF28" s="319"/>
      <c r="CG28" s="319"/>
      <c r="CH28" s="319"/>
      <c r="CI28" s="319"/>
      <c r="CJ28" s="319"/>
      <c r="CK28" s="245"/>
      <c r="CL28" s="319"/>
      <c r="CM28" s="319"/>
      <c r="CN28" s="319"/>
      <c r="CO28" s="319"/>
      <c r="CP28" s="319"/>
      <c r="CQ28" s="319"/>
      <c r="CR28" s="319"/>
      <c r="CS28" s="319"/>
      <c r="CT28" s="245"/>
      <c r="CU28" s="319"/>
      <c r="CV28" s="319"/>
      <c r="CW28" s="319"/>
      <c r="CX28" s="319"/>
      <c r="CY28" s="245"/>
      <c r="CZ28" s="245"/>
      <c r="DA28" s="319"/>
      <c r="DB28" s="319"/>
      <c r="DC28" s="319"/>
      <c r="DD28" s="319">
        <f>0.163*7</f>
        <v>1.141</v>
      </c>
      <c r="DE28" s="319">
        <f>0.163*3</f>
        <v>0.48899999999999999</v>
      </c>
      <c r="DF28" s="319"/>
      <c r="DG28" s="245"/>
      <c r="DH28" s="319"/>
      <c r="DI28" s="319"/>
      <c r="DJ28" s="245"/>
      <c r="DK28" s="319"/>
      <c r="DL28" s="319">
        <v>0.40600000000000003</v>
      </c>
      <c r="DM28" s="319"/>
      <c r="DN28" s="319"/>
      <c r="DO28" s="319"/>
      <c r="DP28" s="319">
        <f>0.059*1.5</f>
        <v>8.8499999999999995E-2</v>
      </c>
      <c r="DQ28" s="319">
        <f>0.244*1.7</f>
        <v>0.4148</v>
      </c>
      <c r="DR28" s="319">
        <f>0.154*0.3</f>
        <v>4.6199999999999998E-2</v>
      </c>
      <c r="DS28" s="319"/>
      <c r="DT28" s="319">
        <f>0.163*5</f>
        <v>0.81500000000000006</v>
      </c>
      <c r="DU28" s="419">
        <f t="shared" si="13"/>
        <v>3.4004999999999996</v>
      </c>
      <c r="DV28" s="57"/>
      <c r="DW28" s="319">
        <f>0.244*2.4</f>
        <v>0.58560000000000001</v>
      </c>
      <c r="DX28" s="319">
        <f>0.154*1.3</f>
        <v>0.20020000000000002</v>
      </c>
      <c r="DY28" s="319">
        <f>0.059*1.5</f>
        <v>8.8499999999999995E-2</v>
      </c>
      <c r="DZ28" s="319">
        <v>0.154</v>
      </c>
      <c r="EA28" s="319">
        <f>0.244*5</f>
        <v>1.22</v>
      </c>
      <c r="EB28" s="319"/>
      <c r="EC28" s="319"/>
      <c r="ED28" s="319"/>
      <c r="EE28" s="319">
        <f>0.406*1.8</f>
        <v>0.73080000000000012</v>
      </c>
      <c r="EF28" s="319"/>
      <c r="EG28" s="319"/>
      <c r="EH28" s="319"/>
      <c r="EI28" s="319"/>
      <c r="EJ28" s="319"/>
      <c r="EK28" s="319"/>
      <c r="EL28" s="319"/>
      <c r="EM28" s="319"/>
      <c r="EN28" s="319"/>
      <c r="EO28" s="319"/>
      <c r="EP28" s="319"/>
      <c r="EQ28" s="319"/>
      <c r="ER28" s="319"/>
      <c r="ES28" s="319"/>
      <c r="ET28" s="319"/>
      <c r="EU28" s="319"/>
      <c r="EV28" s="319"/>
      <c r="EW28" s="319"/>
      <c r="EX28" s="319"/>
      <c r="EY28" s="319"/>
      <c r="EZ28" s="319"/>
      <c r="FA28" s="319"/>
      <c r="FB28" s="319"/>
      <c r="FC28" s="319"/>
      <c r="FD28" s="319"/>
      <c r="FE28" s="319"/>
      <c r="FF28" s="319"/>
      <c r="FG28" s="319"/>
      <c r="FH28" s="319"/>
      <c r="FI28" s="319"/>
      <c r="FJ28" s="319"/>
      <c r="FK28" s="319"/>
      <c r="FL28" s="319"/>
      <c r="FM28" s="319"/>
      <c r="FN28" s="319"/>
      <c r="FO28" s="319"/>
      <c r="FP28" s="319"/>
      <c r="FQ28" s="319"/>
      <c r="FR28" s="319"/>
      <c r="FS28" s="319"/>
      <c r="FT28" s="319"/>
      <c r="FU28" s="319"/>
      <c r="FV28" s="319"/>
      <c r="FW28" s="319"/>
      <c r="FX28" s="319"/>
      <c r="FY28" s="319"/>
      <c r="FZ28" s="319"/>
      <c r="GA28" s="158">
        <f t="shared" si="14"/>
        <v>2.9790999999999999</v>
      </c>
      <c r="GB28" s="95"/>
      <c r="GC28" s="374"/>
      <c r="GD28" s="319">
        <f>0.059*0.9</f>
        <v>5.3100000000000001E-2</v>
      </c>
      <c r="GE28" s="319">
        <f>0.049*0.9</f>
        <v>4.41E-2</v>
      </c>
      <c r="GF28" s="319"/>
      <c r="GG28" s="319"/>
      <c r="GH28" s="319"/>
      <c r="GI28" s="271"/>
      <c r="GJ28" s="271"/>
      <c r="GK28" s="271"/>
      <c r="GL28" s="271"/>
      <c r="GM28" s="272"/>
      <c r="GN28" s="435"/>
      <c r="GO28" s="327">
        <f t="shared" si="15"/>
        <v>9.7200000000000009E-2</v>
      </c>
      <c r="GP28" s="445">
        <f t="shared" si="16"/>
        <v>43.522799999999997</v>
      </c>
      <c r="GQ28" s="605">
        <f t="shared" si="17"/>
        <v>43.62</v>
      </c>
      <c r="GR28" s="627">
        <f t="shared" si="18"/>
        <v>0</v>
      </c>
      <c r="GS28" s="239">
        <f t="shared" si="19"/>
        <v>3.4</v>
      </c>
      <c r="GT28" s="36" t="str">
        <f t="shared" si="20"/>
        <v>йодат кальция</v>
      </c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</row>
    <row r="29" spans="1:215" ht="15" customHeight="1" x14ac:dyDescent="0.3">
      <c r="A29" s="1129">
        <f t="shared" si="21"/>
        <v>20</v>
      </c>
      <c r="B29" s="688" t="s">
        <v>8</v>
      </c>
      <c r="C29" s="565">
        <f>'1_квартал'!G29</f>
        <v>9.9429999999999996</v>
      </c>
      <c r="D29" s="346">
        <v>12.69</v>
      </c>
      <c r="E29" s="1300">
        <v>6.4</v>
      </c>
      <c r="F29" s="572"/>
      <c r="G29" s="878">
        <f t="shared" si="9"/>
        <v>9.5449999999999999</v>
      </c>
      <c r="H29" s="93">
        <f>15.47+25</f>
        <v>40.47</v>
      </c>
      <c r="I29" s="93">
        <f>13.37+25</f>
        <v>38.369999999999997</v>
      </c>
      <c r="J29" s="94"/>
      <c r="K29" s="245">
        <f>0.129*3</f>
        <v>0.38700000000000001</v>
      </c>
      <c r="L29" s="245">
        <v>3.9E-2</v>
      </c>
      <c r="M29" s="319"/>
      <c r="N29" s="319"/>
      <c r="O29" s="319">
        <f>0.026*2.7</f>
        <v>7.0199999999999999E-2</v>
      </c>
      <c r="P29" s="319">
        <f>0.129*2.4</f>
        <v>0.30959999999999999</v>
      </c>
      <c r="Q29" s="319">
        <f>0.03*0.6</f>
        <v>1.7999999999999999E-2</v>
      </c>
      <c r="R29" s="319"/>
      <c r="S29" s="319">
        <f>0.026*7.5</f>
        <v>0.19499999999999998</v>
      </c>
      <c r="T29" s="319">
        <f>0.03*3.5</f>
        <v>0.105</v>
      </c>
      <c r="U29" s="319">
        <f>0.075*0.6</f>
        <v>4.4999999999999998E-2</v>
      </c>
      <c r="V29" s="319">
        <f>0.129*1.6</f>
        <v>0.20640000000000003</v>
      </c>
      <c r="W29" s="319">
        <f>0.026*0.6</f>
        <v>1.5599999999999999E-2</v>
      </c>
      <c r="X29" s="319">
        <f>0.03*3</f>
        <v>0.09</v>
      </c>
      <c r="Y29" s="319">
        <f>0.075</f>
        <v>7.4999999999999997E-2</v>
      </c>
      <c r="Z29" s="319">
        <v>1.4999999999999999E-2</v>
      </c>
      <c r="AA29" s="319">
        <f>0.064*0.9</f>
        <v>5.7600000000000005E-2</v>
      </c>
      <c r="AB29" s="319">
        <f>0.026*3</f>
        <v>7.8E-2</v>
      </c>
      <c r="AC29" s="245">
        <f>0.129*2</f>
        <v>0.25800000000000001</v>
      </c>
      <c r="AD29" s="319">
        <f>0.086*5</f>
        <v>0.42999999999999994</v>
      </c>
      <c r="AE29" s="319">
        <f>0.075*1.3</f>
        <v>9.7500000000000003E-2</v>
      </c>
      <c r="AF29" s="245">
        <f>0.075*0.6</f>
        <v>4.4999999999999998E-2</v>
      </c>
      <c r="AG29" s="319">
        <v>2.7E-2</v>
      </c>
      <c r="AH29" s="319">
        <f>0.097*2</f>
        <v>0.19400000000000001</v>
      </c>
      <c r="AI29" s="319">
        <f>0.097*8</f>
        <v>0.77600000000000002</v>
      </c>
      <c r="AJ29" s="319">
        <f>0.129*1.4</f>
        <v>0.18059999999999998</v>
      </c>
      <c r="AK29" s="319"/>
      <c r="AL29" s="319"/>
      <c r="AM29" s="319">
        <f>0.129*3</f>
        <v>0.38700000000000001</v>
      </c>
      <c r="AN29" s="319">
        <v>0.17199999999999999</v>
      </c>
      <c r="AO29" s="319">
        <v>0.03</v>
      </c>
      <c r="AP29" s="319"/>
      <c r="AQ29" s="319">
        <v>1.7000000000000001E-2</v>
      </c>
      <c r="AR29" s="319">
        <v>6.0000000000000001E-3</v>
      </c>
      <c r="AS29" s="319">
        <v>1.0999999999999999E-2</v>
      </c>
      <c r="AT29" s="319">
        <f>0.193*3.6</f>
        <v>0.69480000000000008</v>
      </c>
      <c r="AU29" s="319">
        <f>0.429*9</f>
        <v>3.8609999999999998</v>
      </c>
      <c r="AV29" s="319">
        <f>0.15*2.3</f>
        <v>0.34499999999999997</v>
      </c>
      <c r="AW29" s="319">
        <v>0.38600000000000001</v>
      </c>
      <c r="AX29" s="319">
        <f>0.129*5</f>
        <v>0.64500000000000002</v>
      </c>
      <c r="AY29" s="319">
        <f>0.047</f>
        <v>4.7E-2</v>
      </c>
      <c r="AZ29" s="319">
        <v>7.6999999999999999E-2</v>
      </c>
      <c r="BA29" s="319">
        <f>0.064</f>
        <v>6.4000000000000001E-2</v>
      </c>
      <c r="BB29" s="245">
        <f>0.075*1.5</f>
        <v>0.11249999999999999</v>
      </c>
      <c r="BC29" s="319">
        <f>0.093/1.2*0.3</f>
        <v>2.325E-2</v>
      </c>
      <c r="BD29" s="319">
        <f>0.023/0.3*0.1</f>
        <v>7.666666666666668E-3</v>
      </c>
      <c r="BE29" s="319">
        <v>8.0000000000000002E-3</v>
      </c>
      <c r="BF29" s="319">
        <f>0.006/0.6*0.7</f>
        <v>6.9999999999999993E-3</v>
      </c>
      <c r="BG29" s="319"/>
      <c r="BH29" s="319"/>
      <c r="BI29" s="319">
        <v>7.4999999999999997E-2</v>
      </c>
      <c r="BJ29" s="177">
        <f>0.228/8*1.8</f>
        <v>5.1300000000000005E-2</v>
      </c>
      <c r="BK29" s="271">
        <f>0.228/8*1.5</f>
        <v>4.2750000000000003E-2</v>
      </c>
      <c r="BL29" s="319">
        <v>6.0000000000000001E-3</v>
      </c>
      <c r="BM29" s="245">
        <f>0.075*0.6</f>
        <v>4.4999999999999998E-2</v>
      </c>
      <c r="BN29" s="319">
        <f>0.429*0.6</f>
        <v>0.25739999999999996</v>
      </c>
      <c r="BO29" s="245"/>
      <c r="BP29" s="177">
        <f>0.228/8*4.7</f>
        <v>0.13395000000000001</v>
      </c>
      <c r="BQ29" s="245"/>
      <c r="BR29" s="177">
        <f>0.029/0.9*0.8</f>
        <v>2.5777777777777778E-2</v>
      </c>
      <c r="BS29" s="177">
        <f>0.193*4</f>
        <v>0.77200000000000002</v>
      </c>
      <c r="BT29" s="319"/>
      <c r="BU29" s="319"/>
      <c r="BV29" s="319">
        <v>5.0999999999999997E-2</v>
      </c>
      <c r="BW29" s="319">
        <f>0.129*3</f>
        <v>0.38700000000000001</v>
      </c>
      <c r="BX29" s="319">
        <v>3.5999999999999997E-2</v>
      </c>
      <c r="BY29" s="319">
        <f>0.026*3.8</f>
        <v>9.8799999999999985E-2</v>
      </c>
      <c r="BZ29" s="319">
        <f>0.075*0.5</f>
        <v>3.7499999999999999E-2</v>
      </c>
      <c r="CA29" s="158">
        <f t="shared" si="12"/>
        <v>12.635194444444446</v>
      </c>
      <c r="CB29" s="94"/>
      <c r="CC29" s="319">
        <f>0.129*2.4</f>
        <v>0.30959999999999999</v>
      </c>
      <c r="CD29" s="319"/>
      <c r="CE29" s="319">
        <f>0.026*0.6</f>
        <v>1.5599999999999999E-2</v>
      </c>
      <c r="CF29" s="319">
        <f>0.129*1.8</f>
        <v>0.23220000000000002</v>
      </c>
      <c r="CG29" s="319">
        <f>0.129*1.3</f>
        <v>0.16770000000000002</v>
      </c>
      <c r="CH29" s="319">
        <v>7.4999999999999997E-2</v>
      </c>
      <c r="CI29" s="319">
        <f>0.064*0.9</f>
        <v>5.7600000000000005E-2</v>
      </c>
      <c r="CJ29" s="319">
        <f>0.075*1.3</f>
        <v>9.7500000000000003E-2</v>
      </c>
      <c r="CK29" s="245">
        <f>0.129*5</f>
        <v>0.64500000000000002</v>
      </c>
      <c r="CL29" s="319">
        <f>0.023/0.3*0.2</f>
        <v>1.5333333333333336E-2</v>
      </c>
      <c r="CM29" s="319">
        <f>0.129*5</f>
        <v>0.64500000000000002</v>
      </c>
      <c r="CN29" s="319">
        <v>9.7000000000000003E-2</v>
      </c>
      <c r="CO29" s="319">
        <f>0.026*6</f>
        <v>0.156</v>
      </c>
      <c r="CP29" s="319">
        <f>0.09/1.2*0.6</f>
        <v>4.4999999999999998E-2</v>
      </c>
      <c r="CQ29" s="319">
        <f>0.075*2</f>
        <v>0.15</v>
      </c>
      <c r="CR29" s="319">
        <v>6.0000000000000001E-3</v>
      </c>
      <c r="CS29" s="319"/>
      <c r="CT29" s="245"/>
      <c r="CU29" s="319">
        <f>0.064*1.5</f>
        <v>9.6000000000000002E-2</v>
      </c>
      <c r="CV29" s="319">
        <f>0.129*4</f>
        <v>0.51600000000000001</v>
      </c>
      <c r="CW29" s="319">
        <f>0.047</f>
        <v>4.7E-2</v>
      </c>
      <c r="CX29" s="319"/>
      <c r="CY29" s="245">
        <f>0.113/1.5*0.5</f>
        <v>3.7666666666666668E-2</v>
      </c>
      <c r="CZ29" s="245">
        <f>0.075*1.5</f>
        <v>0.11249999999999999</v>
      </c>
      <c r="DA29" s="319">
        <v>7.4999999999999997E-2</v>
      </c>
      <c r="DB29" s="319">
        <v>0.28999999999999998</v>
      </c>
      <c r="DC29" s="319">
        <f>0.077/3*3.5</f>
        <v>8.9833333333333334E-2</v>
      </c>
      <c r="DD29" s="319">
        <f>0.08*7</f>
        <v>0.56000000000000005</v>
      </c>
      <c r="DE29" s="319">
        <f>0.08*3</f>
        <v>0.24</v>
      </c>
      <c r="DF29" s="319">
        <f>0.086*1.5</f>
        <v>0.129</v>
      </c>
      <c r="DG29" s="245"/>
      <c r="DH29" s="319">
        <v>2.5999999999999999E-2</v>
      </c>
      <c r="DI29" s="319"/>
      <c r="DJ29" s="245"/>
      <c r="DK29" s="319">
        <f>0.026*5</f>
        <v>0.13</v>
      </c>
      <c r="DL29" s="319">
        <v>0.42899999999999999</v>
      </c>
      <c r="DM29" s="319">
        <f>0.026*7</f>
        <v>0.182</v>
      </c>
      <c r="DN29" s="319"/>
      <c r="DO29" s="319">
        <f>0.011*1.2</f>
        <v>1.3199999999999998E-2</v>
      </c>
      <c r="DP29" s="319">
        <f>0.03*1.5</f>
        <v>4.4999999999999998E-2</v>
      </c>
      <c r="DQ29" s="319">
        <f>0.129*1.7</f>
        <v>0.21929999999999999</v>
      </c>
      <c r="DR29" s="319">
        <f>0.075*0.3</f>
        <v>2.2499999999999999E-2</v>
      </c>
      <c r="DS29" s="319"/>
      <c r="DT29" s="319">
        <f>0.08*5</f>
        <v>0.4</v>
      </c>
      <c r="DU29" s="419">
        <f t="shared" si="13"/>
        <v>6.3745333333333338</v>
      </c>
      <c r="DV29" s="57"/>
      <c r="DW29" s="319">
        <f>0.129*2.4</f>
        <v>0.30959999999999999</v>
      </c>
      <c r="DX29" s="319">
        <f>0.075*1.3</f>
        <v>9.7500000000000003E-2</v>
      </c>
      <c r="DY29" s="319">
        <f>0.03*1.5</f>
        <v>4.4999999999999998E-2</v>
      </c>
      <c r="DZ29" s="319">
        <v>7.4999999999999997E-2</v>
      </c>
      <c r="EA29" s="319">
        <f>0.129*5</f>
        <v>0.64500000000000002</v>
      </c>
      <c r="EB29" s="319"/>
      <c r="EC29" s="319">
        <f>0.075*2</f>
        <v>0.15</v>
      </c>
      <c r="ED29" s="319"/>
      <c r="EE29" s="319">
        <f>0.429*1.8</f>
        <v>0.7722</v>
      </c>
      <c r="EF29" s="319"/>
      <c r="EG29" s="319"/>
      <c r="EH29" s="319"/>
      <c r="EI29" s="319"/>
      <c r="EJ29" s="319"/>
      <c r="EK29" s="319"/>
      <c r="EL29" s="319"/>
      <c r="EM29" s="319"/>
      <c r="EN29" s="319"/>
      <c r="EO29" s="319"/>
      <c r="EP29" s="319"/>
      <c r="EQ29" s="319"/>
      <c r="ER29" s="319"/>
      <c r="ES29" s="319"/>
      <c r="ET29" s="319"/>
      <c r="EU29" s="319"/>
      <c r="EV29" s="319"/>
      <c r="EW29" s="319"/>
      <c r="EX29" s="319"/>
      <c r="EY29" s="319"/>
      <c r="EZ29" s="319"/>
      <c r="FA29" s="319"/>
      <c r="FB29" s="319"/>
      <c r="FC29" s="319"/>
      <c r="FD29" s="319"/>
      <c r="FE29" s="319"/>
      <c r="FF29" s="319"/>
      <c r="FG29" s="319"/>
      <c r="FH29" s="319"/>
      <c r="FI29" s="319"/>
      <c r="FJ29" s="319"/>
      <c r="FK29" s="319"/>
      <c r="FL29" s="319"/>
      <c r="FM29" s="319"/>
      <c r="FN29" s="319"/>
      <c r="FO29" s="319"/>
      <c r="FP29" s="319"/>
      <c r="FQ29" s="319"/>
      <c r="FR29" s="319"/>
      <c r="FS29" s="319"/>
      <c r="FT29" s="319"/>
      <c r="FU29" s="319"/>
      <c r="FV29" s="319"/>
      <c r="FW29" s="319"/>
      <c r="FX29" s="319"/>
      <c r="FY29" s="319"/>
      <c r="FZ29" s="319"/>
      <c r="GA29" s="158">
        <f t="shared" si="14"/>
        <v>2.0942999999999996</v>
      </c>
      <c r="GB29" s="95"/>
      <c r="GC29" s="374"/>
      <c r="GD29" s="319">
        <f>0.03*0.9</f>
        <v>2.7E-2</v>
      </c>
      <c r="GE29" s="319">
        <f>0.026*0.9</f>
        <v>2.3400000000000001E-2</v>
      </c>
      <c r="GF29" s="319">
        <f>0.097*3</f>
        <v>0.29100000000000004</v>
      </c>
      <c r="GG29" s="319">
        <f>0.075*1.2</f>
        <v>0.09</v>
      </c>
      <c r="GH29" s="319">
        <f>0.129*3</f>
        <v>0.38700000000000001</v>
      </c>
      <c r="GI29" s="271"/>
      <c r="GJ29" s="271"/>
      <c r="GK29" s="271"/>
      <c r="GL29" s="271"/>
      <c r="GM29" s="272"/>
      <c r="GN29" s="435"/>
      <c r="GO29" s="327">
        <f t="shared" si="15"/>
        <v>0.81840000000000002</v>
      </c>
      <c r="GP29" s="445">
        <f t="shared" si="16"/>
        <v>37.551600000000001</v>
      </c>
      <c r="GQ29" s="605">
        <f t="shared" si="17"/>
        <v>38.369999999999997</v>
      </c>
      <c r="GR29" s="627">
        <f t="shared" si="18"/>
        <v>9.9429999999999996</v>
      </c>
      <c r="GS29" s="239">
        <f t="shared" si="19"/>
        <v>6.4</v>
      </c>
      <c r="GT29" s="36" t="str">
        <f t="shared" si="20"/>
        <v>кобальт у/к</v>
      </c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</row>
    <row r="30" spans="1:215" ht="15" customHeight="1" x14ac:dyDescent="0.3">
      <c r="A30" s="1129">
        <f t="shared" si="21"/>
        <v>21</v>
      </c>
      <c r="B30" s="688" t="s">
        <v>10</v>
      </c>
      <c r="C30" s="565">
        <f>'1_квартал'!G30</f>
        <v>2.3279999999999998</v>
      </c>
      <c r="D30" s="346">
        <v>2.4860000000000002</v>
      </c>
      <c r="E30" s="1300">
        <v>1.825</v>
      </c>
      <c r="F30" s="572"/>
      <c r="G30" s="878">
        <f t="shared" si="9"/>
        <v>2.1560000000000001</v>
      </c>
      <c r="H30" s="93">
        <v>15.576000000000001</v>
      </c>
      <c r="I30" s="93">
        <v>15.555999999999999</v>
      </c>
      <c r="J30" s="112"/>
      <c r="K30" s="245"/>
      <c r="L30" s="245">
        <v>8.0000000000000002E-3</v>
      </c>
      <c r="M30" s="319"/>
      <c r="N30" s="319">
        <f>0.016*5</f>
        <v>0.08</v>
      </c>
      <c r="O30" s="319"/>
      <c r="P30" s="319"/>
      <c r="Q30" s="319"/>
      <c r="R30" s="319"/>
      <c r="S30" s="319"/>
      <c r="T30" s="319"/>
      <c r="U30" s="319"/>
      <c r="V30" s="319">
        <f>0.078*1.6</f>
        <v>0.12480000000000001</v>
      </c>
      <c r="W30" s="319"/>
      <c r="X30" s="319"/>
      <c r="Y30" s="319"/>
      <c r="Z30" s="319"/>
      <c r="AA30" s="319">
        <f>0.016*0.9</f>
        <v>1.4400000000000001E-2</v>
      </c>
      <c r="AB30" s="319"/>
      <c r="AC30" s="245"/>
      <c r="AD30" s="319">
        <f>0.019*5</f>
        <v>9.5000000000000001E-2</v>
      </c>
      <c r="AE30" s="319"/>
      <c r="AF30" s="245">
        <f>0.024*0.6</f>
        <v>1.44E-2</v>
      </c>
      <c r="AG30" s="319"/>
      <c r="AH30" s="319">
        <f>0.045*2</f>
        <v>0.09</v>
      </c>
      <c r="AI30" s="319">
        <f>0.045*8</f>
        <v>0.36</v>
      </c>
      <c r="AJ30" s="319">
        <f>0.118*1.4</f>
        <v>0.16519999999999999</v>
      </c>
      <c r="AK30" s="319"/>
      <c r="AL30" s="319"/>
      <c r="AM30" s="319">
        <f>0.078*3</f>
        <v>0.23399999999999999</v>
      </c>
      <c r="AN30" s="319"/>
      <c r="AO30" s="319"/>
      <c r="AP30" s="319"/>
      <c r="AQ30" s="319">
        <v>3.0000000000000001E-3</v>
      </c>
      <c r="AR30" s="319">
        <v>0.02</v>
      </c>
      <c r="AS30" s="319">
        <v>2E-3</v>
      </c>
      <c r="AT30" s="319">
        <f>0.038*3.6</f>
        <v>0.1368</v>
      </c>
      <c r="AU30" s="319">
        <f>0.009*9</f>
        <v>8.0999999999999989E-2</v>
      </c>
      <c r="AV30" s="319">
        <f>0.179*2.3</f>
        <v>0.41169999999999995</v>
      </c>
      <c r="AW30" s="319">
        <v>7.5999999999999998E-2</v>
      </c>
      <c r="AX30" s="319"/>
      <c r="AY30" s="319">
        <f>0.016</f>
        <v>1.6E-2</v>
      </c>
      <c r="AZ30" s="319"/>
      <c r="BA30" s="319">
        <f>0.016</f>
        <v>1.6E-2</v>
      </c>
      <c r="BB30" s="319"/>
      <c r="BC30" s="319">
        <f>0.02/1.2*0.3</f>
        <v>5.0000000000000001E-3</v>
      </c>
      <c r="BD30" s="319"/>
      <c r="BE30" s="319">
        <v>2E-3</v>
      </c>
      <c r="BF30" s="319">
        <f>0.02/0.6*0.7</f>
        <v>2.3333333333333331E-2</v>
      </c>
      <c r="BG30" s="319"/>
      <c r="BH30" s="319"/>
      <c r="BI30" s="319"/>
      <c r="BJ30" s="177">
        <f>0.036/8*1.8</f>
        <v>8.0999999999999996E-3</v>
      </c>
      <c r="BK30" s="271">
        <f>0.036/8*1.5</f>
        <v>6.7499999999999991E-3</v>
      </c>
      <c r="BL30" s="319">
        <v>0.02</v>
      </c>
      <c r="BM30" s="245">
        <f>0.024*0.6</f>
        <v>1.44E-2</v>
      </c>
      <c r="BN30" s="319">
        <f>0.009*0.6</f>
        <v>5.3999999999999994E-3</v>
      </c>
      <c r="BO30" s="245"/>
      <c r="BP30" s="177">
        <f>0.036/8*4.7</f>
        <v>2.1149999999999999E-2</v>
      </c>
      <c r="BQ30" s="245"/>
      <c r="BR30" s="177"/>
      <c r="BS30" s="177">
        <f>0.038*4</f>
        <v>0.152</v>
      </c>
      <c r="BT30" s="319"/>
      <c r="BU30" s="319">
        <f>0.027*0.4</f>
        <v>1.0800000000000001E-2</v>
      </c>
      <c r="BV30" s="319"/>
      <c r="BW30" s="319">
        <f>0.078*3</f>
        <v>0.23399999999999999</v>
      </c>
      <c r="BX30" s="319"/>
      <c r="BY30" s="319"/>
      <c r="BZ30" s="319"/>
      <c r="CA30" s="158">
        <f t="shared" si="12"/>
        <v>2.4512333333333336</v>
      </c>
      <c r="CB30" s="112"/>
      <c r="CC30" s="319"/>
      <c r="CD30" s="319"/>
      <c r="CE30" s="319"/>
      <c r="CF30" s="319">
        <f>0.118*1.8</f>
        <v>0.21240000000000001</v>
      </c>
      <c r="CG30" s="319">
        <f>0.078*1.3</f>
        <v>0.1014</v>
      </c>
      <c r="CH30" s="319"/>
      <c r="CI30" s="319">
        <f>0.016*0.9</f>
        <v>1.4400000000000001E-2</v>
      </c>
      <c r="CJ30" s="319"/>
      <c r="CK30" s="245"/>
      <c r="CL30" s="319">
        <f>0.007/0.3*0.2</f>
        <v>4.6666666666666671E-3</v>
      </c>
      <c r="CM30" s="319">
        <f>0.078*5</f>
        <v>0.39</v>
      </c>
      <c r="CN30" s="319"/>
      <c r="CO30" s="319"/>
      <c r="CP30" s="319">
        <f>0.028/1.2*0.6</f>
        <v>1.4E-2</v>
      </c>
      <c r="CQ30" s="319"/>
      <c r="CR30" s="319">
        <v>0.02</v>
      </c>
      <c r="CS30" s="319">
        <f>0.016*5</f>
        <v>0.08</v>
      </c>
      <c r="CT30" s="245"/>
      <c r="CU30" s="319">
        <f>0.016*1.5</f>
        <v>2.4E-2</v>
      </c>
      <c r="CV30" s="319"/>
      <c r="CW30" s="319">
        <f>0.016</f>
        <v>1.6E-2</v>
      </c>
      <c r="CX30" s="319"/>
      <c r="CY30" s="319"/>
      <c r="CZ30" s="319"/>
      <c r="DA30" s="319"/>
      <c r="DB30" s="319">
        <f>0.202</f>
        <v>0.20200000000000001</v>
      </c>
      <c r="DC30" s="319"/>
      <c r="DD30" s="319">
        <f>0.034*7</f>
        <v>0.23800000000000002</v>
      </c>
      <c r="DE30" s="319">
        <f>0.034*3</f>
        <v>0.10200000000000001</v>
      </c>
      <c r="DF30" s="319"/>
      <c r="DG30" s="245"/>
      <c r="DH30" s="319"/>
      <c r="DI30" s="319"/>
      <c r="DJ30" s="245"/>
      <c r="DK30" s="319"/>
      <c r="DL30" s="319">
        <v>8.9999999999999993E-3</v>
      </c>
      <c r="DM30" s="319"/>
      <c r="DN30" s="319"/>
      <c r="DO30" s="319">
        <f>0.034*1.2</f>
        <v>4.0800000000000003E-2</v>
      </c>
      <c r="DP30" s="319"/>
      <c r="DQ30" s="319">
        <f>0.118*1.7</f>
        <v>0.20059999999999997</v>
      </c>
      <c r="DR30" s="319">
        <f>0.024*0.3</f>
        <v>7.1999999999999998E-3</v>
      </c>
      <c r="DS30" s="319"/>
      <c r="DT30" s="319">
        <f>0.034*5</f>
        <v>0.17</v>
      </c>
      <c r="DU30" s="419">
        <f t="shared" si="13"/>
        <v>1.8464666666666667</v>
      </c>
      <c r="DV30" s="57"/>
      <c r="DW30" s="319"/>
      <c r="DX30" s="319"/>
      <c r="DY30" s="319"/>
      <c r="DZ30" s="319"/>
      <c r="EA30" s="319"/>
      <c r="EB30" s="319"/>
      <c r="EC30" s="319"/>
      <c r="ED30" s="319"/>
      <c r="EE30" s="319">
        <f>0.009*1.8</f>
        <v>1.6199999999999999E-2</v>
      </c>
      <c r="EF30" s="319"/>
      <c r="EG30" s="319"/>
      <c r="EH30" s="319"/>
      <c r="EI30" s="319"/>
      <c r="EJ30" s="319"/>
      <c r="EK30" s="319"/>
      <c r="EL30" s="319"/>
      <c r="EM30" s="319"/>
      <c r="EN30" s="319"/>
      <c r="EO30" s="319"/>
      <c r="EP30" s="319"/>
      <c r="EQ30" s="319"/>
      <c r="ER30" s="319"/>
      <c r="ES30" s="319"/>
      <c r="ET30" s="319"/>
      <c r="EU30" s="319"/>
      <c r="EV30" s="319"/>
      <c r="EW30" s="319"/>
      <c r="EX30" s="319"/>
      <c r="EY30" s="319"/>
      <c r="EZ30" s="319"/>
      <c r="FA30" s="319"/>
      <c r="FB30" s="319"/>
      <c r="FC30" s="319"/>
      <c r="FD30" s="319"/>
      <c r="FE30" s="319"/>
      <c r="FF30" s="319"/>
      <c r="FG30" s="319"/>
      <c r="FH30" s="319"/>
      <c r="FI30" s="319"/>
      <c r="FJ30" s="319"/>
      <c r="FK30" s="319"/>
      <c r="FL30" s="319"/>
      <c r="FM30" s="319"/>
      <c r="FN30" s="319"/>
      <c r="FO30" s="319"/>
      <c r="FP30" s="319"/>
      <c r="FQ30" s="319"/>
      <c r="FR30" s="319"/>
      <c r="FS30" s="319"/>
      <c r="FT30" s="319"/>
      <c r="FU30" s="319"/>
      <c r="FV30" s="319"/>
      <c r="FW30" s="319"/>
      <c r="FX30" s="319"/>
      <c r="FY30" s="319"/>
      <c r="FZ30" s="319"/>
      <c r="GA30" s="158">
        <f t="shared" si="14"/>
        <v>1.6199999999999999E-2</v>
      </c>
      <c r="GB30" s="113"/>
      <c r="GC30" s="374"/>
      <c r="GD30" s="319"/>
      <c r="GE30" s="319"/>
      <c r="GF30" s="319">
        <f>0.067*3</f>
        <v>0.20100000000000001</v>
      </c>
      <c r="GG30" s="319">
        <f>0.024*1.2</f>
        <v>2.8799999999999999E-2</v>
      </c>
      <c r="GH30" s="319">
        <f>0.078*3</f>
        <v>0.23399999999999999</v>
      </c>
      <c r="GI30" s="271"/>
      <c r="GJ30" s="271"/>
      <c r="GK30" s="271"/>
      <c r="GL30" s="271"/>
      <c r="GM30" s="272"/>
      <c r="GN30" s="435"/>
      <c r="GO30" s="327">
        <f t="shared" si="15"/>
        <v>0.46379999999999999</v>
      </c>
      <c r="GP30" s="445">
        <f t="shared" si="16"/>
        <v>15.092199999999998</v>
      </c>
      <c r="GQ30" s="605">
        <f t="shared" si="17"/>
        <v>15.555999999999999</v>
      </c>
      <c r="GR30" s="627">
        <f t="shared" si="18"/>
        <v>2.3279999999999998</v>
      </c>
      <c r="GS30" s="239">
        <f t="shared" si="19"/>
        <v>1.825</v>
      </c>
      <c r="GT30" s="36" t="str">
        <f t="shared" si="20"/>
        <v>селенит натрия</v>
      </c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</row>
    <row r="31" spans="1:215" ht="15" customHeight="1" x14ac:dyDescent="0.3">
      <c r="A31" s="1129">
        <f t="shared" si="21"/>
        <v>22</v>
      </c>
      <c r="B31" s="688" t="s">
        <v>16</v>
      </c>
      <c r="C31" s="565">
        <f>'1_квартал'!G31</f>
        <v>0</v>
      </c>
      <c r="D31" s="346">
        <v>0</v>
      </c>
      <c r="E31" s="1300">
        <v>0</v>
      </c>
      <c r="F31" s="572"/>
      <c r="G31" s="878">
        <f t="shared" si="9"/>
        <v>0</v>
      </c>
      <c r="H31" s="93">
        <v>0</v>
      </c>
      <c r="I31" s="93">
        <v>0</v>
      </c>
      <c r="J31" s="112"/>
      <c r="K31" s="245"/>
      <c r="L31" s="245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245"/>
      <c r="AD31" s="319"/>
      <c r="AE31" s="319"/>
      <c r="AF31" s="245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  <c r="AZ31" s="319"/>
      <c r="BA31" s="319"/>
      <c r="BB31" s="319"/>
      <c r="BC31" s="319"/>
      <c r="BD31" s="319"/>
      <c r="BE31" s="319"/>
      <c r="BF31" s="319"/>
      <c r="BG31" s="319"/>
      <c r="BH31" s="319"/>
      <c r="BI31" s="319"/>
      <c r="BJ31" s="177"/>
      <c r="BK31" s="271"/>
      <c r="BL31" s="319"/>
      <c r="BM31" s="245"/>
      <c r="BN31" s="319"/>
      <c r="BO31" s="245"/>
      <c r="BP31" s="177"/>
      <c r="BQ31" s="245"/>
      <c r="BR31" s="177"/>
      <c r="BS31" s="177"/>
      <c r="BT31" s="319"/>
      <c r="BU31" s="319"/>
      <c r="BV31" s="319"/>
      <c r="BW31" s="319"/>
      <c r="BX31" s="319"/>
      <c r="BY31" s="319"/>
      <c r="BZ31" s="319"/>
      <c r="CA31" s="158">
        <f t="shared" si="12"/>
        <v>0</v>
      </c>
      <c r="CB31" s="112"/>
      <c r="CC31" s="319"/>
      <c r="CD31" s="319"/>
      <c r="CE31" s="319"/>
      <c r="CF31" s="319"/>
      <c r="CG31" s="319"/>
      <c r="CH31" s="319"/>
      <c r="CI31" s="319"/>
      <c r="CJ31" s="319"/>
      <c r="CK31" s="245"/>
      <c r="CL31" s="319"/>
      <c r="CM31" s="319"/>
      <c r="CN31" s="319"/>
      <c r="CO31" s="319"/>
      <c r="CP31" s="319"/>
      <c r="CQ31" s="319"/>
      <c r="CR31" s="319"/>
      <c r="CS31" s="319"/>
      <c r="CT31" s="245"/>
      <c r="CU31" s="319"/>
      <c r="CV31" s="319"/>
      <c r="CW31" s="319"/>
      <c r="CX31" s="319"/>
      <c r="CY31" s="319"/>
      <c r="CZ31" s="319"/>
      <c r="DA31" s="319"/>
      <c r="DB31" s="319"/>
      <c r="DC31" s="319"/>
      <c r="DD31" s="319"/>
      <c r="DE31" s="319"/>
      <c r="DF31" s="319"/>
      <c r="DG31" s="245"/>
      <c r="DH31" s="319"/>
      <c r="DI31" s="319"/>
      <c r="DJ31" s="245"/>
      <c r="DK31" s="319"/>
      <c r="DL31" s="319"/>
      <c r="DM31" s="319"/>
      <c r="DN31" s="319"/>
      <c r="DO31" s="319"/>
      <c r="DP31" s="319"/>
      <c r="DQ31" s="319"/>
      <c r="DR31" s="319"/>
      <c r="DS31" s="319"/>
      <c r="DT31" s="319"/>
      <c r="DU31" s="419">
        <f t="shared" si="13"/>
        <v>0</v>
      </c>
      <c r="DV31" s="57"/>
      <c r="DW31" s="319"/>
      <c r="DX31" s="319"/>
      <c r="DY31" s="319"/>
      <c r="DZ31" s="319"/>
      <c r="EA31" s="319"/>
      <c r="EB31" s="319"/>
      <c r="EC31" s="319"/>
      <c r="ED31" s="319"/>
      <c r="EE31" s="319"/>
      <c r="EF31" s="319"/>
      <c r="EG31" s="319"/>
      <c r="EH31" s="319"/>
      <c r="EI31" s="319"/>
      <c r="EJ31" s="319"/>
      <c r="EK31" s="319"/>
      <c r="EL31" s="319"/>
      <c r="EM31" s="319"/>
      <c r="EN31" s="319"/>
      <c r="EO31" s="319"/>
      <c r="EP31" s="319"/>
      <c r="EQ31" s="319"/>
      <c r="ER31" s="319"/>
      <c r="ES31" s="319"/>
      <c r="ET31" s="319"/>
      <c r="EU31" s="319"/>
      <c r="EV31" s="319"/>
      <c r="EW31" s="319"/>
      <c r="EX31" s="319"/>
      <c r="EY31" s="319"/>
      <c r="EZ31" s="319"/>
      <c r="FA31" s="319"/>
      <c r="FB31" s="319"/>
      <c r="FC31" s="319"/>
      <c r="FD31" s="319"/>
      <c r="FE31" s="319"/>
      <c r="FF31" s="319"/>
      <c r="FG31" s="319"/>
      <c r="FH31" s="319"/>
      <c r="FI31" s="319"/>
      <c r="FJ31" s="319"/>
      <c r="FK31" s="319"/>
      <c r="FL31" s="319"/>
      <c r="FM31" s="319"/>
      <c r="FN31" s="319"/>
      <c r="FO31" s="319"/>
      <c r="FP31" s="319"/>
      <c r="FQ31" s="319"/>
      <c r="FR31" s="319"/>
      <c r="FS31" s="319"/>
      <c r="FT31" s="319"/>
      <c r="FU31" s="319"/>
      <c r="FV31" s="319"/>
      <c r="FW31" s="319"/>
      <c r="FX31" s="319"/>
      <c r="FY31" s="319"/>
      <c r="FZ31" s="319"/>
      <c r="GA31" s="158">
        <f t="shared" si="14"/>
        <v>0</v>
      </c>
      <c r="GB31" s="113"/>
      <c r="GC31" s="374"/>
      <c r="GD31" s="319"/>
      <c r="GE31" s="319"/>
      <c r="GF31" s="319"/>
      <c r="GG31" s="319"/>
      <c r="GH31" s="319"/>
      <c r="GI31" s="271"/>
      <c r="GJ31" s="271"/>
      <c r="GK31" s="271"/>
      <c r="GL31" s="271"/>
      <c r="GM31" s="272"/>
      <c r="GN31" s="435"/>
      <c r="GO31" s="327">
        <f t="shared" si="15"/>
        <v>0</v>
      </c>
      <c r="GP31" s="445">
        <f t="shared" si="16"/>
        <v>0</v>
      </c>
      <c r="GQ31" s="605">
        <f t="shared" si="17"/>
        <v>0</v>
      </c>
      <c r="GR31" s="627">
        <f t="shared" si="18"/>
        <v>0</v>
      </c>
      <c r="GS31" s="239">
        <f t="shared" si="19"/>
        <v>0</v>
      </c>
      <c r="GT31" s="36" t="str">
        <f t="shared" si="20"/>
        <v>Метионин</v>
      </c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</row>
    <row r="32" spans="1:215" ht="15" customHeight="1" x14ac:dyDescent="0.3">
      <c r="A32" s="1129">
        <f t="shared" si="21"/>
        <v>23</v>
      </c>
      <c r="B32" s="690" t="s">
        <v>312</v>
      </c>
      <c r="C32" s="565">
        <f>'1_квартал'!G32</f>
        <v>222.50299999999999</v>
      </c>
      <c r="D32" s="346">
        <f>172.16+40.78</f>
        <v>212.94</v>
      </c>
      <c r="E32" s="1300">
        <v>140.62</v>
      </c>
      <c r="F32" s="572"/>
      <c r="G32" s="878">
        <f t="shared" si="9"/>
        <v>176.78</v>
      </c>
      <c r="H32" s="93">
        <v>143.6</v>
      </c>
      <c r="I32" s="93">
        <v>143.6</v>
      </c>
      <c r="J32" s="112"/>
      <c r="K32" s="245"/>
      <c r="L32" s="245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>
        <v>24.106000000000002</v>
      </c>
      <c r="AA32" s="319"/>
      <c r="AB32" s="319"/>
      <c r="AC32" s="245"/>
      <c r="AD32" s="319"/>
      <c r="AE32" s="319"/>
      <c r="AF32" s="245"/>
      <c r="AG32" s="319">
        <v>36.158000000000001</v>
      </c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  <c r="AZ32" s="319">
        <v>120.52800000000001</v>
      </c>
      <c r="BA32" s="319"/>
      <c r="BB32" s="319"/>
      <c r="BC32" s="319"/>
      <c r="BD32" s="319"/>
      <c r="BE32" s="319"/>
      <c r="BF32" s="319"/>
      <c r="BG32" s="319"/>
      <c r="BH32" s="319"/>
      <c r="BI32" s="319"/>
      <c r="BJ32" s="177"/>
      <c r="BK32" s="271"/>
      <c r="BL32" s="319"/>
      <c r="BM32" s="245"/>
      <c r="BN32" s="319"/>
      <c r="BO32" s="245"/>
      <c r="BP32" s="177"/>
      <c r="BQ32" s="245"/>
      <c r="BR32" s="177"/>
      <c r="BS32" s="177"/>
      <c r="BT32" s="319"/>
      <c r="BU32" s="319"/>
      <c r="BV32" s="319"/>
      <c r="BW32" s="319"/>
      <c r="BX32" s="319">
        <v>32.140999999999998</v>
      </c>
      <c r="BY32" s="319"/>
      <c r="BZ32" s="319"/>
      <c r="CA32" s="158">
        <f t="shared" si="12"/>
        <v>212.93299999999999</v>
      </c>
      <c r="CB32" s="112"/>
      <c r="CC32" s="319"/>
      <c r="CD32" s="319"/>
      <c r="CE32" s="319"/>
      <c r="CF32" s="319"/>
      <c r="CG32" s="319"/>
      <c r="CH32" s="319"/>
      <c r="CI32" s="319"/>
      <c r="CJ32" s="319"/>
      <c r="CK32" s="245"/>
      <c r="CL32" s="319"/>
      <c r="CM32" s="319"/>
      <c r="CN32" s="319"/>
      <c r="CO32" s="319"/>
      <c r="CP32" s="319"/>
      <c r="CQ32" s="319"/>
      <c r="CR32" s="319"/>
      <c r="CS32" s="319"/>
      <c r="CT32" s="245"/>
      <c r="CU32" s="319"/>
      <c r="CV32" s="319"/>
      <c r="CW32" s="319"/>
      <c r="CX32" s="319"/>
      <c r="CY32" s="319"/>
      <c r="CZ32" s="319"/>
      <c r="DA32" s="319"/>
      <c r="DB32" s="319"/>
      <c r="DC32" s="319">
        <f>120.528/3*3.5</f>
        <v>140.61600000000001</v>
      </c>
      <c r="DD32" s="319"/>
      <c r="DE32" s="319"/>
      <c r="DF32" s="319"/>
      <c r="DG32" s="245"/>
      <c r="DH32" s="319"/>
      <c r="DI32" s="319"/>
      <c r="DJ32" s="245"/>
      <c r="DK32" s="319"/>
      <c r="DL32" s="319"/>
      <c r="DM32" s="319"/>
      <c r="DN32" s="319"/>
      <c r="DO32" s="319"/>
      <c r="DP32" s="319"/>
      <c r="DQ32" s="319"/>
      <c r="DR32" s="319"/>
      <c r="DS32" s="319"/>
      <c r="DT32" s="319"/>
      <c r="DU32" s="419">
        <f t="shared" si="13"/>
        <v>140.61600000000001</v>
      </c>
      <c r="DV32" s="57"/>
      <c r="DW32" s="319"/>
      <c r="DX32" s="319"/>
      <c r="DY32" s="319"/>
      <c r="DZ32" s="319"/>
      <c r="EA32" s="319"/>
      <c r="EB32" s="319"/>
      <c r="EC32" s="319"/>
      <c r="ED32" s="319"/>
      <c r="EE32" s="319"/>
      <c r="EF32" s="319"/>
      <c r="EG32" s="319"/>
      <c r="EH32" s="319"/>
      <c r="EI32" s="319"/>
      <c r="EJ32" s="319"/>
      <c r="EK32" s="319"/>
      <c r="EL32" s="319"/>
      <c r="EM32" s="319"/>
      <c r="EN32" s="319"/>
      <c r="EO32" s="319"/>
      <c r="EP32" s="319"/>
      <c r="EQ32" s="319"/>
      <c r="ER32" s="319"/>
      <c r="ES32" s="319"/>
      <c r="ET32" s="319"/>
      <c r="EU32" s="319"/>
      <c r="EV32" s="319"/>
      <c r="EW32" s="319"/>
      <c r="EX32" s="319"/>
      <c r="EY32" s="319"/>
      <c r="EZ32" s="319"/>
      <c r="FA32" s="319"/>
      <c r="FB32" s="319"/>
      <c r="FC32" s="319"/>
      <c r="FD32" s="319"/>
      <c r="FE32" s="319"/>
      <c r="FF32" s="319"/>
      <c r="FG32" s="319"/>
      <c r="FH32" s="319"/>
      <c r="FI32" s="319"/>
      <c r="FJ32" s="319"/>
      <c r="FK32" s="319"/>
      <c r="FL32" s="319"/>
      <c r="FM32" s="319"/>
      <c r="FN32" s="319"/>
      <c r="FO32" s="319"/>
      <c r="FP32" s="319"/>
      <c r="FQ32" s="319"/>
      <c r="FR32" s="319"/>
      <c r="FS32" s="319"/>
      <c r="FT32" s="319"/>
      <c r="FU32" s="319"/>
      <c r="FV32" s="319"/>
      <c r="FW32" s="319"/>
      <c r="FX32" s="319"/>
      <c r="FY32" s="319"/>
      <c r="FZ32" s="319"/>
      <c r="GA32" s="158">
        <f t="shared" si="14"/>
        <v>0</v>
      </c>
      <c r="GB32" s="95"/>
      <c r="GC32" s="374"/>
      <c r="GD32" s="319">
        <f>40.176*0.9</f>
        <v>36.1584</v>
      </c>
      <c r="GE32" s="319">
        <f>40.176*0.9</f>
        <v>36.1584</v>
      </c>
      <c r="GF32" s="319"/>
      <c r="GG32" s="319"/>
      <c r="GH32" s="319"/>
      <c r="GI32" s="271"/>
      <c r="GJ32" s="271"/>
      <c r="GK32" s="271"/>
      <c r="GL32" s="271"/>
      <c r="GM32" s="272"/>
      <c r="GN32" s="435"/>
      <c r="GO32" s="327">
        <f t="shared" si="15"/>
        <v>72.316800000000001</v>
      </c>
      <c r="GP32" s="454">
        <f t="shared" si="16"/>
        <v>71.283199999999994</v>
      </c>
      <c r="GQ32" s="605">
        <f t="shared" si="17"/>
        <v>143.6</v>
      </c>
      <c r="GR32" s="627">
        <f t="shared" si="18"/>
        <v>222.50299999999999</v>
      </c>
      <c r="GS32" s="239">
        <f t="shared" si="19"/>
        <v>140.62</v>
      </c>
      <c r="GT32" s="36" t="str">
        <f t="shared" si="20"/>
        <v>МиТаргет (Метионин защищённый)</v>
      </c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</row>
    <row r="33" spans="1:215" ht="15" customHeight="1" x14ac:dyDescent="0.3">
      <c r="A33" s="1129">
        <f t="shared" si="21"/>
        <v>24</v>
      </c>
      <c r="B33" s="688" t="s">
        <v>14</v>
      </c>
      <c r="C33" s="565">
        <f>'1_квартал'!G33</f>
        <v>5307.7969999999996</v>
      </c>
      <c r="D33" s="346">
        <f>1140.82+3637.39</f>
        <v>4778.21</v>
      </c>
      <c r="E33" s="1300">
        <v>5986.13</v>
      </c>
      <c r="F33" s="572"/>
      <c r="G33" s="878">
        <f t="shared" si="9"/>
        <v>5382.17</v>
      </c>
      <c r="H33" s="93">
        <v>9782.48</v>
      </c>
      <c r="I33" s="93">
        <v>8499.81</v>
      </c>
      <c r="J33" s="94"/>
      <c r="K33" s="245">
        <f>154.728*3</f>
        <v>464.18400000000003</v>
      </c>
      <c r="L33" s="245"/>
      <c r="M33" s="319"/>
      <c r="N33" s="319"/>
      <c r="O33" s="319"/>
      <c r="P33" s="319">
        <f>150.696*2.4</f>
        <v>361.67039999999997</v>
      </c>
      <c r="Q33" s="319"/>
      <c r="R33" s="319"/>
      <c r="S33" s="319"/>
      <c r="T33" s="319"/>
      <c r="U33" s="319">
        <f>34.272*0.6</f>
        <v>20.563199999999998</v>
      </c>
      <c r="V33" s="319">
        <f>157.752*1.6</f>
        <v>252.40320000000003</v>
      </c>
      <c r="W33" s="319"/>
      <c r="X33" s="319"/>
      <c r="Y33" s="319">
        <f>34.272</f>
        <v>34.271999999999998</v>
      </c>
      <c r="Z33" s="319">
        <v>10.282</v>
      </c>
      <c r="AA33" s="319">
        <f>132.149*0.9</f>
        <v>118.9341</v>
      </c>
      <c r="AB33" s="319"/>
      <c r="AC33" s="245">
        <f>154.728*2</f>
        <v>309.45600000000002</v>
      </c>
      <c r="AD33" s="319">
        <f>85.68*5</f>
        <v>428.40000000000003</v>
      </c>
      <c r="AE33" s="319">
        <f>34.272*1.3</f>
        <v>44.553600000000003</v>
      </c>
      <c r="AF33" s="245">
        <f>34.272*0.6</f>
        <v>20.563199999999998</v>
      </c>
      <c r="AG33" s="319"/>
      <c r="AH33" s="319"/>
      <c r="AI33" s="319"/>
      <c r="AJ33" s="319">
        <f>156.24*1.4</f>
        <v>218.73599999999999</v>
      </c>
      <c r="AK33" s="319"/>
      <c r="AL33" s="319"/>
      <c r="AM33" s="319">
        <f>158.256*3</f>
        <v>474.76800000000003</v>
      </c>
      <c r="AN33" s="319"/>
      <c r="AO33" s="319"/>
      <c r="AP33" s="319"/>
      <c r="AQ33" s="319"/>
      <c r="AR33" s="319"/>
      <c r="AS33" s="319"/>
      <c r="AT33" s="319"/>
      <c r="AU33" s="319">
        <f>10.08*9</f>
        <v>90.72</v>
      </c>
      <c r="AV33" s="319"/>
      <c r="AW33" s="319"/>
      <c r="AX33" s="319">
        <f>159.264*5</f>
        <v>796.32</v>
      </c>
      <c r="AY33" s="319">
        <f>110.376</f>
        <v>110.376</v>
      </c>
      <c r="AZ33" s="319">
        <v>51.408000000000001</v>
      </c>
      <c r="BA33" s="319">
        <f>132.149</f>
        <v>132.149</v>
      </c>
      <c r="BB33" s="245">
        <f>34.272*1.5</f>
        <v>51.408000000000001</v>
      </c>
      <c r="BC33" s="319"/>
      <c r="BD33" s="319"/>
      <c r="BE33" s="319"/>
      <c r="BF33" s="319"/>
      <c r="BG33" s="319"/>
      <c r="BH33" s="319"/>
      <c r="BI33" s="319">
        <v>34.271999999999998</v>
      </c>
      <c r="BJ33" s="177"/>
      <c r="BK33" s="271"/>
      <c r="BL33" s="319"/>
      <c r="BM33" s="245">
        <f>34.272*0.6</f>
        <v>20.563199999999998</v>
      </c>
      <c r="BN33" s="319"/>
      <c r="BO33" s="245"/>
      <c r="BP33" s="177"/>
      <c r="BQ33" s="245"/>
      <c r="BR33" s="177">
        <f>90.72/0.9*0.8</f>
        <v>80.64</v>
      </c>
      <c r="BS33" s="177"/>
      <c r="BT33" s="319"/>
      <c r="BU33" s="319"/>
      <c r="BV33" s="319">
        <v>159.667</v>
      </c>
      <c r="BW33" s="319">
        <f>158.256*3</f>
        <v>474.76800000000003</v>
      </c>
      <c r="BX33" s="319"/>
      <c r="BY33" s="319"/>
      <c r="BZ33" s="319">
        <f>34.272*0.5</f>
        <v>17.135999999999999</v>
      </c>
      <c r="CA33" s="158">
        <f t="shared" si="12"/>
        <v>4778.2129000000004</v>
      </c>
      <c r="CB33" s="94"/>
      <c r="CC33" s="319">
        <f>150.696*2.4</f>
        <v>361.67039999999997</v>
      </c>
      <c r="CD33" s="319"/>
      <c r="CE33" s="319"/>
      <c r="CF33" s="319">
        <f>156.24*1.8</f>
        <v>281.23200000000003</v>
      </c>
      <c r="CG33" s="319">
        <f>159.264*1.3</f>
        <v>207.04320000000001</v>
      </c>
      <c r="CH33" s="319">
        <v>34.271999999999998</v>
      </c>
      <c r="CI33" s="319">
        <f>132.149*0.9</f>
        <v>118.9341</v>
      </c>
      <c r="CJ33" s="319">
        <f>34.272*1.3</f>
        <v>44.553600000000003</v>
      </c>
      <c r="CK33" s="245">
        <f>154.728*5</f>
        <v>773.6400000000001</v>
      </c>
      <c r="CL33" s="319">
        <f>10.282/0.3*0.2</f>
        <v>6.8546666666666667</v>
      </c>
      <c r="CM33" s="319">
        <f>158.256*5</f>
        <v>791.28</v>
      </c>
      <c r="CN33" s="319">
        <v>302.39999999999998</v>
      </c>
      <c r="CO33" s="319"/>
      <c r="CP33" s="319">
        <f>41.126/1.2*0.6</f>
        <v>20.562999999999999</v>
      </c>
      <c r="CQ33" s="319">
        <f>34.272*2</f>
        <v>68.543999999999997</v>
      </c>
      <c r="CR33" s="319"/>
      <c r="CS33" s="319"/>
      <c r="CT33" s="245"/>
      <c r="CU33" s="319">
        <f>132.149*1.5</f>
        <v>198.2235</v>
      </c>
      <c r="CV33" s="319">
        <f>159.264*4</f>
        <v>637.05600000000004</v>
      </c>
      <c r="CW33" s="319">
        <f>110.376</f>
        <v>110.376</v>
      </c>
      <c r="CX33" s="319"/>
      <c r="CY33" s="245">
        <f>51.408/1.5*0.5</f>
        <v>17.135999999999999</v>
      </c>
      <c r="CZ33" s="245">
        <f>34.272*1.5</f>
        <v>51.408000000000001</v>
      </c>
      <c r="DA33" s="319">
        <f>16.632*2</f>
        <v>33.264000000000003</v>
      </c>
      <c r="DB33" s="319"/>
      <c r="DC33" s="319">
        <f>51.408/3*3.5</f>
        <v>59.975999999999999</v>
      </c>
      <c r="DD33" s="319">
        <f>100.8*7</f>
        <v>705.6</v>
      </c>
      <c r="DE33" s="319">
        <f>100.8*3</f>
        <v>302.39999999999998</v>
      </c>
      <c r="DF33" s="319"/>
      <c r="DG33" s="245"/>
      <c r="DH33" s="319">
        <v>79.834000000000003</v>
      </c>
      <c r="DI33" s="319"/>
      <c r="DJ33" s="245"/>
      <c r="DK33" s="319"/>
      <c r="DL33" s="319"/>
      <c r="DM33" s="319"/>
      <c r="DN33" s="319"/>
      <c r="DO33" s="319"/>
      <c r="DP33" s="319"/>
      <c r="DQ33" s="319">
        <f>156.24*1.7</f>
        <v>265.608</v>
      </c>
      <c r="DR33" s="319">
        <f>34.272*0.3</f>
        <v>10.281599999999999</v>
      </c>
      <c r="DS33" s="319"/>
      <c r="DT33" s="319">
        <f>100.8*5</f>
        <v>504</v>
      </c>
      <c r="DU33" s="419">
        <f t="shared" si="13"/>
        <v>5986.150066666667</v>
      </c>
      <c r="DV33" s="57"/>
      <c r="DW33" s="319">
        <f>150.696*2.4</f>
        <v>361.67039999999997</v>
      </c>
      <c r="DX33" s="319">
        <f>34.272*1.3</f>
        <v>44.553600000000003</v>
      </c>
      <c r="DY33" s="319"/>
      <c r="DZ33" s="319">
        <v>34.271999999999998</v>
      </c>
      <c r="EA33" s="319">
        <f>154.728*5</f>
        <v>773.6400000000001</v>
      </c>
      <c r="EB33" s="319"/>
      <c r="EC33" s="319">
        <f>34.272*2</f>
        <v>68.543999999999997</v>
      </c>
      <c r="ED33" s="319"/>
      <c r="EE33" s="319"/>
      <c r="EF33" s="319"/>
      <c r="EG33" s="319"/>
      <c r="EH33" s="319"/>
      <c r="EI33" s="319"/>
      <c r="EJ33" s="319"/>
      <c r="EK33" s="319"/>
      <c r="EL33" s="319"/>
      <c r="EM33" s="319"/>
      <c r="EN33" s="319"/>
      <c r="EO33" s="319"/>
      <c r="EP33" s="319"/>
      <c r="EQ33" s="319"/>
      <c r="ER33" s="319"/>
      <c r="ES33" s="319"/>
      <c r="ET33" s="319"/>
      <c r="EU33" s="319"/>
      <c r="EV33" s="319"/>
      <c r="EW33" s="319"/>
      <c r="EX33" s="319"/>
      <c r="EY33" s="319"/>
      <c r="EZ33" s="319"/>
      <c r="FA33" s="319"/>
      <c r="FB33" s="319"/>
      <c r="FC33" s="319"/>
      <c r="FD33" s="319"/>
      <c r="FE33" s="319"/>
      <c r="FF33" s="319"/>
      <c r="FG33" s="319"/>
      <c r="FH33" s="319"/>
      <c r="FI33" s="319"/>
      <c r="FJ33" s="319"/>
      <c r="FK33" s="319"/>
      <c r="FL33" s="319"/>
      <c r="FM33" s="319"/>
      <c r="FN33" s="319"/>
      <c r="FO33" s="319"/>
      <c r="FP33" s="319"/>
      <c r="FQ33" s="319"/>
      <c r="FR33" s="319"/>
      <c r="FS33" s="319"/>
      <c r="FT33" s="319"/>
      <c r="FU33" s="319"/>
      <c r="FV33" s="319"/>
      <c r="FW33" s="319"/>
      <c r="FX33" s="319"/>
      <c r="FY33" s="319"/>
      <c r="FZ33" s="319"/>
      <c r="GA33" s="158">
        <f t="shared" si="14"/>
        <v>1282.68</v>
      </c>
      <c r="GB33" s="95"/>
      <c r="GC33" s="374"/>
      <c r="GD33" s="319"/>
      <c r="GE33" s="319">
        <f>17.136*0.9</f>
        <v>15.4224</v>
      </c>
      <c r="GF33" s="319"/>
      <c r="GG33" s="319">
        <f>34.272*1.2</f>
        <v>41.126399999999997</v>
      </c>
      <c r="GH33" s="319">
        <f>157.752*3</f>
        <v>473.25600000000003</v>
      </c>
      <c r="GI33" s="271"/>
      <c r="GJ33" s="271"/>
      <c r="GK33" s="271"/>
      <c r="GL33" s="271"/>
      <c r="GM33" s="272"/>
      <c r="GN33" s="435"/>
      <c r="GO33" s="327">
        <f t="shared" si="15"/>
        <v>529.8048</v>
      </c>
      <c r="GP33" s="558">
        <f t="shared" si="16"/>
        <v>7970.0051999999996</v>
      </c>
      <c r="GQ33" s="605">
        <f t="shared" si="17"/>
        <v>8499.81</v>
      </c>
      <c r="GR33" s="627">
        <f t="shared" si="18"/>
        <v>5307.7969999999996</v>
      </c>
      <c r="GS33" s="239">
        <f t="shared" si="19"/>
        <v>5986.13</v>
      </c>
      <c r="GT33" s="36" t="str">
        <f t="shared" si="20"/>
        <v>монокальцийфосфат (МКФ)</v>
      </c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</row>
    <row r="34" spans="1:215" ht="15" customHeight="1" x14ac:dyDescent="0.3">
      <c r="A34" s="1129">
        <f t="shared" si="21"/>
        <v>25</v>
      </c>
      <c r="B34" s="688" t="s">
        <v>114</v>
      </c>
      <c r="C34" s="565">
        <f>'1_квартал'!G34</f>
        <v>26713.63</v>
      </c>
      <c r="D34" s="263">
        <v>28611.91</v>
      </c>
      <c r="E34" s="1300">
        <v>15181.66</v>
      </c>
      <c r="F34" s="571"/>
      <c r="G34" s="878">
        <f t="shared" si="9"/>
        <v>21896.785</v>
      </c>
      <c r="H34" s="93">
        <f>11512.745+67000</f>
        <v>78512.744999999995</v>
      </c>
      <c r="I34" s="93">
        <f>8979.615+67000</f>
        <v>75979.615000000005</v>
      </c>
      <c r="J34" s="112"/>
      <c r="K34" s="245">
        <f>161.28*3</f>
        <v>483.84000000000003</v>
      </c>
      <c r="L34" s="245">
        <v>458.97500000000002</v>
      </c>
      <c r="M34" s="319">
        <f>221.727*5</f>
        <v>1108.635</v>
      </c>
      <c r="N34" s="319">
        <f>403.2*5</f>
        <v>2016</v>
      </c>
      <c r="O34" s="319">
        <f>100.8*2.7</f>
        <v>272.16000000000003</v>
      </c>
      <c r="P34" s="319">
        <f>161.28*2.4</f>
        <v>387.072</v>
      </c>
      <c r="Q34" s="319">
        <f>282.24*0.6</f>
        <v>169.34399999999999</v>
      </c>
      <c r="R34" s="319">
        <v>506.149</v>
      </c>
      <c r="S34" s="319">
        <f>100.8*7.5</f>
        <v>756</v>
      </c>
      <c r="T34" s="319">
        <f>282.24*3.5</f>
        <v>987.84</v>
      </c>
      <c r="U34" s="319">
        <f>38.808*0.6</f>
        <v>23.284800000000001</v>
      </c>
      <c r="V34" s="319">
        <f>274.378*1.6</f>
        <v>439.00479999999999</v>
      </c>
      <c r="W34" s="319">
        <f>100.8*0.6</f>
        <v>60.48</v>
      </c>
      <c r="X34" s="319">
        <f>282.24*3</f>
        <v>846.72</v>
      </c>
      <c r="Y34" s="319">
        <f>38.808</f>
        <v>38.808</v>
      </c>
      <c r="Z34" s="319"/>
      <c r="AA34" s="319">
        <f>478.195*0.9</f>
        <v>430.37549999999999</v>
      </c>
      <c r="AB34" s="319">
        <f>100.8*3</f>
        <v>302.39999999999998</v>
      </c>
      <c r="AC34" s="245">
        <f>161.28*2</f>
        <v>322.56</v>
      </c>
      <c r="AD34" s="319">
        <f>219.744*5</f>
        <v>1098.72</v>
      </c>
      <c r="AE34" s="319">
        <f>38.808*1.3</f>
        <v>50.450400000000002</v>
      </c>
      <c r="AF34" s="245">
        <f>38.808*0.6</f>
        <v>23.284800000000001</v>
      </c>
      <c r="AG34" s="319">
        <v>113.4</v>
      </c>
      <c r="AH34" s="319">
        <f>422.876*2</f>
        <v>845.75199999999995</v>
      </c>
      <c r="AI34" s="319">
        <f>422.876*8</f>
        <v>3383.0079999999998</v>
      </c>
      <c r="AJ34" s="319">
        <f>274.378*1.4</f>
        <v>384.12919999999997</v>
      </c>
      <c r="AK34" s="319">
        <v>45.36</v>
      </c>
      <c r="AL34" s="319"/>
      <c r="AM34" s="319">
        <f>274.378*3</f>
        <v>823.13400000000001</v>
      </c>
      <c r="AN34" s="319">
        <v>197.01300000000001</v>
      </c>
      <c r="AO34" s="319">
        <v>282.24</v>
      </c>
      <c r="AP34" s="319">
        <f>221.667*0.3</f>
        <v>66.500100000000003</v>
      </c>
      <c r="AQ34" s="319"/>
      <c r="AR34" s="319">
        <v>181.44</v>
      </c>
      <c r="AS34" s="319">
        <v>62.796999999999997</v>
      </c>
      <c r="AT34" s="319">
        <f>241.92*3.6</f>
        <v>870.91199999999992</v>
      </c>
      <c r="AU34" s="319">
        <f>292.32*9</f>
        <v>2630.88</v>
      </c>
      <c r="AV34" s="319"/>
      <c r="AW34" s="319">
        <v>806.4</v>
      </c>
      <c r="AX34" s="319"/>
      <c r="AY34" s="319">
        <f>558.029</f>
        <v>558.029</v>
      </c>
      <c r="AZ34" s="319"/>
      <c r="BA34" s="319">
        <f>478.195</f>
        <v>478.19499999999999</v>
      </c>
      <c r="BB34" s="245">
        <f>38.808*1.5</f>
        <v>58.212000000000003</v>
      </c>
      <c r="BC34" s="319">
        <f>252.383/1.2*0.3</f>
        <v>63.095750000000002</v>
      </c>
      <c r="BD34" s="319"/>
      <c r="BE34" s="319">
        <v>15.12</v>
      </c>
      <c r="BF34" s="319">
        <f>181.44/0.6*0.7</f>
        <v>211.68</v>
      </c>
      <c r="BG34" s="319">
        <v>58.442</v>
      </c>
      <c r="BH34" s="319">
        <f>60.228*0.6</f>
        <v>36.136800000000001</v>
      </c>
      <c r="BI34" s="319">
        <v>38.808</v>
      </c>
      <c r="BJ34" s="177">
        <f>2016/8*1.8</f>
        <v>453.6</v>
      </c>
      <c r="BK34" s="271">
        <f>2016/8*1.5</f>
        <v>378</v>
      </c>
      <c r="BL34" s="319">
        <v>181.44</v>
      </c>
      <c r="BM34" s="245">
        <f>38.808*0.6</f>
        <v>23.284800000000001</v>
      </c>
      <c r="BN34" s="319">
        <f>322.56*0.6</f>
        <v>193.536</v>
      </c>
      <c r="BO34" s="245"/>
      <c r="BP34" s="177">
        <f>2016/8*4.7</f>
        <v>1184.4000000000001</v>
      </c>
      <c r="BQ34" s="245">
        <v>604.79999999999995</v>
      </c>
      <c r="BR34" s="177">
        <f>90.72/0.9*0.8</f>
        <v>80.64</v>
      </c>
      <c r="BS34" s="177">
        <f>262.08*4</f>
        <v>1048.32</v>
      </c>
      <c r="BT34" s="319">
        <f>60.228*1.2</f>
        <v>72.273600000000002</v>
      </c>
      <c r="BU34" s="319">
        <f>151.2*0.4</f>
        <v>60.48</v>
      </c>
      <c r="BV34" s="319">
        <v>112.795</v>
      </c>
      <c r="BW34" s="319">
        <f>274.378*3</f>
        <v>823.13400000000001</v>
      </c>
      <c r="BX34" s="319"/>
      <c r="BY34" s="319">
        <f>100.8*3.8</f>
        <v>383.03999999999996</v>
      </c>
      <c r="BZ34" s="319">
        <f>38.808*0.5</f>
        <v>19.404</v>
      </c>
      <c r="CA34" s="158">
        <f t="shared" si="12"/>
        <v>28611.934549999994</v>
      </c>
      <c r="CB34" s="112"/>
      <c r="CC34" s="319">
        <f>161.28*2.4</f>
        <v>387.072</v>
      </c>
      <c r="CD34" s="319">
        <v>52.374000000000002</v>
      </c>
      <c r="CE34" s="319">
        <f>100.8*0.6</f>
        <v>60.48</v>
      </c>
      <c r="CF34" s="319">
        <f>274.378*1.8</f>
        <v>493.88040000000001</v>
      </c>
      <c r="CG34" s="319">
        <f>274.378*1.3</f>
        <v>356.69139999999999</v>
      </c>
      <c r="CH34" s="319">
        <v>38.808</v>
      </c>
      <c r="CI34" s="319">
        <f>478.195*0.9</f>
        <v>430.37549999999999</v>
      </c>
      <c r="CJ34" s="319">
        <f>38.808*1.3</f>
        <v>50.450400000000002</v>
      </c>
      <c r="CK34" s="245">
        <f>161.28*5</f>
        <v>806.4</v>
      </c>
      <c r="CL34" s="319">
        <f>11.642/0.3*0.2</f>
        <v>7.761333333333333</v>
      </c>
      <c r="CM34" s="319">
        <f>274.378*5</f>
        <v>1371.8899999999999</v>
      </c>
      <c r="CN34" s="319">
        <v>302.39999999999998</v>
      </c>
      <c r="CO34" s="319">
        <f>100.8*6</f>
        <v>604.79999999999995</v>
      </c>
      <c r="CP34" s="319">
        <f>46.57/1.2*0.6</f>
        <v>23.285</v>
      </c>
      <c r="CQ34" s="319">
        <f>38.808*2</f>
        <v>77.616</v>
      </c>
      <c r="CR34" s="319">
        <v>181.44</v>
      </c>
      <c r="CS34" s="319">
        <f>403.2*5</f>
        <v>2016</v>
      </c>
      <c r="CT34" s="245"/>
      <c r="CU34" s="319">
        <f>478.195*1.5</f>
        <v>717.29250000000002</v>
      </c>
      <c r="CV34" s="319"/>
      <c r="CW34" s="319">
        <f>558.029</f>
        <v>558.029</v>
      </c>
      <c r="CX34" s="319">
        <f>59.118*1.2</f>
        <v>70.941599999999994</v>
      </c>
      <c r="CY34" s="245">
        <f>58.212/1.5*0.5</f>
        <v>19.404</v>
      </c>
      <c r="CZ34" s="245">
        <f>38.808*1.5</f>
        <v>58.212000000000003</v>
      </c>
      <c r="DA34" s="319">
        <f>18.295*2</f>
        <v>36.590000000000003</v>
      </c>
      <c r="DB34" s="319">
        <f>604.8</f>
        <v>604.79999999999995</v>
      </c>
      <c r="DC34" s="319"/>
      <c r="DD34" s="319">
        <f>97.119*7</f>
        <v>679.83299999999997</v>
      </c>
      <c r="DE34" s="319">
        <f>97.119*3</f>
        <v>291.35699999999997</v>
      </c>
      <c r="DF34" s="319">
        <f>246.96*1.5</f>
        <v>370.44</v>
      </c>
      <c r="DG34" s="245">
        <v>604.79999999999995</v>
      </c>
      <c r="DH34" s="319">
        <v>56.398000000000003</v>
      </c>
      <c r="DI34" s="319">
        <v>160.14500000000001</v>
      </c>
      <c r="DJ34" s="245">
        <v>254.155</v>
      </c>
      <c r="DK34" s="319">
        <f>100.8*5</f>
        <v>504</v>
      </c>
      <c r="DL34" s="319">
        <v>322.56</v>
      </c>
      <c r="DM34" s="319">
        <f>100.8*7</f>
        <v>705.6</v>
      </c>
      <c r="DN34" s="319">
        <f>59.118*1.5</f>
        <v>88.677000000000007</v>
      </c>
      <c r="DO34" s="319">
        <f>302.4*1.2</f>
        <v>362.87999999999994</v>
      </c>
      <c r="DP34" s="319">
        <f>282.24*1.5</f>
        <v>423.36</v>
      </c>
      <c r="DQ34" s="319">
        <f>274.378*1.7</f>
        <v>466.44259999999997</v>
      </c>
      <c r="DR34" s="319">
        <f>38.808*0.3</f>
        <v>11.6424</v>
      </c>
      <c r="DS34" s="319">
        <f>222.675*0.3</f>
        <v>66.802499999999995</v>
      </c>
      <c r="DT34" s="319">
        <f>97.119*5</f>
        <v>485.59500000000003</v>
      </c>
      <c r="DU34" s="419">
        <f t="shared" si="13"/>
        <v>15181.680633333333</v>
      </c>
      <c r="DV34" s="57"/>
      <c r="DW34" s="319">
        <f>161.28*2.4</f>
        <v>387.072</v>
      </c>
      <c r="DX34" s="319">
        <f>38.808*1.3</f>
        <v>50.450400000000002</v>
      </c>
      <c r="DY34" s="319">
        <f>282.24*1.5</f>
        <v>423.36</v>
      </c>
      <c r="DZ34" s="319">
        <f>38.808</f>
        <v>38.808</v>
      </c>
      <c r="EA34" s="319">
        <f>161.28*5</f>
        <v>806.4</v>
      </c>
      <c r="EB34" s="319">
        <f>26.208*3</f>
        <v>78.623999999999995</v>
      </c>
      <c r="EC34" s="319">
        <f>38.808*2</f>
        <v>77.616</v>
      </c>
      <c r="ED34" s="319">
        <f>60.126*1.5</f>
        <v>90.188999999999993</v>
      </c>
      <c r="EE34" s="319">
        <f>322.56*1.8</f>
        <v>580.60800000000006</v>
      </c>
      <c r="EF34" s="319"/>
      <c r="EG34" s="319"/>
      <c r="EH34" s="319"/>
      <c r="EI34" s="319"/>
      <c r="EJ34" s="319"/>
      <c r="EK34" s="319"/>
      <c r="EL34" s="319"/>
      <c r="EM34" s="319"/>
      <c r="EN34" s="319"/>
      <c r="EO34" s="319"/>
      <c r="EP34" s="319"/>
      <c r="EQ34" s="319"/>
      <c r="ER34" s="319"/>
      <c r="ES34" s="319"/>
      <c r="ET34" s="319"/>
      <c r="EU34" s="319"/>
      <c r="EV34" s="319"/>
      <c r="EW34" s="319"/>
      <c r="EX34" s="319"/>
      <c r="EY34" s="319"/>
      <c r="EZ34" s="319"/>
      <c r="FA34" s="319"/>
      <c r="FB34" s="319"/>
      <c r="FC34" s="319"/>
      <c r="FD34" s="319"/>
      <c r="FE34" s="319"/>
      <c r="FF34" s="319"/>
      <c r="FG34" s="319"/>
      <c r="FH34" s="319"/>
      <c r="FI34" s="319"/>
      <c r="FJ34" s="319"/>
      <c r="FK34" s="319"/>
      <c r="FL34" s="319"/>
      <c r="FM34" s="319"/>
      <c r="FN34" s="319"/>
      <c r="FO34" s="319"/>
      <c r="FP34" s="319"/>
      <c r="FQ34" s="319"/>
      <c r="FR34" s="319"/>
      <c r="FS34" s="319"/>
      <c r="FT34" s="319"/>
      <c r="FU34" s="319"/>
      <c r="FV34" s="319"/>
      <c r="FW34" s="319"/>
      <c r="FX34" s="319"/>
      <c r="FY34" s="319"/>
      <c r="FZ34" s="319"/>
      <c r="GA34" s="158">
        <f t="shared" si="14"/>
        <v>2533.1274000000003</v>
      </c>
      <c r="GB34" s="113"/>
      <c r="GC34" s="374"/>
      <c r="GD34" s="319">
        <f>126*0.9</f>
        <v>113.4</v>
      </c>
      <c r="GE34" s="319"/>
      <c r="GF34" s="319">
        <f>201.6*3</f>
        <v>604.79999999999995</v>
      </c>
      <c r="GG34" s="319">
        <f>38.808*1.2</f>
        <v>46.569600000000001</v>
      </c>
      <c r="GH34" s="319">
        <f>274.378*3</f>
        <v>823.13400000000001</v>
      </c>
      <c r="GI34" s="271"/>
      <c r="GJ34" s="271"/>
      <c r="GK34" s="271"/>
      <c r="GL34" s="271"/>
      <c r="GM34" s="272"/>
      <c r="GN34" s="435"/>
      <c r="GO34" s="327">
        <f t="shared" si="15"/>
        <v>1587.9036000000001</v>
      </c>
      <c r="GP34" s="445">
        <f t="shared" si="16"/>
        <v>74391.7114</v>
      </c>
      <c r="GQ34" s="605">
        <f t="shared" si="17"/>
        <v>75979.615000000005</v>
      </c>
      <c r="GR34" s="627">
        <f t="shared" si="18"/>
        <v>26713.63</v>
      </c>
      <c r="GS34" s="239">
        <f t="shared" si="19"/>
        <v>15181.66</v>
      </c>
      <c r="GT34" s="36" t="str">
        <f t="shared" si="20"/>
        <v>мука известняковая</v>
      </c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</row>
    <row r="35" spans="1:215" ht="15" customHeight="1" x14ac:dyDescent="0.3">
      <c r="A35" s="1129">
        <f t="shared" si="21"/>
        <v>26</v>
      </c>
      <c r="B35" s="688" t="s">
        <v>633</v>
      </c>
      <c r="C35" s="565"/>
      <c r="D35" s="263"/>
      <c r="E35" s="1300"/>
      <c r="F35" s="571"/>
      <c r="G35" s="878"/>
      <c r="H35" s="93"/>
      <c r="I35" s="93">
        <v>1200</v>
      </c>
      <c r="J35" s="112"/>
      <c r="K35" s="245"/>
      <c r="L35" s="245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245"/>
      <c r="AD35" s="319"/>
      <c r="AE35" s="319"/>
      <c r="AF35" s="245"/>
      <c r="AG35" s="319"/>
      <c r="AH35" s="319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  <c r="AY35" s="319"/>
      <c r="AZ35" s="319"/>
      <c r="BA35" s="319"/>
      <c r="BB35" s="245"/>
      <c r="BC35" s="319"/>
      <c r="BD35" s="319"/>
      <c r="BE35" s="319"/>
      <c r="BF35" s="319"/>
      <c r="BG35" s="319"/>
      <c r="BH35" s="319"/>
      <c r="BI35" s="319"/>
      <c r="BJ35" s="177"/>
      <c r="BK35" s="271"/>
      <c r="BL35" s="319"/>
      <c r="BM35" s="245"/>
      <c r="BN35" s="319"/>
      <c r="BO35" s="245"/>
      <c r="BP35" s="177"/>
      <c r="BQ35" s="245"/>
      <c r="BR35" s="177"/>
      <c r="BS35" s="177"/>
      <c r="BT35" s="319"/>
      <c r="BU35" s="319"/>
      <c r="BV35" s="319"/>
      <c r="BW35" s="319"/>
      <c r="BX35" s="319"/>
      <c r="BY35" s="319"/>
      <c r="BZ35" s="319"/>
      <c r="CA35" s="158"/>
      <c r="CB35" s="112"/>
      <c r="CC35" s="319"/>
      <c r="CD35" s="319"/>
      <c r="CE35" s="319"/>
      <c r="CF35" s="319"/>
      <c r="CG35" s="319"/>
      <c r="CH35" s="319"/>
      <c r="CI35" s="319"/>
      <c r="CJ35" s="319"/>
      <c r="CK35" s="245"/>
      <c r="CL35" s="319"/>
      <c r="CM35" s="319"/>
      <c r="CN35" s="319"/>
      <c r="CO35" s="319"/>
      <c r="CP35" s="319"/>
      <c r="CQ35" s="319"/>
      <c r="CR35" s="319"/>
      <c r="CS35" s="319"/>
      <c r="CT35" s="245"/>
      <c r="CU35" s="319"/>
      <c r="CV35" s="319"/>
      <c r="CW35" s="319"/>
      <c r="CX35" s="319"/>
      <c r="CY35" s="245"/>
      <c r="CZ35" s="245"/>
      <c r="DA35" s="319"/>
      <c r="DB35" s="319"/>
      <c r="DC35" s="319"/>
      <c r="DD35" s="319"/>
      <c r="DE35" s="319"/>
      <c r="DF35" s="319"/>
      <c r="DG35" s="245"/>
      <c r="DH35" s="319"/>
      <c r="DI35" s="319"/>
      <c r="DJ35" s="245"/>
      <c r="DK35" s="319"/>
      <c r="DL35" s="319"/>
      <c r="DM35" s="319"/>
      <c r="DN35" s="319"/>
      <c r="DO35" s="319"/>
      <c r="DP35" s="319"/>
      <c r="DQ35" s="319"/>
      <c r="DR35" s="319"/>
      <c r="DS35" s="319"/>
      <c r="DT35" s="319"/>
      <c r="DU35" s="419"/>
      <c r="DV35" s="57"/>
      <c r="DW35" s="319"/>
      <c r="DX35" s="319"/>
      <c r="DY35" s="319"/>
      <c r="DZ35" s="319"/>
      <c r="EA35" s="319"/>
      <c r="EB35" s="319"/>
      <c r="EC35" s="319"/>
      <c r="ED35" s="319"/>
      <c r="EE35" s="319"/>
      <c r="EF35" s="319"/>
      <c r="EG35" s="319"/>
      <c r="EH35" s="319"/>
      <c r="EI35" s="319"/>
      <c r="EJ35" s="319"/>
      <c r="EK35" s="319"/>
      <c r="EL35" s="319"/>
      <c r="EM35" s="319"/>
      <c r="EN35" s="319"/>
      <c r="EO35" s="319"/>
      <c r="EP35" s="319"/>
      <c r="EQ35" s="319"/>
      <c r="ER35" s="319"/>
      <c r="ES35" s="319"/>
      <c r="ET35" s="319"/>
      <c r="EU35" s="319"/>
      <c r="EV35" s="319"/>
      <c r="EW35" s="319"/>
      <c r="EX35" s="319"/>
      <c r="EY35" s="319"/>
      <c r="EZ35" s="319"/>
      <c r="FA35" s="319"/>
      <c r="FB35" s="319"/>
      <c r="FC35" s="319"/>
      <c r="FD35" s="319"/>
      <c r="FE35" s="319"/>
      <c r="FF35" s="319"/>
      <c r="FG35" s="319"/>
      <c r="FH35" s="319"/>
      <c r="FI35" s="319"/>
      <c r="FJ35" s="319"/>
      <c r="FK35" s="319"/>
      <c r="FL35" s="319"/>
      <c r="FM35" s="319"/>
      <c r="FN35" s="319"/>
      <c r="FO35" s="319"/>
      <c r="FP35" s="319"/>
      <c r="FQ35" s="319"/>
      <c r="FR35" s="319"/>
      <c r="FS35" s="319"/>
      <c r="FT35" s="319"/>
      <c r="FU35" s="319"/>
      <c r="FV35" s="319"/>
      <c r="FW35" s="319"/>
      <c r="FX35" s="319"/>
      <c r="FY35" s="319"/>
      <c r="FZ35" s="319"/>
      <c r="GA35" s="158">
        <f t="shared" si="14"/>
        <v>0</v>
      </c>
      <c r="GB35" s="113"/>
      <c r="GC35" s="374"/>
      <c r="GD35" s="319"/>
      <c r="GE35" s="319"/>
      <c r="GF35" s="319"/>
      <c r="GG35" s="319"/>
      <c r="GH35" s="319"/>
      <c r="GI35" s="271"/>
      <c r="GJ35" s="271"/>
      <c r="GK35" s="271"/>
      <c r="GL35" s="271"/>
      <c r="GM35" s="272"/>
      <c r="GN35" s="435"/>
      <c r="GO35" s="327">
        <f t="shared" si="15"/>
        <v>0</v>
      </c>
      <c r="GP35" s="445">
        <f t="shared" si="16"/>
        <v>1200</v>
      </c>
      <c r="GQ35" s="605">
        <f t="shared" si="17"/>
        <v>1200</v>
      </c>
      <c r="GR35" s="627">
        <f t="shared" si="18"/>
        <v>0</v>
      </c>
      <c r="GS35" s="239">
        <f t="shared" si="19"/>
        <v>0</v>
      </c>
      <c r="GT35" s="36" t="str">
        <f t="shared" si="20"/>
        <v>Сахар</v>
      </c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</row>
    <row r="36" spans="1:215" ht="15" customHeight="1" x14ac:dyDescent="0.3">
      <c r="A36" s="1129">
        <f t="shared" si="21"/>
        <v>27</v>
      </c>
      <c r="B36" s="692" t="s">
        <v>40</v>
      </c>
      <c r="C36" s="565">
        <f>'1_квартал'!G35</f>
        <v>3144.59</v>
      </c>
      <c r="D36" s="590">
        <v>3261.64</v>
      </c>
      <c r="E36" s="1300">
        <v>1604.23</v>
      </c>
      <c r="F36" s="707"/>
      <c r="G36" s="878">
        <f t="shared" si="9"/>
        <v>2432.9349999999999</v>
      </c>
      <c r="H36" s="93">
        <v>9274.09</v>
      </c>
      <c r="I36" s="93">
        <v>8602.4599999999991</v>
      </c>
      <c r="J36" s="94"/>
      <c r="K36" s="245"/>
      <c r="L36" s="245"/>
      <c r="M36" s="319"/>
      <c r="N36" s="319"/>
      <c r="O36" s="319"/>
      <c r="P36" s="319"/>
      <c r="Q36" s="319">
        <f>40.32*0.6</f>
        <v>24.192</v>
      </c>
      <c r="R36" s="319"/>
      <c r="S36" s="319"/>
      <c r="T36" s="319">
        <f>40.32*3.5</f>
        <v>141.12</v>
      </c>
      <c r="U36" s="319">
        <f>136.08*0.6</f>
        <v>81.64800000000001</v>
      </c>
      <c r="V36" s="319"/>
      <c r="W36" s="319"/>
      <c r="X36" s="319">
        <f>40.32*3</f>
        <v>120.96000000000001</v>
      </c>
      <c r="Y36" s="319">
        <f>136.08</f>
        <v>136.08000000000001</v>
      </c>
      <c r="Z36" s="319"/>
      <c r="AA36" s="319">
        <f>101.304*0.9</f>
        <v>91.173600000000008</v>
      </c>
      <c r="AB36" s="319"/>
      <c r="AC36" s="245"/>
      <c r="AD36" s="319">
        <f>299.376*5</f>
        <v>1496.8799999999999</v>
      </c>
      <c r="AE36" s="319">
        <f>136.08*1.3</f>
        <v>176.90400000000002</v>
      </c>
      <c r="AF36" s="245">
        <f>136.08*0.6</f>
        <v>81.64800000000001</v>
      </c>
      <c r="AG36" s="319">
        <v>27.216000000000001</v>
      </c>
      <c r="AH36" s="319"/>
      <c r="AI36" s="319"/>
      <c r="AJ36" s="319"/>
      <c r="AK36" s="319">
        <v>43.189</v>
      </c>
      <c r="AL36" s="319">
        <v>6.048</v>
      </c>
      <c r="AM36" s="319"/>
      <c r="AN36" s="319"/>
      <c r="AO36" s="319">
        <v>40.32</v>
      </c>
      <c r="AP36" s="319"/>
      <c r="AQ36" s="319"/>
      <c r="AR36" s="319"/>
      <c r="AS36" s="319"/>
      <c r="AT36" s="319"/>
      <c r="AU36" s="319"/>
      <c r="AV36" s="319"/>
      <c r="AW36" s="319"/>
      <c r="AX36" s="319"/>
      <c r="AY36" s="319">
        <f>114.408</f>
        <v>114.408</v>
      </c>
      <c r="AZ36" s="319"/>
      <c r="BA36" s="319">
        <f>101.304</f>
        <v>101.304</v>
      </c>
      <c r="BB36" s="245">
        <f>136.08*1.5</f>
        <v>204.12</v>
      </c>
      <c r="BC36" s="319"/>
      <c r="BD36" s="319"/>
      <c r="BE36" s="319"/>
      <c r="BF36" s="319"/>
      <c r="BG36" s="319"/>
      <c r="BH36" s="319"/>
      <c r="BI36" s="319">
        <v>136.08000000000001</v>
      </c>
      <c r="BJ36" s="177"/>
      <c r="BK36" s="271"/>
      <c r="BL36" s="319"/>
      <c r="BM36" s="245">
        <f>136.08*0.6</f>
        <v>81.64800000000001</v>
      </c>
      <c r="BN36" s="319"/>
      <c r="BO36" s="245"/>
      <c r="BP36" s="177"/>
      <c r="BQ36" s="245"/>
      <c r="BR36" s="177"/>
      <c r="BS36" s="177">
        <f>0.542*4</f>
        <v>2.1680000000000001</v>
      </c>
      <c r="BT36" s="319"/>
      <c r="BU36" s="319"/>
      <c r="BV36" s="319">
        <v>86.486000000000004</v>
      </c>
      <c r="BW36" s="319"/>
      <c r="BX36" s="319"/>
      <c r="BY36" s="319"/>
      <c r="BZ36" s="319">
        <f>136.08*0.5</f>
        <v>68.040000000000006</v>
      </c>
      <c r="CA36" s="158">
        <f t="shared" si="12"/>
        <v>3261.6325999999999</v>
      </c>
      <c r="CB36" s="94"/>
      <c r="CC36" s="319"/>
      <c r="CD36" s="319"/>
      <c r="CE36" s="319"/>
      <c r="CF36" s="319"/>
      <c r="CG36" s="319"/>
      <c r="CH36" s="319">
        <v>136.08000000000001</v>
      </c>
      <c r="CI36" s="319">
        <f>101.304*0.9</f>
        <v>91.173600000000008</v>
      </c>
      <c r="CJ36" s="319">
        <f>136.08*1.3</f>
        <v>176.90400000000002</v>
      </c>
      <c r="CK36" s="245"/>
      <c r="CL36" s="319">
        <f>40.824/0.3*0.2</f>
        <v>27.216000000000005</v>
      </c>
      <c r="CM36" s="319"/>
      <c r="CN36" s="319"/>
      <c r="CO36" s="319"/>
      <c r="CP36" s="319">
        <f>163.296/1.2*0.6</f>
        <v>81.64800000000001</v>
      </c>
      <c r="CQ36" s="319">
        <f>136.08*2</f>
        <v>272.16000000000003</v>
      </c>
      <c r="CR36" s="319"/>
      <c r="CS36" s="319"/>
      <c r="CT36" s="245"/>
      <c r="CU36" s="319">
        <f>101.304*1.5</f>
        <v>151.95600000000002</v>
      </c>
      <c r="CV36" s="319"/>
      <c r="CW36" s="319">
        <f>114.408</f>
        <v>114.408</v>
      </c>
      <c r="CX36" s="319"/>
      <c r="CY36" s="245">
        <f>204.12/1.5*0.5</f>
        <v>68.040000000000006</v>
      </c>
      <c r="CZ36" s="245">
        <f>136.08*1.5</f>
        <v>204.12</v>
      </c>
      <c r="DA36" s="319">
        <v>135.97900000000001</v>
      </c>
      <c r="DB36" s="319"/>
      <c r="DC36" s="319"/>
      <c r="DD36" s="319"/>
      <c r="DE36" s="319"/>
      <c r="DF36" s="319"/>
      <c r="DG36" s="245"/>
      <c r="DH36" s="319">
        <v>43.243000000000002</v>
      </c>
      <c r="DI36" s="319"/>
      <c r="DJ36" s="245"/>
      <c r="DK36" s="319"/>
      <c r="DL36" s="319"/>
      <c r="DM36" s="319"/>
      <c r="DN36" s="319"/>
      <c r="DO36" s="319"/>
      <c r="DP36" s="319">
        <f>40.32*1.5</f>
        <v>60.480000000000004</v>
      </c>
      <c r="DQ36" s="319"/>
      <c r="DR36" s="319">
        <f>136.08*0.3</f>
        <v>40.824000000000005</v>
      </c>
      <c r="DS36" s="319"/>
      <c r="DT36" s="319"/>
      <c r="DU36" s="419">
        <f t="shared" si="13"/>
        <v>1604.2316000000003</v>
      </c>
      <c r="DV36" s="57"/>
      <c r="DW36" s="319"/>
      <c r="DX36" s="319">
        <f>136.08*1.3</f>
        <v>176.90400000000002</v>
      </c>
      <c r="DY36" s="319">
        <f>40.32*1.5</f>
        <v>60.480000000000004</v>
      </c>
      <c r="DZ36" s="319">
        <v>136.08000000000001</v>
      </c>
      <c r="EA36" s="319"/>
      <c r="EB36" s="319">
        <f>8.671*3</f>
        <v>26.012999999999998</v>
      </c>
      <c r="EC36" s="319">
        <f>136.08*2</f>
        <v>272.16000000000003</v>
      </c>
      <c r="ED36" s="319"/>
      <c r="EE36" s="319"/>
      <c r="EF36" s="319"/>
      <c r="EG36" s="319"/>
      <c r="EH36" s="319"/>
      <c r="EI36" s="319"/>
      <c r="EJ36" s="319"/>
      <c r="EK36" s="319"/>
      <c r="EL36" s="319"/>
      <c r="EM36" s="319"/>
      <c r="EN36" s="319"/>
      <c r="EO36" s="319"/>
      <c r="EP36" s="319"/>
      <c r="EQ36" s="319"/>
      <c r="ER36" s="319"/>
      <c r="ES36" s="319"/>
      <c r="ET36" s="319"/>
      <c r="EU36" s="319"/>
      <c r="EV36" s="319"/>
      <c r="EW36" s="319"/>
      <c r="EX36" s="319"/>
      <c r="EY36" s="319"/>
      <c r="EZ36" s="319"/>
      <c r="FA36" s="319"/>
      <c r="FB36" s="319"/>
      <c r="FC36" s="319"/>
      <c r="FD36" s="319"/>
      <c r="FE36" s="319"/>
      <c r="FF36" s="319"/>
      <c r="FG36" s="319"/>
      <c r="FH36" s="319"/>
      <c r="FI36" s="319"/>
      <c r="FJ36" s="319"/>
      <c r="FK36" s="319"/>
      <c r="FL36" s="319"/>
      <c r="FM36" s="319"/>
      <c r="FN36" s="319"/>
      <c r="FO36" s="319"/>
      <c r="FP36" s="319"/>
      <c r="FQ36" s="319"/>
      <c r="FR36" s="319"/>
      <c r="FS36" s="319"/>
      <c r="FT36" s="319"/>
      <c r="FU36" s="319"/>
      <c r="FV36" s="319"/>
      <c r="FW36" s="319"/>
      <c r="FX36" s="319"/>
      <c r="FY36" s="319"/>
      <c r="FZ36" s="319"/>
      <c r="GA36" s="158">
        <f t="shared" si="14"/>
        <v>671.63700000000006</v>
      </c>
      <c r="GB36" s="95"/>
      <c r="GC36" s="374"/>
      <c r="GD36" s="319">
        <f>30.24*0.9</f>
        <v>27.215999999999998</v>
      </c>
      <c r="GE36" s="319"/>
      <c r="GF36" s="319"/>
      <c r="GG36" s="319">
        <f>136.08*1.2</f>
        <v>163.29600000000002</v>
      </c>
      <c r="GH36" s="319"/>
      <c r="GI36" s="271"/>
      <c r="GJ36" s="271"/>
      <c r="GK36" s="271"/>
      <c r="GL36" s="271"/>
      <c r="GM36" s="272"/>
      <c r="GN36" s="435"/>
      <c r="GO36" s="327">
        <f t="shared" si="15"/>
        <v>190.51200000000003</v>
      </c>
      <c r="GP36" s="445">
        <f t="shared" si="16"/>
        <v>8411.9479999999985</v>
      </c>
      <c r="GQ36" s="605">
        <f t="shared" si="17"/>
        <v>8602.4599999999991</v>
      </c>
      <c r="GR36" s="627">
        <f t="shared" si="18"/>
        <v>3144.59</v>
      </c>
      <c r="GS36" s="239">
        <f t="shared" si="19"/>
        <v>1604.23</v>
      </c>
      <c r="GT36" s="36" t="str">
        <f t="shared" si="20"/>
        <v xml:space="preserve">Соль пищ выварочн сорт экстра </v>
      </c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22"/>
      <c r="HF36" s="22"/>
      <c r="HG36" s="22"/>
    </row>
    <row r="37" spans="1:215" ht="15" customHeight="1" x14ac:dyDescent="0.3">
      <c r="A37" s="1171"/>
      <c r="B37" s="1022"/>
      <c r="C37" s="1172"/>
      <c r="D37" s="1173"/>
      <c r="E37" s="1302"/>
      <c r="F37" s="1174"/>
      <c r="G37" s="1175"/>
      <c r="H37" s="1028"/>
      <c r="I37" s="1028">
        <f>SUM(I19:I36)</f>
        <v>138204.46799999999</v>
      </c>
      <c r="J37" s="112"/>
      <c r="K37" s="1030"/>
      <c r="L37" s="1030"/>
      <c r="M37" s="1029"/>
      <c r="N37" s="1029"/>
      <c r="O37" s="1029"/>
      <c r="P37" s="1029"/>
      <c r="Q37" s="1029"/>
      <c r="R37" s="1029"/>
      <c r="S37" s="1029"/>
      <c r="T37" s="1029"/>
      <c r="U37" s="1029"/>
      <c r="V37" s="1029"/>
      <c r="W37" s="1029"/>
      <c r="X37" s="1029"/>
      <c r="Y37" s="1029"/>
      <c r="Z37" s="1029"/>
      <c r="AA37" s="1029"/>
      <c r="AB37" s="1029"/>
      <c r="AC37" s="1030"/>
      <c r="AD37" s="1029"/>
      <c r="AE37" s="1029"/>
      <c r="AF37" s="1030"/>
      <c r="AG37" s="1029"/>
      <c r="AH37" s="1029"/>
      <c r="AI37" s="1029"/>
      <c r="AJ37" s="1029"/>
      <c r="AK37" s="1029"/>
      <c r="AL37" s="1029"/>
      <c r="AM37" s="1029"/>
      <c r="AN37" s="1029"/>
      <c r="AO37" s="1029"/>
      <c r="AP37" s="1029"/>
      <c r="AQ37" s="1029"/>
      <c r="AR37" s="1029"/>
      <c r="AS37" s="1029"/>
      <c r="AT37" s="1029"/>
      <c r="AU37" s="1029"/>
      <c r="AV37" s="1029"/>
      <c r="AW37" s="1029"/>
      <c r="AX37" s="1029"/>
      <c r="AY37" s="1029"/>
      <c r="AZ37" s="1029"/>
      <c r="BA37" s="1029"/>
      <c r="BB37" s="1029"/>
      <c r="BC37" s="1029"/>
      <c r="BD37" s="1029"/>
      <c r="BE37" s="1029"/>
      <c r="BF37" s="1029"/>
      <c r="BG37" s="1029"/>
      <c r="BH37" s="1029"/>
      <c r="BI37" s="1029"/>
      <c r="BJ37" s="1032"/>
      <c r="BK37" s="1033"/>
      <c r="BL37" s="1029"/>
      <c r="BM37" s="1030"/>
      <c r="BN37" s="1029"/>
      <c r="BO37" s="1030"/>
      <c r="BP37" s="1032"/>
      <c r="BQ37" s="1030"/>
      <c r="BR37" s="1032"/>
      <c r="BS37" s="1032"/>
      <c r="BT37" s="1029"/>
      <c r="BU37" s="1029"/>
      <c r="BV37" s="1029"/>
      <c r="BW37" s="1029"/>
      <c r="BX37" s="1029"/>
      <c r="BY37" s="1029"/>
      <c r="BZ37" s="1029"/>
      <c r="CA37" s="1031">
        <f t="shared" si="12"/>
        <v>0</v>
      </c>
      <c r="CB37" s="112"/>
      <c r="CC37" s="1029"/>
      <c r="CD37" s="1029"/>
      <c r="CE37" s="1029"/>
      <c r="CF37" s="1029"/>
      <c r="CG37" s="1029"/>
      <c r="CH37" s="1029"/>
      <c r="CI37" s="1029"/>
      <c r="CJ37" s="1029"/>
      <c r="CK37" s="1030"/>
      <c r="CL37" s="1029"/>
      <c r="CM37" s="1029"/>
      <c r="CN37" s="1029"/>
      <c r="CO37" s="1029"/>
      <c r="CP37" s="1029"/>
      <c r="CQ37" s="1029"/>
      <c r="CR37" s="1029"/>
      <c r="CS37" s="1029"/>
      <c r="CT37" s="1030"/>
      <c r="CU37" s="1029"/>
      <c r="CV37" s="1029"/>
      <c r="CW37" s="1029"/>
      <c r="CX37" s="1029"/>
      <c r="CY37" s="1029"/>
      <c r="CZ37" s="1029"/>
      <c r="DA37" s="1029"/>
      <c r="DB37" s="1029"/>
      <c r="DC37" s="1029"/>
      <c r="DD37" s="1029"/>
      <c r="DE37" s="1029"/>
      <c r="DF37" s="1029"/>
      <c r="DG37" s="1030"/>
      <c r="DH37" s="1029"/>
      <c r="DI37" s="1029"/>
      <c r="DJ37" s="1030"/>
      <c r="DK37" s="1029"/>
      <c r="DL37" s="1029"/>
      <c r="DM37" s="1029"/>
      <c r="DN37" s="1029"/>
      <c r="DO37" s="1029"/>
      <c r="DP37" s="1029"/>
      <c r="DQ37" s="1029"/>
      <c r="DR37" s="1029"/>
      <c r="DS37" s="1029"/>
      <c r="DT37" s="1029"/>
      <c r="DU37" s="1029"/>
      <c r="DV37" s="57"/>
      <c r="DW37" s="1029"/>
      <c r="DX37" s="1029"/>
      <c r="DY37" s="1029"/>
      <c r="DZ37" s="1029"/>
      <c r="EA37" s="1029"/>
      <c r="EB37" s="1029"/>
      <c r="EC37" s="1029"/>
      <c r="ED37" s="1029"/>
      <c r="EE37" s="1029"/>
      <c r="EF37" s="1029"/>
      <c r="EG37" s="1029"/>
      <c r="EH37" s="1029"/>
      <c r="EI37" s="1029"/>
      <c r="EJ37" s="1029"/>
      <c r="EK37" s="1029"/>
      <c r="EL37" s="1029"/>
      <c r="EM37" s="1029"/>
      <c r="EN37" s="1029"/>
      <c r="EO37" s="1029"/>
      <c r="EP37" s="1029"/>
      <c r="EQ37" s="1029"/>
      <c r="ER37" s="1029"/>
      <c r="ES37" s="1029"/>
      <c r="ET37" s="1029"/>
      <c r="EU37" s="1029"/>
      <c r="EV37" s="1029"/>
      <c r="EW37" s="1029"/>
      <c r="EX37" s="1029"/>
      <c r="EY37" s="1029"/>
      <c r="EZ37" s="1029"/>
      <c r="FA37" s="1029"/>
      <c r="FB37" s="1029"/>
      <c r="FC37" s="1029"/>
      <c r="FD37" s="1029"/>
      <c r="FE37" s="1029"/>
      <c r="FF37" s="1029"/>
      <c r="FG37" s="1029"/>
      <c r="FH37" s="1029"/>
      <c r="FI37" s="1029"/>
      <c r="FJ37" s="1029"/>
      <c r="FK37" s="1029"/>
      <c r="FL37" s="1029"/>
      <c r="FM37" s="1029"/>
      <c r="FN37" s="1029"/>
      <c r="FO37" s="1029"/>
      <c r="FP37" s="1029"/>
      <c r="FQ37" s="1029"/>
      <c r="FR37" s="1029"/>
      <c r="FS37" s="1029"/>
      <c r="FT37" s="1029"/>
      <c r="FU37" s="1029"/>
      <c r="FV37" s="1029"/>
      <c r="FW37" s="1029"/>
      <c r="FX37" s="1029"/>
      <c r="FY37" s="1029"/>
      <c r="FZ37" s="1029"/>
      <c r="GA37" s="1031"/>
      <c r="GB37" s="113"/>
      <c r="GC37" s="1225"/>
      <c r="GD37" s="1029"/>
      <c r="GE37" s="1029"/>
      <c r="GF37" s="1029"/>
      <c r="GG37" s="1029"/>
      <c r="GH37" s="1029"/>
      <c r="GI37" s="356"/>
      <c r="GJ37" s="1033"/>
      <c r="GK37" s="1033"/>
      <c r="GL37" s="1033"/>
      <c r="GM37" s="1036"/>
      <c r="GN37" s="1037"/>
      <c r="GO37" s="1038"/>
      <c r="GP37" s="1049"/>
      <c r="GQ37" s="1049"/>
      <c r="GR37" s="1049"/>
      <c r="GS37" s="1049"/>
      <c r="GT37" s="1041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22"/>
      <c r="HF37" s="22"/>
      <c r="HG37" s="22"/>
    </row>
    <row r="38" spans="1:215" ht="15" customHeight="1" x14ac:dyDescent="0.3">
      <c r="A38" s="1129">
        <f>A36+1</f>
        <v>28</v>
      </c>
      <c r="B38" s="693" t="s">
        <v>27</v>
      </c>
      <c r="C38" s="565">
        <f>'1_квартал'!G37</f>
        <v>354.31299999999999</v>
      </c>
      <c r="D38" s="346">
        <f>96.96+506.07</f>
        <v>603.03</v>
      </c>
      <c r="E38" s="1300">
        <f>49.6+6.35</f>
        <v>55.95</v>
      </c>
      <c r="F38" s="572"/>
      <c r="G38" s="878">
        <f t="shared" si="9"/>
        <v>329.49</v>
      </c>
      <c r="H38" s="93">
        <f>51.38+1487.58</f>
        <v>1538.96</v>
      </c>
      <c r="I38" s="93">
        <f>51.38+1344.22</f>
        <v>1395.6000000000001</v>
      </c>
      <c r="J38" s="112"/>
      <c r="K38" s="245"/>
      <c r="L38" s="245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19">
        <f>8.568*0.9</f>
        <v>7.7111999999999998</v>
      </c>
      <c r="AB38" s="319"/>
      <c r="AC38" s="245"/>
      <c r="AD38" s="319">
        <f>101.213*5</f>
        <v>506.06499999999994</v>
      </c>
      <c r="AE38" s="319"/>
      <c r="AF38" s="245"/>
      <c r="AG38" s="319">
        <v>9.0719999999999992</v>
      </c>
      <c r="AH38" s="319"/>
      <c r="AI38" s="319"/>
      <c r="AJ38" s="319"/>
      <c r="AK38" s="319"/>
      <c r="AL38" s="319"/>
      <c r="AM38" s="319"/>
      <c r="AN38" s="319"/>
      <c r="AO38" s="319"/>
      <c r="AP38" s="319"/>
      <c r="AQ38" s="319"/>
      <c r="AR38" s="319"/>
      <c r="AS38" s="319">
        <v>29.867000000000001</v>
      </c>
      <c r="AT38" s="319"/>
      <c r="AU38" s="319"/>
      <c r="AV38" s="319"/>
      <c r="AW38" s="319"/>
      <c r="AX38" s="319"/>
      <c r="AY38" s="319">
        <f>29.044</f>
        <v>29.044</v>
      </c>
      <c r="AZ38" s="319"/>
      <c r="BA38" s="319">
        <f>8.568</f>
        <v>8.5679999999999996</v>
      </c>
      <c r="BB38" s="319"/>
      <c r="BC38" s="319"/>
      <c r="BD38" s="319"/>
      <c r="BE38" s="319"/>
      <c r="BF38" s="319"/>
      <c r="BG38" s="319"/>
      <c r="BH38" s="319"/>
      <c r="BI38" s="319"/>
      <c r="BJ38" s="177"/>
      <c r="BK38" s="271"/>
      <c r="BL38" s="319"/>
      <c r="BM38" s="245"/>
      <c r="BN38" s="319"/>
      <c r="BO38" s="245"/>
      <c r="BP38" s="177"/>
      <c r="BQ38" s="245"/>
      <c r="BR38" s="177"/>
      <c r="BS38" s="177"/>
      <c r="BT38" s="319"/>
      <c r="BU38" s="319"/>
      <c r="BV38" s="319">
        <v>12.701000000000001</v>
      </c>
      <c r="BW38" s="319"/>
      <c r="BX38" s="319"/>
      <c r="BY38" s="319"/>
      <c r="BZ38" s="319"/>
      <c r="CA38" s="158">
        <f t="shared" si="12"/>
        <v>603.02819999999986</v>
      </c>
      <c r="CB38" s="112"/>
      <c r="CC38" s="319"/>
      <c r="CD38" s="319"/>
      <c r="CE38" s="319"/>
      <c r="CF38" s="319"/>
      <c r="CG38" s="319"/>
      <c r="CH38" s="319"/>
      <c r="CI38" s="319">
        <f>8.568*0.9</f>
        <v>7.7111999999999998</v>
      </c>
      <c r="CJ38" s="319"/>
      <c r="CK38" s="245"/>
      <c r="CL38" s="319"/>
      <c r="CM38" s="319"/>
      <c r="CN38" s="319"/>
      <c r="CO38" s="319"/>
      <c r="CP38" s="319"/>
      <c r="CQ38" s="319"/>
      <c r="CR38" s="319"/>
      <c r="CS38" s="319"/>
      <c r="CT38" s="245"/>
      <c r="CU38" s="319">
        <f>8.568*1.5</f>
        <v>12.852</v>
      </c>
      <c r="CV38" s="319"/>
      <c r="CW38" s="319">
        <f>29.044</f>
        <v>29.044</v>
      </c>
      <c r="CX38" s="319"/>
      <c r="CY38" s="319"/>
      <c r="CZ38" s="319"/>
      <c r="DA38" s="319"/>
      <c r="DB38" s="319"/>
      <c r="DC38" s="319"/>
      <c r="DD38" s="319"/>
      <c r="DE38" s="319"/>
      <c r="DF38" s="319"/>
      <c r="DG38" s="245"/>
      <c r="DH38" s="319">
        <v>6.35</v>
      </c>
      <c r="DI38" s="319"/>
      <c r="DJ38" s="245"/>
      <c r="DK38" s="319"/>
      <c r="DL38" s="319"/>
      <c r="DM38" s="319"/>
      <c r="DN38" s="319"/>
      <c r="DO38" s="319"/>
      <c r="DP38" s="319"/>
      <c r="DQ38" s="319"/>
      <c r="DR38" s="319"/>
      <c r="DS38" s="319"/>
      <c r="DT38" s="319"/>
      <c r="DU38" s="419">
        <f t="shared" ref="DU38:DU58" si="22">SUM(CC38:DT38)</f>
        <v>55.957200000000007</v>
      </c>
      <c r="DV38" s="57"/>
      <c r="DW38" s="319"/>
      <c r="DX38" s="319"/>
      <c r="DY38" s="319"/>
      <c r="DZ38" s="319"/>
      <c r="EA38" s="319"/>
      <c r="EB38" s="319">
        <f>47.786*3</f>
        <v>143.358</v>
      </c>
      <c r="EC38" s="319"/>
      <c r="ED38" s="319"/>
      <c r="EE38" s="319"/>
      <c r="EF38" s="319"/>
      <c r="EG38" s="319"/>
      <c r="EH38" s="319"/>
      <c r="EI38" s="319"/>
      <c r="EJ38" s="319"/>
      <c r="EK38" s="319"/>
      <c r="EL38" s="319"/>
      <c r="EM38" s="319"/>
      <c r="EN38" s="319"/>
      <c r="EO38" s="319"/>
      <c r="EP38" s="319"/>
      <c r="EQ38" s="319"/>
      <c r="ER38" s="319"/>
      <c r="ES38" s="319"/>
      <c r="ET38" s="319"/>
      <c r="EU38" s="319"/>
      <c r="EV38" s="319"/>
      <c r="EW38" s="319"/>
      <c r="EX38" s="319"/>
      <c r="EY38" s="319"/>
      <c r="EZ38" s="319"/>
      <c r="FA38" s="319"/>
      <c r="FB38" s="319"/>
      <c r="FC38" s="319"/>
      <c r="FD38" s="319"/>
      <c r="FE38" s="319"/>
      <c r="FF38" s="319"/>
      <c r="FG38" s="319"/>
      <c r="FH38" s="319"/>
      <c r="FI38" s="319"/>
      <c r="FJ38" s="319"/>
      <c r="FK38" s="319"/>
      <c r="FL38" s="319"/>
      <c r="FM38" s="319"/>
      <c r="FN38" s="319"/>
      <c r="FO38" s="319"/>
      <c r="FP38" s="319"/>
      <c r="FQ38" s="319"/>
      <c r="FR38" s="319"/>
      <c r="FS38" s="319"/>
      <c r="FT38" s="319"/>
      <c r="FU38" s="319"/>
      <c r="FV38" s="319"/>
      <c r="FW38" s="319"/>
      <c r="FX38" s="319"/>
      <c r="FY38" s="319"/>
      <c r="FZ38" s="319"/>
      <c r="GA38" s="158">
        <f t="shared" ref="GA38:GA58" si="23">SUM(DW38:FZ38)</f>
        <v>143.358</v>
      </c>
      <c r="GB38" s="113"/>
      <c r="GC38" s="374"/>
      <c r="GD38" s="319">
        <f>10.08*0.9</f>
        <v>9.072000000000001</v>
      </c>
      <c r="GE38" s="319"/>
      <c r="GF38" s="319"/>
      <c r="GG38" s="319"/>
      <c r="GH38" s="319"/>
      <c r="GI38" s="271"/>
      <c r="GJ38" s="271"/>
      <c r="GK38" s="271"/>
      <c r="GL38" s="271"/>
      <c r="GM38" s="272"/>
      <c r="GN38" s="435"/>
      <c r="GO38" s="327">
        <f t="shared" ref="GO38:GO58" si="24">SUM(GC38:GN38)</f>
        <v>9.072000000000001</v>
      </c>
      <c r="GP38" s="445">
        <f t="shared" ref="GP38:GP58" si="25">I38-GO38</f>
        <v>1386.5280000000002</v>
      </c>
      <c r="GQ38" s="605">
        <f t="shared" ref="GQ38:GQ58" si="26">I38</f>
        <v>1395.6000000000001</v>
      </c>
      <c r="GR38" s="627">
        <f t="shared" ref="GR38:GR58" si="27">C38</f>
        <v>354.31299999999999</v>
      </c>
      <c r="GS38" s="239">
        <f t="shared" ref="GS38:GS58" si="28">E38</f>
        <v>55.95</v>
      </c>
      <c r="GT38" s="36" t="str">
        <f t="shared" ref="GT38:GT58" si="29">B38</f>
        <v>Гидрокарбонат натрия Е500 (сода)</v>
      </c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</row>
    <row r="39" spans="1:215" ht="15" customHeight="1" x14ac:dyDescent="0.3">
      <c r="A39" s="1129">
        <f t="shared" si="21"/>
        <v>29</v>
      </c>
      <c r="B39" s="691" t="s">
        <v>33</v>
      </c>
      <c r="C39" s="565">
        <f>'1_квартал'!G38</f>
        <v>735.673</v>
      </c>
      <c r="D39" s="346">
        <f>184.58+249+244.06</f>
        <v>677.6400000000001</v>
      </c>
      <c r="E39" s="1300">
        <f>55.94+265.31</f>
        <v>321.25</v>
      </c>
      <c r="F39" s="572"/>
      <c r="G39" s="878">
        <f t="shared" si="9"/>
        <v>499.44499999999999</v>
      </c>
      <c r="H39" s="93">
        <f>133.69+200</f>
        <v>333.69</v>
      </c>
      <c r="I39" s="93">
        <f>107.68+200</f>
        <v>307.68</v>
      </c>
      <c r="J39" s="112"/>
      <c r="K39" s="245"/>
      <c r="L39" s="245"/>
      <c r="M39" s="319">
        <f>30.24*5</f>
        <v>151.19999999999999</v>
      </c>
      <c r="N39" s="319"/>
      <c r="O39" s="319"/>
      <c r="P39" s="319"/>
      <c r="Q39" s="319"/>
      <c r="R39" s="319"/>
      <c r="S39" s="319">
        <f>5.04*7.5</f>
        <v>37.799999999999997</v>
      </c>
      <c r="T39" s="319">
        <f>3.125*3.5</f>
        <v>10.9375</v>
      </c>
      <c r="U39" s="319"/>
      <c r="V39" s="319"/>
      <c r="W39" s="319"/>
      <c r="X39" s="319">
        <f>3.125*3</f>
        <v>9.375</v>
      </c>
      <c r="Y39" s="319"/>
      <c r="Z39" s="319"/>
      <c r="AA39" s="319"/>
      <c r="AB39" s="319">
        <f>5.04*3</f>
        <v>15.120000000000001</v>
      </c>
      <c r="AC39" s="245"/>
      <c r="AD39" s="319">
        <f>21.168*5</f>
        <v>105.84</v>
      </c>
      <c r="AE39" s="319"/>
      <c r="AF39" s="245"/>
      <c r="AG39" s="319">
        <v>10.885999999999999</v>
      </c>
      <c r="AH39" s="319"/>
      <c r="AI39" s="319"/>
      <c r="AJ39" s="319"/>
      <c r="AK39" s="319">
        <v>33.264000000000003</v>
      </c>
      <c r="AL39" s="319"/>
      <c r="AM39" s="319"/>
      <c r="AN39" s="319">
        <v>3.024</v>
      </c>
      <c r="AO39" s="319"/>
      <c r="AP39" s="319">
        <f>30.24*0.3</f>
        <v>9.0719999999999992</v>
      </c>
      <c r="AQ39" s="319">
        <v>0.80600000000000005</v>
      </c>
      <c r="AR39" s="319"/>
      <c r="AS39" s="319">
        <v>0.53700000000000003</v>
      </c>
      <c r="AT39" s="319"/>
      <c r="AU39" s="319"/>
      <c r="AV39" s="319"/>
      <c r="AW39" s="319"/>
      <c r="AX39" s="319"/>
      <c r="AY39" s="319"/>
      <c r="AZ39" s="319">
        <v>48.384</v>
      </c>
      <c r="BA39" s="319"/>
      <c r="BB39" s="319"/>
      <c r="BC39" s="319">
        <f>1.21/1.2*0.3</f>
        <v>0.30249999999999999</v>
      </c>
      <c r="BD39" s="319">
        <f>0.302/0.3*0.1</f>
        <v>0.10066666666666667</v>
      </c>
      <c r="BE39" s="319"/>
      <c r="BF39" s="319"/>
      <c r="BG39" s="319"/>
      <c r="BH39" s="319"/>
      <c r="BI39" s="319">
        <v>24.292999999999999</v>
      </c>
      <c r="BJ39" s="177"/>
      <c r="BK39" s="271"/>
      <c r="BL39" s="319"/>
      <c r="BM39" s="245"/>
      <c r="BN39" s="319"/>
      <c r="BO39" s="245">
        <f>20.16*5</f>
        <v>100.8</v>
      </c>
      <c r="BP39" s="177"/>
      <c r="BQ39" s="245"/>
      <c r="BR39" s="177">
        <f>4.536/0.9*0.8</f>
        <v>4.0319999999999991</v>
      </c>
      <c r="BS39" s="177">
        <f>10.08*4</f>
        <v>40.32</v>
      </c>
      <c r="BT39" s="319"/>
      <c r="BU39" s="319">
        <f>70.56*0.4</f>
        <v>28.224000000000004</v>
      </c>
      <c r="BV39" s="319"/>
      <c r="BW39" s="319"/>
      <c r="BX39" s="319">
        <v>24.192</v>
      </c>
      <c r="BY39" s="319">
        <f>5.04*3.8</f>
        <v>19.151999999999997</v>
      </c>
      <c r="BZ39" s="319"/>
      <c r="CA39" s="158">
        <f t="shared" si="12"/>
        <v>677.66166666666686</v>
      </c>
      <c r="CB39" s="94"/>
      <c r="CC39" s="319"/>
      <c r="CD39" s="319"/>
      <c r="CE39" s="319"/>
      <c r="CF39" s="319"/>
      <c r="CG39" s="319"/>
      <c r="CH39" s="319">
        <v>24.292999999999999</v>
      </c>
      <c r="CI39" s="319"/>
      <c r="CJ39" s="319"/>
      <c r="CK39" s="245"/>
      <c r="CL39" s="319"/>
      <c r="CM39" s="319"/>
      <c r="CN39" s="319">
        <v>30.24</v>
      </c>
      <c r="CO39" s="319">
        <f>5.04*6</f>
        <v>30.240000000000002</v>
      </c>
      <c r="CP39" s="319"/>
      <c r="CQ39" s="319"/>
      <c r="CR39" s="319"/>
      <c r="CS39" s="319"/>
      <c r="CT39" s="245">
        <f>20.16*5</f>
        <v>100.8</v>
      </c>
      <c r="CU39" s="319"/>
      <c r="CV39" s="319"/>
      <c r="CW39" s="319"/>
      <c r="CX39" s="319"/>
      <c r="CY39" s="319"/>
      <c r="CZ39" s="319"/>
      <c r="DA39" s="319"/>
      <c r="DB39" s="319"/>
      <c r="DC39" s="319">
        <f>48.384/3*3.5</f>
        <v>56.448</v>
      </c>
      <c r="DD39" s="319"/>
      <c r="DE39" s="319"/>
      <c r="DF39" s="319">
        <f>5.04*1.5</f>
        <v>7.5600000000000005</v>
      </c>
      <c r="DG39" s="245"/>
      <c r="DH39" s="319"/>
      <c r="DI39" s="319"/>
      <c r="DJ39" s="245"/>
      <c r="DK39" s="319">
        <f>5.04*5</f>
        <v>25.2</v>
      </c>
      <c r="DL39" s="319"/>
      <c r="DM39" s="319">
        <f>5.04*7</f>
        <v>35.28</v>
      </c>
      <c r="DN39" s="319"/>
      <c r="DO39" s="319"/>
      <c r="DP39" s="319">
        <f>1.613*1.5</f>
        <v>2.4195000000000002</v>
      </c>
      <c r="DQ39" s="319"/>
      <c r="DR39" s="319"/>
      <c r="DS39" s="319">
        <f>29.232*0.3</f>
        <v>8.7695999999999987</v>
      </c>
      <c r="DT39" s="319"/>
      <c r="DU39" s="419">
        <f t="shared" si="22"/>
        <v>321.25010000000009</v>
      </c>
      <c r="DV39" s="57"/>
      <c r="DW39" s="319"/>
      <c r="DX39" s="319"/>
      <c r="DY39" s="319">
        <f>1.613*1.5</f>
        <v>2.4195000000000002</v>
      </c>
      <c r="DZ39" s="319">
        <f>23.587</f>
        <v>23.587</v>
      </c>
      <c r="EA39" s="319"/>
      <c r="EB39" s="319"/>
      <c r="EC39" s="319"/>
      <c r="ED39" s="319"/>
      <c r="EE39" s="319"/>
      <c r="EF39" s="319"/>
      <c r="EG39" s="319"/>
      <c r="EH39" s="319"/>
      <c r="EI39" s="319"/>
      <c r="EJ39" s="319"/>
      <c r="EK39" s="319"/>
      <c r="EL39" s="319"/>
      <c r="EM39" s="319"/>
      <c r="EN39" s="319"/>
      <c r="EO39" s="319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319"/>
      <c r="FQ39" s="319"/>
      <c r="FR39" s="319"/>
      <c r="FS39" s="319"/>
      <c r="FT39" s="319"/>
      <c r="FU39" s="319"/>
      <c r="FV39" s="319"/>
      <c r="FW39" s="319"/>
      <c r="FX39" s="319"/>
      <c r="FY39" s="319"/>
      <c r="FZ39" s="319"/>
      <c r="GA39" s="158">
        <f t="shared" si="23"/>
        <v>26.006499999999999</v>
      </c>
      <c r="GB39" s="113"/>
      <c r="GC39" s="374"/>
      <c r="GD39" s="319">
        <f>12.096*0.9</f>
        <v>10.8864</v>
      </c>
      <c r="GE39" s="319"/>
      <c r="GF39" s="319"/>
      <c r="GG39" s="319"/>
      <c r="GH39" s="319"/>
      <c r="GI39" s="271"/>
      <c r="GJ39" s="271"/>
      <c r="GK39" s="271"/>
      <c r="GL39" s="271"/>
      <c r="GM39" s="272"/>
      <c r="GN39" s="435"/>
      <c r="GO39" s="327">
        <f t="shared" si="24"/>
        <v>10.8864</v>
      </c>
      <c r="GP39" s="454">
        <f t="shared" si="25"/>
        <v>296.79360000000003</v>
      </c>
      <c r="GQ39" s="605">
        <f t="shared" si="26"/>
        <v>307.68</v>
      </c>
      <c r="GR39" s="627">
        <f t="shared" si="27"/>
        <v>735.673</v>
      </c>
      <c r="GS39" s="239">
        <f t="shared" si="28"/>
        <v>321.25</v>
      </c>
      <c r="GT39" s="36" t="str">
        <f t="shared" si="29"/>
        <v>Актиген</v>
      </c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</row>
    <row r="40" spans="1:215" ht="15" customHeight="1" x14ac:dyDescent="0.3">
      <c r="A40" s="1129">
        <f>A39+1</f>
        <v>30</v>
      </c>
      <c r="B40" s="694" t="s">
        <v>34</v>
      </c>
      <c r="C40" s="565">
        <f>'1_квартал'!G39</f>
        <v>81.137</v>
      </c>
      <c r="D40" s="346">
        <v>16.399999999999999</v>
      </c>
      <c r="E40" s="1303">
        <v>0</v>
      </c>
      <c r="F40" s="572"/>
      <c r="G40" s="878">
        <f t="shared" si="9"/>
        <v>8.1999999999999993</v>
      </c>
      <c r="H40" s="93">
        <v>75</v>
      </c>
      <c r="I40" s="93">
        <v>75</v>
      </c>
      <c r="J40" s="112"/>
      <c r="K40" s="245"/>
      <c r="L40" s="245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245"/>
      <c r="AD40" s="319"/>
      <c r="AE40" s="319"/>
      <c r="AF40" s="245"/>
      <c r="AG40" s="319"/>
      <c r="AH40" s="319"/>
      <c r="AI40" s="319"/>
      <c r="AJ40" s="319"/>
      <c r="AK40" s="319"/>
      <c r="AL40" s="319"/>
      <c r="AM40" s="319"/>
      <c r="AN40" s="319"/>
      <c r="AO40" s="319"/>
      <c r="AP40" s="319"/>
      <c r="AQ40" s="319">
        <v>16.399999999999999</v>
      </c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/>
      <c r="BD40" s="319"/>
      <c r="BE40" s="319"/>
      <c r="BF40" s="319"/>
      <c r="BG40" s="319"/>
      <c r="BH40" s="319"/>
      <c r="BI40" s="319"/>
      <c r="BJ40" s="177"/>
      <c r="BK40" s="271"/>
      <c r="BL40" s="319"/>
      <c r="BM40" s="245"/>
      <c r="BN40" s="319"/>
      <c r="BO40" s="245"/>
      <c r="BP40" s="177"/>
      <c r="BQ40" s="245"/>
      <c r="BR40" s="177"/>
      <c r="BS40" s="177"/>
      <c r="BT40" s="319"/>
      <c r="BU40" s="319"/>
      <c r="BV40" s="319"/>
      <c r="BW40" s="319"/>
      <c r="BX40" s="319"/>
      <c r="BY40" s="319"/>
      <c r="BZ40" s="319"/>
      <c r="CA40" s="158">
        <f t="shared" si="12"/>
        <v>16.399999999999999</v>
      </c>
      <c r="CB40" s="112"/>
      <c r="CC40" s="319"/>
      <c r="CD40" s="319"/>
      <c r="CE40" s="319"/>
      <c r="CF40" s="319"/>
      <c r="CG40" s="319"/>
      <c r="CH40" s="319"/>
      <c r="CI40" s="319"/>
      <c r="CJ40" s="319"/>
      <c r="CK40" s="245"/>
      <c r="CL40" s="319"/>
      <c r="CM40" s="319"/>
      <c r="CN40" s="319"/>
      <c r="CO40" s="319"/>
      <c r="CP40" s="319"/>
      <c r="CQ40" s="319"/>
      <c r="CR40" s="319"/>
      <c r="CS40" s="319"/>
      <c r="CT40" s="245"/>
      <c r="CU40" s="319"/>
      <c r="CV40" s="319"/>
      <c r="CW40" s="319"/>
      <c r="CX40" s="319"/>
      <c r="CY40" s="319"/>
      <c r="CZ40" s="319"/>
      <c r="DA40" s="319"/>
      <c r="DB40" s="319"/>
      <c r="DC40" s="319"/>
      <c r="DD40" s="319"/>
      <c r="DE40" s="319"/>
      <c r="DF40" s="319"/>
      <c r="DG40" s="245"/>
      <c r="DH40" s="319"/>
      <c r="DI40" s="319"/>
      <c r="DJ40" s="245"/>
      <c r="DK40" s="319"/>
      <c r="DL40" s="319"/>
      <c r="DM40" s="319"/>
      <c r="DN40" s="319"/>
      <c r="DO40" s="319"/>
      <c r="DP40" s="319"/>
      <c r="DQ40" s="319"/>
      <c r="DR40" s="319"/>
      <c r="DS40" s="319"/>
      <c r="DT40" s="319"/>
      <c r="DU40" s="419">
        <f t="shared" si="22"/>
        <v>0</v>
      </c>
      <c r="DV40" s="57"/>
      <c r="DW40" s="319"/>
      <c r="DX40" s="319"/>
      <c r="DY40" s="319"/>
      <c r="DZ40" s="319"/>
      <c r="EA40" s="319"/>
      <c r="EB40" s="319"/>
      <c r="EC40" s="319"/>
      <c r="ED40" s="319"/>
      <c r="EE40" s="319"/>
      <c r="EF40" s="319"/>
      <c r="EG40" s="319"/>
      <c r="EH40" s="319"/>
      <c r="EI40" s="319"/>
      <c r="EJ40" s="319"/>
      <c r="EK40" s="319"/>
      <c r="EL40" s="319"/>
      <c r="EM40" s="319"/>
      <c r="EN40" s="319"/>
      <c r="EO40" s="319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19"/>
      <c r="FC40" s="319"/>
      <c r="FD40" s="319"/>
      <c r="FE40" s="319"/>
      <c r="FF40" s="319"/>
      <c r="FG40" s="319"/>
      <c r="FH40" s="319"/>
      <c r="FI40" s="319"/>
      <c r="FJ40" s="319"/>
      <c r="FK40" s="319"/>
      <c r="FL40" s="319"/>
      <c r="FM40" s="319"/>
      <c r="FN40" s="319"/>
      <c r="FO40" s="319"/>
      <c r="FP40" s="319"/>
      <c r="FQ40" s="319"/>
      <c r="FR40" s="319"/>
      <c r="FS40" s="319"/>
      <c r="FT40" s="319"/>
      <c r="FU40" s="319"/>
      <c r="FV40" s="319"/>
      <c r="FW40" s="319"/>
      <c r="FX40" s="319"/>
      <c r="FY40" s="319"/>
      <c r="FZ40" s="319"/>
      <c r="GA40" s="158">
        <f t="shared" si="23"/>
        <v>0</v>
      </c>
      <c r="GB40" s="113"/>
      <c r="GC40" s="374"/>
      <c r="GD40" s="319"/>
      <c r="GE40" s="319"/>
      <c r="GF40" s="319"/>
      <c r="GG40" s="319"/>
      <c r="GH40" s="319"/>
      <c r="GI40" s="271"/>
      <c r="GJ40" s="271"/>
      <c r="GK40" s="271"/>
      <c r="GL40" s="271"/>
      <c r="GM40" s="272"/>
      <c r="GN40" s="435"/>
      <c r="GO40" s="327">
        <f t="shared" si="24"/>
        <v>0</v>
      </c>
      <c r="GP40" s="445">
        <f t="shared" si="25"/>
        <v>75</v>
      </c>
      <c r="GQ40" s="605">
        <f t="shared" si="26"/>
        <v>75</v>
      </c>
      <c r="GR40" s="627">
        <f t="shared" si="27"/>
        <v>81.137</v>
      </c>
      <c r="GS40" s="239">
        <f t="shared" si="28"/>
        <v>0</v>
      </c>
      <c r="GT40" s="36" t="str">
        <f t="shared" si="29"/>
        <v>Биогром Энерджи</v>
      </c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22"/>
      <c r="HF40" s="22"/>
      <c r="HG40" s="22"/>
    </row>
    <row r="41" spans="1:215" ht="15" customHeight="1" x14ac:dyDescent="0.3">
      <c r="A41" s="1129">
        <f>A40+1</f>
        <v>31</v>
      </c>
      <c r="B41" s="695" t="s">
        <v>126</v>
      </c>
      <c r="C41" s="565">
        <f>'1_квартал'!G40</f>
        <v>408.02300000000002</v>
      </c>
      <c r="D41" s="346">
        <v>120.87</v>
      </c>
      <c r="E41" s="1300">
        <v>0</v>
      </c>
      <c r="F41" s="572"/>
      <c r="G41" s="878">
        <f t="shared" si="9"/>
        <v>60.435000000000002</v>
      </c>
      <c r="H41" s="93">
        <v>0</v>
      </c>
      <c r="I41" s="93">
        <v>0</v>
      </c>
      <c r="J41" s="112"/>
      <c r="K41" s="245"/>
      <c r="L41" s="245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>
        <v>36</v>
      </c>
      <c r="AA41" s="319"/>
      <c r="AB41" s="319"/>
      <c r="AC41" s="245"/>
      <c r="AD41" s="319"/>
      <c r="AE41" s="319"/>
      <c r="AF41" s="245"/>
      <c r="AG41" s="319">
        <v>54</v>
      </c>
      <c r="AH41" s="319"/>
      <c r="AI41" s="319"/>
      <c r="AJ41" s="319"/>
      <c r="AK41" s="319"/>
      <c r="AL41" s="319"/>
      <c r="AM41" s="319"/>
      <c r="AN41" s="319"/>
      <c r="AO41" s="319"/>
      <c r="AP41" s="319"/>
      <c r="AQ41" s="319"/>
      <c r="AR41" s="319"/>
      <c r="AS41" s="319"/>
      <c r="AT41" s="319"/>
      <c r="AU41" s="319"/>
      <c r="AV41" s="319"/>
      <c r="AW41" s="319"/>
      <c r="AX41" s="319"/>
      <c r="AY41" s="319"/>
      <c r="AZ41" s="319">
        <v>30.87</v>
      </c>
      <c r="BA41" s="319"/>
      <c r="BB41" s="319"/>
      <c r="BC41" s="319"/>
      <c r="BD41" s="319"/>
      <c r="BE41" s="319"/>
      <c r="BF41" s="319"/>
      <c r="BG41" s="319"/>
      <c r="BH41" s="319"/>
      <c r="BI41" s="319"/>
      <c r="BJ41" s="177"/>
      <c r="BK41" s="271"/>
      <c r="BL41" s="319"/>
      <c r="BM41" s="245"/>
      <c r="BN41" s="319"/>
      <c r="BO41" s="245"/>
      <c r="BP41" s="177"/>
      <c r="BQ41" s="245"/>
      <c r="BR41" s="177"/>
      <c r="BS41" s="177"/>
      <c r="BT41" s="319"/>
      <c r="BU41" s="319"/>
      <c r="BV41" s="319"/>
      <c r="BW41" s="319"/>
      <c r="BX41" s="319"/>
      <c r="BY41" s="319"/>
      <c r="BZ41" s="319"/>
      <c r="CA41" s="158">
        <f t="shared" si="12"/>
        <v>120.87</v>
      </c>
      <c r="CB41" s="112"/>
      <c r="CC41" s="319"/>
      <c r="CD41" s="319"/>
      <c r="CE41" s="319"/>
      <c r="CF41" s="319"/>
      <c r="CG41" s="319"/>
      <c r="CH41" s="319"/>
      <c r="CI41" s="319"/>
      <c r="CJ41" s="319"/>
      <c r="CK41" s="245"/>
      <c r="CL41" s="319"/>
      <c r="CM41" s="319"/>
      <c r="CN41" s="319"/>
      <c r="CO41" s="319"/>
      <c r="CP41" s="319"/>
      <c r="CQ41" s="319"/>
      <c r="CR41" s="319"/>
      <c r="CS41" s="319"/>
      <c r="CT41" s="245"/>
      <c r="CU41" s="319"/>
      <c r="CV41" s="319"/>
      <c r="CW41" s="319"/>
      <c r="CX41" s="319"/>
      <c r="CY41" s="319"/>
      <c r="CZ41" s="319"/>
      <c r="DA41" s="319"/>
      <c r="DB41" s="319"/>
      <c r="DC41" s="319"/>
      <c r="DD41" s="319"/>
      <c r="DE41" s="319"/>
      <c r="DF41" s="319"/>
      <c r="DG41" s="245"/>
      <c r="DH41" s="319"/>
      <c r="DI41" s="319"/>
      <c r="DJ41" s="245"/>
      <c r="DK41" s="319"/>
      <c r="DL41" s="319"/>
      <c r="DM41" s="319"/>
      <c r="DN41" s="319"/>
      <c r="DO41" s="319"/>
      <c r="DP41" s="319"/>
      <c r="DQ41" s="319"/>
      <c r="DR41" s="319"/>
      <c r="DS41" s="319"/>
      <c r="DT41" s="319"/>
      <c r="DU41" s="419">
        <f t="shared" si="22"/>
        <v>0</v>
      </c>
      <c r="DV41" s="57"/>
      <c r="DW41" s="319"/>
      <c r="DX41" s="319"/>
      <c r="DY41" s="319"/>
      <c r="DZ41" s="319"/>
      <c r="EA41" s="319"/>
      <c r="EB41" s="319"/>
      <c r="EC41" s="319"/>
      <c r="ED41" s="319"/>
      <c r="EE41" s="319"/>
      <c r="EF41" s="319"/>
      <c r="EG41" s="319"/>
      <c r="EH41" s="319"/>
      <c r="EI41" s="319"/>
      <c r="EJ41" s="319"/>
      <c r="EK41" s="319"/>
      <c r="EL41" s="319"/>
      <c r="EM41" s="319"/>
      <c r="EN41" s="319"/>
      <c r="EO41" s="319"/>
      <c r="EP41" s="319"/>
      <c r="EQ41" s="319"/>
      <c r="ER41" s="319"/>
      <c r="ES41" s="319"/>
      <c r="ET41" s="319"/>
      <c r="EU41" s="319"/>
      <c r="EV41" s="319"/>
      <c r="EW41" s="319"/>
      <c r="EX41" s="319"/>
      <c r="EY41" s="319"/>
      <c r="EZ41" s="319"/>
      <c r="FA41" s="319"/>
      <c r="FB41" s="319"/>
      <c r="FC41" s="319"/>
      <c r="FD41" s="319"/>
      <c r="FE41" s="319"/>
      <c r="FF41" s="319"/>
      <c r="FG41" s="319"/>
      <c r="FH41" s="319"/>
      <c r="FI41" s="319"/>
      <c r="FJ41" s="319"/>
      <c r="FK41" s="319"/>
      <c r="FL41" s="319"/>
      <c r="FM41" s="319"/>
      <c r="FN41" s="319"/>
      <c r="FO41" s="319"/>
      <c r="FP41" s="319"/>
      <c r="FQ41" s="319"/>
      <c r="FR41" s="319"/>
      <c r="FS41" s="319"/>
      <c r="FT41" s="319"/>
      <c r="FU41" s="319"/>
      <c r="FV41" s="319"/>
      <c r="FW41" s="319"/>
      <c r="FX41" s="319"/>
      <c r="FY41" s="319"/>
      <c r="FZ41" s="319"/>
      <c r="GA41" s="158">
        <f t="shared" si="23"/>
        <v>0</v>
      </c>
      <c r="GB41" s="113"/>
      <c r="GC41" s="374"/>
      <c r="GD41" s="319"/>
      <c r="GE41" s="319"/>
      <c r="GF41" s="319"/>
      <c r="GG41" s="319"/>
      <c r="GH41" s="319"/>
      <c r="GI41" s="271"/>
      <c r="GJ41" s="271"/>
      <c r="GK41" s="271"/>
      <c r="GL41" s="271"/>
      <c r="GM41" s="272"/>
      <c r="GN41" s="435"/>
      <c r="GO41" s="327">
        <f t="shared" si="24"/>
        <v>0</v>
      </c>
      <c r="GP41" s="445">
        <f t="shared" si="25"/>
        <v>0</v>
      </c>
      <c r="GQ41" s="605">
        <f t="shared" si="26"/>
        <v>0</v>
      </c>
      <c r="GR41" s="627">
        <f t="shared" si="27"/>
        <v>408.02300000000002</v>
      </c>
      <c r="GS41" s="239">
        <f t="shared" si="28"/>
        <v>0</v>
      </c>
      <c r="GT41" s="36" t="str">
        <f t="shared" si="29"/>
        <v>Биогром Холин</v>
      </c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22"/>
      <c r="HF41" s="22"/>
      <c r="HG41" s="22"/>
    </row>
    <row r="42" spans="1:215" ht="15" customHeight="1" x14ac:dyDescent="0.3">
      <c r="A42" s="1129">
        <f t="shared" si="21"/>
        <v>32</v>
      </c>
      <c r="B42" s="691" t="s">
        <v>101</v>
      </c>
      <c r="C42" s="565">
        <f>'1_квартал'!G41</f>
        <v>910.76300000000003</v>
      </c>
      <c r="D42" s="346">
        <f>662.843+188.127</f>
        <v>850.97</v>
      </c>
      <c r="E42" s="1300">
        <v>712.48</v>
      </c>
      <c r="F42" s="572"/>
      <c r="G42" s="878">
        <f t="shared" si="9"/>
        <v>781.72500000000002</v>
      </c>
      <c r="H42" s="93">
        <f>598.393+1000</f>
        <v>1598.393</v>
      </c>
      <c r="I42" s="93">
        <f>338.263+1000</f>
        <v>1338.2629999999999</v>
      </c>
      <c r="J42" s="112"/>
      <c r="K42" s="245">
        <f>23.52*3</f>
        <v>70.56</v>
      </c>
      <c r="L42" s="245"/>
      <c r="M42" s="319"/>
      <c r="N42" s="319">
        <f>8.064*5</f>
        <v>40.32</v>
      </c>
      <c r="O42" s="319">
        <f>2.352*2.7</f>
        <v>6.3504000000000005</v>
      </c>
      <c r="P42" s="319">
        <f>23.52*2.4</f>
        <v>56.448</v>
      </c>
      <c r="Q42" s="319">
        <f>3.36*0.6</f>
        <v>2.016</v>
      </c>
      <c r="R42" s="319">
        <v>100.8</v>
      </c>
      <c r="S42" s="319">
        <f>2.352*7.5</f>
        <v>17.64</v>
      </c>
      <c r="T42" s="319">
        <f>6.72*3.5</f>
        <v>23.52</v>
      </c>
      <c r="U42" s="319">
        <f>17.674*0.6</f>
        <v>10.6044</v>
      </c>
      <c r="V42" s="319">
        <f>11.76*1.6</f>
        <v>18.815999999999999</v>
      </c>
      <c r="W42" s="319">
        <f>2.352*0.6</f>
        <v>1.4111999999999998</v>
      </c>
      <c r="X42" s="319">
        <f>6.72*3</f>
        <v>20.16</v>
      </c>
      <c r="Y42" s="319">
        <f>17.674</f>
        <v>17.673999999999999</v>
      </c>
      <c r="Z42" s="319">
        <v>2.8220000000000001</v>
      </c>
      <c r="AA42" s="319">
        <f>8.4*0.9</f>
        <v>7.5600000000000005</v>
      </c>
      <c r="AB42" s="319">
        <f>2.352*3</f>
        <v>7.0559999999999992</v>
      </c>
      <c r="AC42" s="245">
        <f>23.52*2</f>
        <v>47.04</v>
      </c>
      <c r="AD42" s="319">
        <f>3.36*5</f>
        <v>16.8</v>
      </c>
      <c r="AE42" s="319">
        <f>17.674*1.3</f>
        <v>22.976199999999999</v>
      </c>
      <c r="AF42" s="245">
        <f>8.837*0.6</f>
        <v>5.3022</v>
      </c>
      <c r="AG42" s="319">
        <v>6.048</v>
      </c>
      <c r="AH42" s="319"/>
      <c r="AI42" s="319"/>
      <c r="AJ42" s="319">
        <f>7.056*1.4</f>
        <v>9.8783999999999992</v>
      </c>
      <c r="AK42" s="319">
        <v>1.008</v>
      </c>
      <c r="AL42" s="319"/>
      <c r="AM42" s="319">
        <f>11.76*3</f>
        <v>35.28</v>
      </c>
      <c r="AN42" s="319">
        <v>5.04</v>
      </c>
      <c r="AO42" s="319">
        <v>3.36</v>
      </c>
      <c r="AP42" s="319"/>
      <c r="AQ42" s="319">
        <v>0.04</v>
      </c>
      <c r="AR42" s="319"/>
      <c r="AS42" s="319">
        <v>1.2999999999999999E-2</v>
      </c>
      <c r="AT42" s="319"/>
      <c r="AU42" s="319"/>
      <c r="AV42" s="319"/>
      <c r="AW42" s="319"/>
      <c r="AX42" s="319">
        <f>23.52*5</f>
        <v>117.6</v>
      </c>
      <c r="AY42" s="319">
        <f>5.544</f>
        <v>5.5439999999999996</v>
      </c>
      <c r="AZ42" s="319">
        <v>14.112</v>
      </c>
      <c r="BA42" s="319">
        <f>8.4</f>
        <v>8.4</v>
      </c>
      <c r="BB42" s="245">
        <f>17.674*1.5</f>
        <v>26.510999999999999</v>
      </c>
      <c r="BC42" s="319">
        <f>3.629/1.2*0.3</f>
        <v>0.90725</v>
      </c>
      <c r="BD42" s="319">
        <f>0.403/0.3*0.1</f>
        <v>0.13433333333333336</v>
      </c>
      <c r="BE42" s="319">
        <v>0.30199999999999999</v>
      </c>
      <c r="BF42" s="319"/>
      <c r="BG42" s="319"/>
      <c r="BH42" s="319"/>
      <c r="BI42" s="319">
        <v>17.673999999999999</v>
      </c>
      <c r="BJ42" s="177">
        <f>28.654/8*1.8</f>
        <v>6.4471499999999997</v>
      </c>
      <c r="BK42" s="271">
        <f>28.654/8*1.5</f>
        <v>5.3726250000000002</v>
      </c>
      <c r="BL42" s="319"/>
      <c r="BM42" s="245">
        <f>8.837*0.6</f>
        <v>5.3022</v>
      </c>
      <c r="BN42" s="319"/>
      <c r="BO42" s="245"/>
      <c r="BP42" s="177">
        <f>28.654/8*4.7</f>
        <v>16.834225</v>
      </c>
      <c r="BQ42" s="245"/>
      <c r="BR42" s="177">
        <f>4.234/0.9*0.8</f>
        <v>3.7635555555555555</v>
      </c>
      <c r="BS42" s="177"/>
      <c r="BT42" s="319"/>
      <c r="BU42" s="319"/>
      <c r="BV42" s="319">
        <v>4.4349999999999996</v>
      </c>
      <c r="BW42" s="319">
        <f>11.76*3</f>
        <v>35.28</v>
      </c>
      <c r="BX42" s="319">
        <v>8.0640000000000001</v>
      </c>
      <c r="BY42" s="319">
        <f>2.352*3.8</f>
        <v>8.9375999999999998</v>
      </c>
      <c r="BZ42" s="319">
        <f>17.674*0.5</f>
        <v>8.8369999999999997</v>
      </c>
      <c r="CA42" s="158">
        <f t="shared" si="12"/>
        <v>851.00173888888833</v>
      </c>
      <c r="CB42" s="112"/>
      <c r="CC42" s="319">
        <f>23.52*2.4</f>
        <v>56.448</v>
      </c>
      <c r="CD42" s="319"/>
      <c r="CE42" s="319">
        <f>2.352*0.6</f>
        <v>1.4111999999999998</v>
      </c>
      <c r="CF42" s="319">
        <f>7.056*1.8</f>
        <v>12.700800000000001</v>
      </c>
      <c r="CG42" s="319">
        <f>11.76*1.3</f>
        <v>15.288</v>
      </c>
      <c r="CH42" s="319">
        <v>17.673999999999999</v>
      </c>
      <c r="CI42" s="319">
        <f>8.4*0.9</f>
        <v>7.5600000000000005</v>
      </c>
      <c r="CJ42" s="319">
        <f>17.674*1.3</f>
        <v>22.976199999999999</v>
      </c>
      <c r="CK42" s="245">
        <f>23.52*5</f>
        <v>117.6</v>
      </c>
      <c r="CL42" s="319">
        <f>2.651/0.3*0.2</f>
        <v>1.7673333333333332</v>
      </c>
      <c r="CM42" s="319">
        <f>11.76*5</f>
        <v>58.8</v>
      </c>
      <c r="CN42" s="319">
        <v>14.112</v>
      </c>
      <c r="CO42" s="319">
        <f>2.352*6</f>
        <v>14.111999999999998</v>
      </c>
      <c r="CP42" s="319">
        <f>10.604/1.2*0.6</f>
        <v>5.3019999999999996</v>
      </c>
      <c r="CQ42" s="319">
        <f>17.674*2</f>
        <v>35.347999999999999</v>
      </c>
      <c r="CR42" s="319"/>
      <c r="CS42" s="319">
        <f>8.064*5</f>
        <v>40.32</v>
      </c>
      <c r="CT42" s="245"/>
      <c r="CU42" s="319">
        <f>8.4*1.5</f>
        <v>12.600000000000001</v>
      </c>
      <c r="CV42" s="319">
        <f>23.52*4</f>
        <v>94.08</v>
      </c>
      <c r="CW42" s="319">
        <f>5.544</f>
        <v>5.5439999999999996</v>
      </c>
      <c r="CX42" s="319"/>
      <c r="CY42" s="245">
        <f>26.51/1.5*0.5</f>
        <v>8.8366666666666678</v>
      </c>
      <c r="CZ42" s="245">
        <f>17.674*1.5</f>
        <v>26.510999999999999</v>
      </c>
      <c r="DA42" s="319">
        <f>8.837*2</f>
        <v>17.673999999999999</v>
      </c>
      <c r="DB42" s="319"/>
      <c r="DC42" s="319">
        <f>14.112/3*3.5</f>
        <v>16.463999999999999</v>
      </c>
      <c r="DD42" s="319"/>
      <c r="DE42" s="319"/>
      <c r="DF42" s="319">
        <f>2.52*1.5</f>
        <v>3.7800000000000002</v>
      </c>
      <c r="DG42" s="245"/>
      <c r="DH42" s="319">
        <v>2.218</v>
      </c>
      <c r="DI42" s="319"/>
      <c r="DJ42" s="245">
        <v>50.4</v>
      </c>
      <c r="DK42" s="319">
        <f>2.352*5</f>
        <v>11.76</v>
      </c>
      <c r="DL42" s="319"/>
      <c r="DM42" s="319">
        <f>2.352*7</f>
        <v>16.463999999999999</v>
      </c>
      <c r="DN42" s="319"/>
      <c r="DO42" s="319"/>
      <c r="DP42" s="319">
        <f>6.72*1.5</f>
        <v>10.08</v>
      </c>
      <c r="DQ42" s="319">
        <f>7.056*1.7</f>
        <v>11.995200000000001</v>
      </c>
      <c r="DR42" s="319">
        <f>8.837*0.3</f>
        <v>2.6511</v>
      </c>
      <c r="DS42" s="319"/>
      <c r="DT42" s="319"/>
      <c r="DU42" s="419">
        <f t="shared" si="22"/>
        <v>712.47749999999996</v>
      </c>
      <c r="DV42" s="57"/>
      <c r="DW42" s="319">
        <f>23.52*2.4</f>
        <v>56.448</v>
      </c>
      <c r="DX42" s="319">
        <f>17.674*1.3</f>
        <v>22.976199999999999</v>
      </c>
      <c r="DY42" s="319">
        <f>6.72*1.5</f>
        <v>10.08</v>
      </c>
      <c r="DZ42" s="319">
        <v>17.673999999999999</v>
      </c>
      <c r="EA42" s="319">
        <f>23.52*5</f>
        <v>117.6</v>
      </c>
      <c r="EB42" s="319"/>
      <c r="EC42" s="319">
        <f>17.674*2</f>
        <v>35.347999999999999</v>
      </c>
      <c r="ED42" s="319"/>
      <c r="EE42" s="319"/>
      <c r="EF42" s="319"/>
      <c r="EG42" s="319"/>
      <c r="EH42" s="319"/>
      <c r="EI42" s="319"/>
      <c r="EJ42" s="319"/>
      <c r="EK42" s="319"/>
      <c r="EL42" s="319"/>
      <c r="EM42" s="319"/>
      <c r="EN42" s="319"/>
      <c r="EO42" s="319"/>
      <c r="EP42" s="319"/>
      <c r="EQ42" s="319"/>
      <c r="ER42" s="319"/>
      <c r="ES42" s="319"/>
      <c r="ET42" s="319"/>
      <c r="EU42" s="319"/>
      <c r="EV42" s="319"/>
      <c r="EW42" s="319"/>
      <c r="EX42" s="319"/>
      <c r="EY42" s="319"/>
      <c r="EZ42" s="319"/>
      <c r="FA42" s="319"/>
      <c r="FB42" s="319"/>
      <c r="FC42" s="319"/>
      <c r="FD42" s="319"/>
      <c r="FE42" s="319"/>
      <c r="FF42" s="319"/>
      <c r="FG42" s="319"/>
      <c r="FH42" s="319"/>
      <c r="FI42" s="319"/>
      <c r="FJ42" s="319"/>
      <c r="FK42" s="319"/>
      <c r="FL42" s="319"/>
      <c r="FM42" s="319"/>
      <c r="FN42" s="319"/>
      <c r="FO42" s="319"/>
      <c r="FP42" s="319"/>
      <c r="FQ42" s="319"/>
      <c r="FR42" s="319"/>
      <c r="FS42" s="319"/>
      <c r="FT42" s="319"/>
      <c r="FU42" s="319"/>
      <c r="FV42" s="319"/>
      <c r="FW42" s="319"/>
      <c r="FX42" s="319"/>
      <c r="FY42" s="319"/>
      <c r="FZ42" s="319"/>
      <c r="GA42" s="158">
        <f t="shared" si="23"/>
        <v>260.12619999999998</v>
      </c>
      <c r="GB42" s="113"/>
      <c r="GC42" s="374"/>
      <c r="GD42" s="319">
        <f>6.72*0.9</f>
        <v>6.048</v>
      </c>
      <c r="GE42" s="319">
        <f>4.704*0.9</f>
        <v>4.2336</v>
      </c>
      <c r="GF42" s="319"/>
      <c r="GG42" s="319">
        <f>8.837*1.2</f>
        <v>10.6044</v>
      </c>
      <c r="GH42" s="319">
        <f>11.76*3</f>
        <v>35.28</v>
      </c>
      <c r="GI42" s="271"/>
      <c r="GJ42" s="271"/>
      <c r="GK42" s="271"/>
      <c r="GL42" s="271"/>
      <c r="GM42" s="272"/>
      <c r="GN42" s="435"/>
      <c r="GO42" s="327">
        <f t="shared" si="24"/>
        <v>56.166000000000004</v>
      </c>
      <c r="GP42" s="445">
        <f t="shared" si="25"/>
        <v>1282.097</v>
      </c>
      <c r="GQ42" s="605">
        <f t="shared" si="26"/>
        <v>1338.2629999999999</v>
      </c>
      <c r="GR42" s="627">
        <f t="shared" si="27"/>
        <v>910.76300000000003</v>
      </c>
      <c r="GS42" s="239">
        <f t="shared" si="28"/>
        <v>712.48</v>
      </c>
      <c r="GT42" s="36" t="str">
        <f t="shared" si="29"/>
        <v>Биоплекс марганец</v>
      </c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</row>
    <row r="43" spans="1:215" ht="15" customHeight="1" x14ac:dyDescent="0.3">
      <c r="A43" s="1129">
        <f t="shared" si="21"/>
        <v>33</v>
      </c>
      <c r="B43" s="691" t="s">
        <v>110</v>
      </c>
      <c r="C43" s="565">
        <f>'1_квартал'!G42</f>
        <v>756.803</v>
      </c>
      <c r="D43" s="346">
        <f>625.537+55.903</f>
        <v>681.44</v>
      </c>
      <c r="E43" s="1300">
        <f>374.463+183.947</f>
        <v>558.41000000000008</v>
      </c>
      <c r="F43" s="572"/>
      <c r="G43" s="878">
        <f t="shared" si="9"/>
        <v>619.92499999999995</v>
      </c>
      <c r="H43" s="93">
        <f>816.053+1000</f>
        <v>1816.0529999999999</v>
      </c>
      <c r="I43" s="93">
        <f>603.873+1000</f>
        <v>1603.873</v>
      </c>
      <c r="J43" s="112"/>
      <c r="K43" s="245">
        <f>20.16*3</f>
        <v>60.480000000000004</v>
      </c>
      <c r="L43" s="245"/>
      <c r="M43" s="319"/>
      <c r="N43" s="319"/>
      <c r="O43" s="319">
        <f>2.419*2.7</f>
        <v>6.5313000000000008</v>
      </c>
      <c r="P43" s="319">
        <f>20.16*2.4</f>
        <v>48.384</v>
      </c>
      <c r="Q43" s="319">
        <f>2.419*0.6</f>
        <v>1.4514</v>
      </c>
      <c r="R43" s="319">
        <v>100.8</v>
      </c>
      <c r="S43" s="319">
        <f>2.419*7.5</f>
        <v>18.142500000000002</v>
      </c>
      <c r="T43" s="319">
        <f>4.838*3.5</f>
        <v>16.933</v>
      </c>
      <c r="U43" s="319">
        <f>12.751*0.6</f>
        <v>7.650599999999999</v>
      </c>
      <c r="V43" s="319">
        <f>10.08*1.6</f>
        <v>16.128</v>
      </c>
      <c r="W43" s="319">
        <f>2.419*0.6</f>
        <v>1.4514</v>
      </c>
      <c r="X43" s="319">
        <f>4.838*3</f>
        <v>14.513999999999999</v>
      </c>
      <c r="Y43" s="319">
        <f>12.751</f>
        <v>12.750999999999999</v>
      </c>
      <c r="Z43" s="319">
        <v>2.419</v>
      </c>
      <c r="AA43" s="319">
        <f>3.528*0.9</f>
        <v>3.1752000000000002</v>
      </c>
      <c r="AB43" s="319">
        <f>2.419*3</f>
        <v>7.2569999999999997</v>
      </c>
      <c r="AC43" s="245">
        <f>20.16*2</f>
        <v>40.32</v>
      </c>
      <c r="AD43" s="319">
        <f>5.04*5</f>
        <v>25.2</v>
      </c>
      <c r="AE43" s="319">
        <f>12.751*1.3</f>
        <v>16.5763</v>
      </c>
      <c r="AF43" s="245">
        <f>6.376*0.6</f>
        <v>3.8256000000000001</v>
      </c>
      <c r="AG43" s="319">
        <v>4.3550000000000004</v>
      </c>
      <c r="AH43" s="319"/>
      <c r="AI43" s="319"/>
      <c r="AJ43" s="319">
        <f>6.048*1.4</f>
        <v>8.4672000000000001</v>
      </c>
      <c r="AK43" s="319"/>
      <c r="AL43" s="319"/>
      <c r="AM43" s="319">
        <f>10.08*3</f>
        <v>30.240000000000002</v>
      </c>
      <c r="AN43" s="319">
        <v>7.56</v>
      </c>
      <c r="AO43" s="319">
        <v>2.419</v>
      </c>
      <c r="AP43" s="319"/>
      <c r="AQ43" s="319">
        <v>4.8000000000000001E-2</v>
      </c>
      <c r="AR43" s="319"/>
      <c r="AS43" s="319">
        <v>0.02</v>
      </c>
      <c r="AT43" s="319"/>
      <c r="AU43" s="319"/>
      <c r="AV43" s="319"/>
      <c r="AW43" s="319"/>
      <c r="AX43" s="319">
        <f>20.16*5</f>
        <v>100.8</v>
      </c>
      <c r="AY43" s="319">
        <f>3.024</f>
        <v>3.024</v>
      </c>
      <c r="AZ43" s="319">
        <v>12.096</v>
      </c>
      <c r="BA43" s="319">
        <f>3.528</f>
        <v>3.528</v>
      </c>
      <c r="BB43" s="245">
        <f>12.751*1.5</f>
        <v>19.1265</v>
      </c>
      <c r="BC43" s="319">
        <f>5.443/1.2*0.3</f>
        <v>1.3607500000000001</v>
      </c>
      <c r="BD43" s="319">
        <f>0.242/0.3*0.1</f>
        <v>8.0666666666666664E-2</v>
      </c>
      <c r="BE43" s="319">
        <v>0.45400000000000001</v>
      </c>
      <c r="BF43" s="319"/>
      <c r="BG43" s="319"/>
      <c r="BH43" s="319"/>
      <c r="BI43" s="319">
        <v>12.750999999999999</v>
      </c>
      <c r="BJ43" s="177">
        <f>8.064/8*1.8</f>
        <v>1.8144</v>
      </c>
      <c r="BK43" s="271">
        <f>8.064/8*1.5</f>
        <v>1.512</v>
      </c>
      <c r="BL43" s="319"/>
      <c r="BM43" s="245">
        <f>6.376*0.6</f>
        <v>3.8256000000000001</v>
      </c>
      <c r="BN43" s="319">
        <f>0.504*0.6</f>
        <v>0.3024</v>
      </c>
      <c r="BO43" s="245"/>
      <c r="BP43" s="177">
        <f>8.064/8*4.7</f>
        <v>4.7376000000000005</v>
      </c>
      <c r="BQ43" s="245"/>
      <c r="BR43" s="177">
        <f>1.814/0.9*0.8</f>
        <v>1.6124444444444448</v>
      </c>
      <c r="BS43" s="177"/>
      <c r="BT43" s="319"/>
      <c r="BU43" s="319"/>
      <c r="BV43" s="319">
        <v>6.6529999999999996</v>
      </c>
      <c r="BW43" s="319">
        <f>10.08*3</f>
        <v>30.240000000000002</v>
      </c>
      <c r="BX43" s="319">
        <v>4.8380000000000001</v>
      </c>
      <c r="BY43" s="319">
        <f>2.419*3.8</f>
        <v>9.1921999999999997</v>
      </c>
      <c r="BZ43" s="319">
        <f>12.751*0.5</f>
        <v>6.3754999999999997</v>
      </c>
      <c r="CA43" s="158">
        <f t="shared" si="12"/>
        <v>681.42356111111098</v>
      </c>
      <c r="CB43" s="112"/>
      <c r="CC43" s="319">
        <f>20.16*2.4</f>
        <v>48.384</v>
      </c>
      <c r="CD43" s="319"/>
      <c r="CE43" s="319">
        <f>2.419*0.6</f>
        <v>1.4514</v>
      </c>
      <c r="CF43" s="319">
        <f>6.048*1.8</f>
        <v>10.8864</v>
      </c>
      <c r="CG43" s="319">
        <f>10.08*1.3</f>
        <v>13.104000000000001</v>
      </c>
      <c r="CH43" s="319">
        <v>12.750999999999999</v>
      </c>
      <c r="CI43" s="319">
        <f>3.528*0.9</f>
        <v>3.1752000000000002</v>
      </c>
      <c r="CJ43" s="319">
        <f>12.751*1.3</f>
        <v>16.5763</v>
      </c>
      <c r="CK43" s="245">
        <f>20.16*5</f>
        <v>100.8</v>
      </c>
      <c r="CL43" s="319">
        <f>1.913/0.3*0.2</f>
        <v>1.2753333333333334</v>
      </c>
      <c r="CM43" s="319">
        <f>10.08*5</f>
        <v>50.4</v>
      </c>
      <c r="CN43" s="319">
        <v>6.048</v>
      </c>
      <c r="CO43" s="319">
        <f>2.419*6</f>
        <v>14.513999999999999</v>
      </c>
      <c r="CP43" s="319">
        <f>7.651/1.2*0.6</f>
        <v>3.8254999999999999</v>
      </c>
      <c r="CQ43" s="319">
        <f>12.751*2</f>
        <v>25.501999999999999</v>
      </c>
      <c r="CR43" s="319"/>
      <c r="CS43" s="319"/>
      <c r="CT43" s="245"/>
      <c r="CU43" s="319">
        <f>3.528*1.5</f>
        <v>5.2919999999999998</v>
      </c>
      <c r="CV43" s="319">
        <f>20.16*4</f>
        <v>80.64</v>
      </c>
      <c r="CW43" s="319">
        <f>3.024</f>
        <v>3.024</v>
      </c>
      <c r="CX43" s="319"/>
      <c r="CY43" s="245">
        <f>19.127/1.5*0.5</f>
        <v>6.3756666666666666</v>
      </c>
      <c r="CZ43" s="245">
        <f>12.751*1.5</f>
        <v>19.1265</v>
      </c>
      <c r="DA43" s="319">
        <v>12.750999999999999</v>
      </c>
      <c r="DB43" s="319"/>
      <c r="DC43" s="319">
        <f>12.096/3*3.5</f>
        <v>14.112</v>
      </c>
      <c r="DD43" s="319"/>
      <c r="DE43" s="319"/>
      <c r="DF43" s="319">
        <f>3.78*1.5</f>
        <v>5.67</v>
      </c>
      <c r="DG43" s="245"/>
      <c r="DH43" s="319">
        <v>3.3260000000000001</v>
      </c>
      <c r="DI43" s="319"/>
      <c r="DJ43" s="245">
        <v>50.4</v>
      </c>
      <c r="DK43" s="319">
        <f>2.419*5</f>
        <v>12.095000000000001</v>
      </c>
      <c r="DL43" s="319">
        <v>0.504</v>
      </c>
      <c r="DM43" s="319">
        <f>2.419*7</f>
        <v>16.933</v>
      </c>
      <c r="DN43" s="319"/>
      <c r="DO43" s="319"/>
      <c r="DP43" s="319">
        <f>4.838*1.5</f>
        <v>7.2569999999999997</v>
      </c>
      <c r="DQ43" s="319">
        <f>6.048*1.7</f>
        <v>10.281599999999999</v>
      </c>
      <c r="DR43" s="319">
        <f>6.376*0.3</f>
        <v>1.9128000000000001</v>
      </c>
      <c r="DS43" s="319"/>
      <c r="DT43" s="319"/>
      <c r="DU43" s="419">
        <f t="shared" si="22"/>
        <v>558.39369999999997</v>
      </c>
      <c r="DV43" s="57"/>
      <c r="DW43" s="319">
        <f>20.16*2.4</f>
        <v>48.384</v>
      </c>
      <c r="DX43" s="319">
        <f>12.751*1.3</f>
        <v>16.5763</v>
      </c>
      <c r="DY43" s="319">
        <f>4.838*1.5</f>
        <v>7.2569999999999997</v>
      </c>
      <c r="DZ43" s="319">
        <v>12.750999999999999</v>
      </c>
      <c r="EA43" s="319">
        <f>20.16*5</f>
        <v>100.8</v>
      </c>
      <c r="EB43" s="319"/>
      <c r="EC43" s="319">
        <f>12.751*2</f>
        <v>25.501999999999999</v>
      </c>
      <c r="ED43" s="319"/>
      <c r="EE43" s="319">
        <f>0.504*1.8</f>
        <v>0.90720000000000001</v>
      </c>
      <c r="EF43" s="319"/>
      <c r="EG43" s="319"/>
      <c r="EH43" s="319"/>
      <c r="EI43" s="319"/>
      <c r="EJ43" s="319"/>
      <c r="EK43" s="319"/>
      <c r="EL43" s="319"/>
      <c r="EM43" s="319"/>
      <c r="EN43" s="319"/>
      <c r="EO43" s="319"/>
      <c r="EP43" s="319"/>
      <c r="EQ43" s="319"/>
      <c r="ER43" s="319"/>
      <c r="ES43" s="319"/>
      <c r="ET43" s="319"/>
      <c r="EU43" s="319"/>
      <c r="EV43" s="319"/>
      <c r="EW43" s="319"/>
      <c r="EX43" s="319"/>
      <c r="EY43" s="319"/>
      <c r="EZ43" s="319"/>
      <c r="FA43" s="319"/>
      <c r="FB43" s="319"/>
      <c r="FC43" s="319"/>
      <c r="FD43" s="319"/>
      <c r="FE43" s="319"/>
      <c r="FF43" s="319"/>
      <c r="FG43" s="319"/>
      <c r="FH43" s="319"/>
      <c r="FI43" s="319"/>
      <c r="FJ43" s="319"/>
      <c r="FK43" s="319"/>
      <c r="FL43" s="319"/>
      <c r="FM43" s="319"/>
      <c r="FN43" s="319"/>
      <c r="FO43" s="319"/>
      <c r="FP43" s="319"/>
      <c r="FQ43" s="319"/>
      <c r="FR43" s="319"/>
      <c r="FS43" s="319"/>
      <c r="FT43" s="319"/>
      <c r="FU43" s="319"/>
      <c r="FV43" s="319"/>
      <c r="FW43" s="319"/>
      <c r="FX43" s="319"/>
      <c r="FY43" s="319"/>
      <c r="FZ43" s="319"/>
      <c r="GA43" s="158">
        <f t="shared" si="23"/>
        <v>212.17750000000001</v>
      </c>
      <c r="GB43" s="113"/>
      <c r="GC43" s="374"/>
      <c r="GD43" s="319">
        <f>4.838*0.9</f>
        <v>4.3542000000000005</v>
      </c>
      <c r="GE43" s="319">
        <f>4.032*0.9</f>
        <v>3.6288</v>
      </c>
      <c r="GF43" s="319"/>
      <c r="GG43" s="319">
        <f>6.376*1.2</f>
        <v>7.6512000000000002</v>
      </c>
      <c r="GH43" s="319">
        <f>10.08*3</f>
        <v>30.240000000000002</v>
      </c>
      <c r="GI43" s="271"/>
      <c r="GJ43" s="271"/>
      <c r="GK43" s="271"/>
      <c r="GL43" s="271"/>
      <c r="GM43" s="272"/>
      <c r="GN43" s="435"/>
      <c r="GO43" s="327">
        <f t="shared" si="24"/>
        <v>45.874200000000002</v>
      </c>
      <c r="GP43" s="445">
        <f t="shared" si="25"/>
        <v>1557.9988000000001</v>
      </c>
      <c r="GQ43" s="605">
        <f t="shared" si="26"/>
        <v>1603.873</v>
      </c>
      <c r="GR43" s="627">
        <f t="shared" si="27"/>
        <v>756.803</v>
      </c>
      <c r="GS43" s="239">
        <f t="shared" si="28"/>
        <v>558.41000000000008</v>
      </c>
      <c r="GT43" s="36" t="str">
        <f t="shared" si="29"/>
        <v>Биоплекс медь</v>
      </c>
      <c r="GU43" s="175"/>
      <c r="GV43" s="175"/>
      <c r="GW43" s="175"/>
      <c r="GX43" s="175"/>
      <c r="GY43" s="175"/>
      <c r="GZ43" s="175"/>
      <c r="HA43" s="175"/>
      <c r="HB43" s="175"/>
      <c r="HC43" s="175"/>
      <c r="HD43" s="175"/>
      <c r="HE43" s="14"/>
      <c r="HF43" s="14"/>
      <c r="HG43" s="14"/>
    </row>
    <row r="44" spans="1:215" ht="15" customHeight="1" x14ac:dyDescent="0.3">
      <c r="A44" s="1130">
        <f t="shared" si="21"/>
        <v>34</v>
      </c>
      <c r="B44" s="691" t="s">
        <v>100</v>
      </c>
      <c r="C44" s="565">
        <f>'1_квартал'!G43</f>
        <v>1571.2329999999999</v>
      </c>
      <c r="D44" s="346">
        <f>811.823+594.057</f>
        <v>1405.88</v>
      </c>
      <c r="E44" s="1300">
        <f>1238.18</f>
        <v>1238.18</v>
      </c>
      <c r="F44" s="572"/>
      <c r="G44" s="878">
        <f t="shared" si="9"/>
        <v>1322.03</v>
      </c>
      <c r="H44" s="93">
        <f>916.763+250+999</f>
        <v>2165.7629999999999</v>
      </c>
      <c r="I44" s="93">
        <f>517.003+250+999</f>
        <v>1766.0030000000002</v>
      </c>
      <c r="J44" s="94"/>
      <c r="K44" s="245">
        <f>43.68*3</f>
        <v>131.04</v>
      </c>
      <c r="L44" s="245"/>
      <c r="M44" s="319"/>
      <c r="N44" s="319">
        <f>14.112*5</f>
        <v>70.56</v>
      </c>
      <c r="O44" s="319">
        <f>4.704*2.7</f>
        <v>12.700800000000001</v>
      </c>
      <c r="P44" s="319">
        <f>43.68*2.4</f>
        <v>104.83199999999999</v>
      </c>
      <c r="Q44" s="319">
        <f>2.822*0.6</f>
        <v>1.6932</v>
      </c>
      <c r="R44" s="319">
        <v>134.4</v>
      </c>
      <c r="S44" s="319">
        <f>4.704*7.5</f>
        <v>35.28</v>
      </c>
      <c r="T44" s="319">
        <f>5.376*3.5</f>
        <v>18.816000000000003</v>
      </c>
      <c r="U44" s="319">
        <f>14.515*0.6</f>
        <v>8.7089999999999996</v>
      </c>
      <c r="V44" s="319">
        <f>21.84*1.6</f>
        <v>34.944000000000003</v>
      </c>
      <c r="W44" s="319">
        <f>4.704*0.6</f>
        <v>2.8223999999999996</v>
      </c>
      <c r="X44" s="319">
        <f>5.376*3</f>
        <v>16.128</v>
      </c>
      <c r="Y44" s="319">
        <f>14.515</f>
        <v>14.515000000000001</v>
      </c>
      <c r="Z44" s="319">
        <v>4.8380000000000001</v>
      </c>
      <c r="AA44" s="319">
        <f>8.4*0.9</f>
        <v>7.5600000000000005</v>
      </c>
      <c r="AB44" s="319">
        <f>4.704*3</f>
        <v>14.111999999999998</v>
      </c>
      <c r="AC44" s="245">
        <f>43.68*2</f>
        <v>87.36</v>
      </c>
      <c r="AD44" s="319">
        <f>5.04*5</f>
        <v>25.2</v>
      </c>
      <c r="AE44" s="319">
        <f>14.515*1.3</f>
        <v>18.869500000000002</v>
      </c>
      <c r="AF44" s="245">
        <f>7.258*0.6</f>
        <v>4.3548</v>
      </c>
      <c r="AG44" s="319">
        <v>4.8380000000000001</v>
      </c>
      <c r="AH44" s="319">
        <f>7.728*2</f>
        <v>15.456</v>
      </c>
      <c r="AI44" s="319">
        <f>7.728*8</f>
        <v>61.823999999999998</v>
      </c>
      <c r="AJ44" s="319">
        <f>13.104*1.4</f>
        <v>18.345599999999997</v>
      </c>
      <c r="AK44" s="319">
        <v>6.048</v>
      </c>
      <c r="AL44" s="319"/>
      <c r="AM44" s="319">
        <f>21.84*3</f>
        <v>65.52</v>
      </c>
      <c r="AN44" s="319">
        <v>10.08</v>
      </c>
      <c r="AO44" s="319">
        <v>2.8220000000000001</v>
      </c>
      <c r="AP44" s="319"/>
      <c r="AQ44" s="319"/>
      <c r="AR44" s="319">
        <v>1.21</v>
      </c>
      <c r="AS44" s="319">
        <v>8.0000000000000002E-3</v>
      </c>
      <c r="AT44" s="319"/>
      <c r="AU44" s="319"/>
      <c r="AV44" s="319"/>
      <c r="AW44" s="319"/>
      <c r="AX44" s="319">
        <f>43.68*5</f>
        <v>218.4</v>
      </c>
      <c r="AY44" s="319">
        <f>7.056</f>
        <v>7.056</v>
      </c>
      <c r="AZ44" s="319">
        <v>24.192</v>
      </c>
      <c r="BA44" s="319">
        <f>8.4</f>
        <v>8.4</v>
      </c>
      <c r="BB44" s="245">
        <f>14.515*1.5</f>
        <v>21.772500000000001</v>
      </c>
      <c r="BC44" s="319">
        <f>7.258/1.2*0.3</f>
        <v>1.8145</v>
      </c>
      <c r="BD44" s="319">
        <f>0.403/0.3*0.1</f>
        <v>0.13433333333333336</v>
      </c>
      <c r="BE44" s="319">
        <v>0.60499999999999998</v>
      </c>
      <c r="BF44" s="319">
        <f>1.21/0.6*0.7</f>
        <v>1.4116666666666666</v>
      </c>
      <c r="BG44" s="319"/>
      <c r="BH44" s="319"/>
      <c r="BI44" s="319">
        <v>14.515000000000001</v>
      </c>
      <c r="BJ44" s="177">
        <f>53.76/8*1.8</f>
        <v>12.096</v>
      </c>
      <c r="BK44" s="271">
        <f>53.76/8*1.5</f>
        <v>10.08</v>
      </c>
      <c r="BL44" s="319">
        <v>1.21</v>
      </c>
      <c r="BM44" s="245">
        <f>7.258*0.6</f>
        <v>4.3548</v>
      </c>
      <c r="BN44" s="319">
        <f>3.36*0.6</f>
        <v>2.016</v>
      </c>
      <c r="BO44" s="245"/>
      <c r="BP44" s="177">
        <f>53.76/8*4.7</f>
        <v>31.584</v>
      </c>
      <c r="BQ44" s="245"/>
      <c r="BR44" s="177">
        <f>4.234/0.9*0.8</f>
        <v>3.7635555555555555</v>
      </c>
      <c r="BS44" s="177"/>
      <c r="BT44" s="319"/>
      <c r="BU44" s="319"/>
      <c r="BV44" s="319">
        <v>8.8699999999999992</v>
      </c>
      <c r="BW44" s="319">
        <f>21.84*3</f>
        <v>65.52</v>
      </c>
      <c r="BX44" s="319">
        <v>8.0640000000000001</v>
      </c>
      <c r="BY44" s="319">
        <f>4.704*3.8</f>
        <v>17.8752</v>
      </c>
      <c r="BZ44" s="319">
        <f>14.515*0.5</f>
        <v>7.2575000000000003</v>
      </c>
      <c r="CA44" s="158">
        <f t="shared" si="12"/>
        <v>1405.8783555555558</v>
      </c>
      <c r="CB44" s="94"/>
      <c r="CC44" s="319">
        <f>43.68*2.4</f>
        <v>104.83199999999999</v>
      </c>
      <c r="CD44" s="319"/>
      <c r="CE44" s="319">
        <f>4.704*0.6</f>
        <v>2.8223999999999996</v>
      </c>
      <c r="CF44" s="319">
        <f>13.104*1.8</f>
        <v>23.587199999999999</v>
      </c>
      <c r="CG44" s="319">
        <f>21.84*1.3</f>
        <v>28.391999999999999</v>
      </c>
      <c r="CH44" s="319">
        <v>14.515000000000001</v>
      </c>
      <c r="CI44" s="319">
        <f>8.4*0.9</f>
        <v>7.5600000000000005</v>
      </c>
      <c r="CJ44" s="319">
        <f>14.515*1.3</f>
        <v>18.869500000000002</v>
      </c>
      <c r="CK44" s="245">
        <f>43.68*5</f>
        <v>218.4</v>
      </c>
      <c r="CL44" s="319">
        <f>2.177/0.3*0.2</f>
        <v>1.4513333333333334</v>
      </c>
      <c r="CM44" s="319">
        <f>21.84*5</f>
        <v>109.2</v>
      </c>
      <c r="CN44" s="319">
        <v>14.112</v>
      </c>
      <c r="CO44" s="319">
        <f>4.704*6</f>
        <v>28.223999999999997</v>
      </c>
      <c r="CP44" s="319">
        <f>8.709/1.2*0.6</f>
        <v>4.3544999999999998</v>
      </c>
      <c r="CQ44" s="319">
        <f>14.515*2</f>
        <v>29.03</v>
      </c>
      <c r="CR44" s="319">
        <v>1.21</v>
      </c>
      <c r="CS44" s="319">
        <f>12.096*5</f>
        <v>60.480000000000004</v>
      </c>
      <c r="CT44" s="245"/>
      <c r="CU44" s="319">
        <f>8.4*1.5</f>
        <v>12.600000000000001</v>
      </c>
      <c r="CV44" s="319">
        <f>43.68*4</f>
        <v>174.72</v>
      </c>
      <c r="CW44" s="319">
        <f>7.056</f>
        <v>7.056</v>
      </c>
      <c r="CX44" s="319"/>
      <c r="CY44" s="245">
        <f>21.773/1.5*0.5</f>
        <v>7.2576666666666663</v>
      </c>
      <c r="CZ44" s="245">
        <f>14.515*1.5</f>
        <v>21.772500000000001</v>
      </c>
      <c r="DA44" s="319">
        <v>14.515000000000001</v>
      </c>
      <c r="DB44" s="319">
        <f>30.24</f>
        <v>30.24</v>
      </c>
      <c r="DC44" s="319">
        <f>24.192/3*3.5</f>
        <v>28.224</v>
      </c>
      <c r="DD44" s="319">
        <f>6.72*7</f>
        <v>47.04</v>
      </c>
      <c r="DE44" s="319">
        <f>6.72*3</f>
        <v>20.16</v>
      </c>
      <c r="DF44" s="319">
        <f>5.04*1.5</f>
        <v>7.5600000000000005</v>
      </c>
      <c r="DG44" s="245"/>
      <c r="DH44" s="319">
        <v>4.4349999999999996</v>
      </c>
      <c r="DI44" s="319"/>
      <c r="DJ44" s="245">
        <v>67.2</v>
      </c>
      <c r="DK44" s="319">
        <f>4.704*5</f>
        <v>23.52</v>
      </c>
      <c r="DL44" s="319">
        <v>3.36</v>
      </c>
      <c r="DM44" s="319">
        <f>4.704*7</f>
        <v>32.927999999999997</v>
      </c>
      <c r="DN44" s="319"/>
      <c r="DO44" s="319">
        <f>2.016*1.2</f>
        <v>2.4192</v>
      </c>
      <c r="DP44" s="319">
        <f>5.376*1.5</f>
        <v>8.0640000000000001</v>
      </c>
      <c r="DQ44" s="319">
        <f>13.104*1.7</f>
        <v>22.276799999999998</v>
      </c>
      <c r="DR44" s="319">
        <f>7.258*0.3</f>
        <v>2.1774</v>
      </c>
      <c r="DS44" s="319"/>
      <c r="DT44" s="319">
        <f>6.72*5</f>
        <v>33.6</v>
      </c>
      <c r="DU44" s="419">
        <f t="shared" si="22"/>
        <v>1238.1655000000001</v>
      </c>
      <c r="DV44" s="57"/>
      <c r="DW44" s="319">
        <f>43.68*2.4</f>
        <v>104.83199999999999</v>
      </c>
      <c r="DX44" s="319">
        <f>14.515*1.3</f>
        <v>18.869500000000002</v>
      </c>
      <c r="DY44" s="319">
        <f>5.376*1.5</f>
        <v>8.0640000000000001</v>
      </c>
      <c r="DZ44" s="319">
        <v>14.515000000000001</v>
      </c>
      <c r="EA44" s="319">
        <f>43.68*5</f>
        <v>218.4</v>
      </c>
      <c r="EB44" s="319"/>
      <c r="EC44" s="319">
        <f>14.515*2</f>
        <v>29.03</v>
      </c>
      <c r="ED44" s="319"/>
      <c r="EE44" s="319">
        <f>3.36*1.8</f>
        <v>6.048</v>
      </c>
      <c r="EF44" s="319"/>
      <c r="EG44" s="319"/>
      <c r="EH44" s="319"/>
      <c r="EI44" s="319"/>
      <c r="EJ44" s="319"/>
      <c r="EK44" s="319"/>
      <c r="EL44" s="319"/>
      <c r="EM44" s="319"/>
      <c r="EN44" s="319"/>
      <c r="EO44" s="319"/>
      <c r="EP44" s="319"/>
      <c r="EQ44" s="319"/>
      <c r="ER44" s="319"/>
      <c r="ES44" s="319"/>
      <c r="ET44" s="319"/>
      <c r="EU44" s="319"/>
      <c r="EV44" s="319"/>
      <c r="EW44" s="319"/>
      <c r="EX44" s="319"/>
      <c r="EY44" s="319"/>
      <c r="EZ44" s="319"/>
      <c r="FA44" s="319"/>
      <c r="FB44" s="319"/>
      <c r="FC44" s="319"/>
      <c r="FD44" s="319"/>
      <c r="FE44" s="319"/>
      <c r="FF44" s="319"/>
      <c r="FG44" s="319"/>
      <c r="FH44" s="319"/>
      <c r="FI44" s="319"/>
      <c r="FJ44" s="319"/>
      <c r="FK44" s="319"/>
      <c r="FL44" s="319"/>
      <c r="FM44" s="319"/>
      <c r="FN44" s="319"/>
      <c r="FO44" s="319"/>
      <c r="FP44" s="319"/>
      <c r="FQ44" s="319"/>
      <c r="FR44" s="319"/>
      <c r="FS44" s="319"/>
      <c r="FT44" s="319"/>
      <c r="FU44" s="319"/>
      <c r="FV44" s="319"/>
      <c r="FW44" s="319"/>
      <c r="FX44" s="319"/>
      <c r="FY44" s="319"/>
      <c r="FZ44" s="319"/>
      <c r="GA44" s="158">
        <f t="shared" si="23"/>
        <v>399.75850000000003</v>
      </c>
      <c r="GB44" s="95"/>
      <c r="GC44" s="374"/>
      <c r="GD44" s="319">
        <f>5.376*0.9</f>
        <v>4.8384</v>
      </c>
      <c r="GE44" s="319">
        <f>8.064*0.9</f>
        <v>7.2576000000000001</v>
      </c>
      <c r="GF44" s="319">
        <f>10.08*3</f>
        <v>30.240000000000002</v>
      </c>
      <c r="GG44" s="319">
        <f>7.258*1.2</f>
        <v>8.7096</v>
      </c>
      <c r="GH44" s="319">
        <f>21.84*3</f>
        <v>65.52</v>
      </c>
      <c r="GI44" s="271"/>
      <c r="GJ44" s="271"/>
      <c r="GK44" s="271"/>
      <c r="GL44" s="271"/>
      <c r="GM44" s="272"/>
      <c r="GN44" s="435"/>
      <c r="GO44" s="327">
        <f t="shared" si="24"/>
        <v>116.56559999999999</v>
      </c>
      <c r="GP44" s="445">
        <f t="shared" si="25"/>
        <v>1649.4374000000003</v>
      </c>
      <c r="GQ44" s="605">
        <f t="shared" si="26"/>
        <v>1766.0030000000002</v>
      </c>
      <c r="GR44" s="627">
        <f t="shared" si="27"/>
        <v>1571.2329999999999</v>
      </c>
      <c r="GS44" s="239">
        <f t="shared" si="28"/>
        <v>1238.18</v>
      </c>
      <c r="GT44" s="36" t="str">
        <f t="shared" si="29"/>
        <v>Биоплекс цинк</v>
      </c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</row>
    <row r="45" spans="1:215" ht="15" customHeight="1" x14ac:dyDescent="0.3">
      <c r="A45" s="1130">
        <f t="shared" si="21"/>
        <v>35</v>
      </c>
      <c r="B45" s="696" t="s">
        <v>146</v>
      </c>
      <c r="C45" s="565">
        <f>'1_квартал'!G44</f>
        <v>0</v>
      </c>
      <c r="D45" s="346">
        <v>0</v>
      </c>
      <c r="E45" s="1300">
        <v>0</v>
      </c>
      <c r="F45" s="572"/>
      <c r="G45" s="878">
        <f t="shared" si="9"/>
        <v>0</v>
      </c>
      <c r="H45" s="93">
        <v>0</v>
      </c>
      <c r="I45" s="93">
        <v>0</v>
      </c>
      <c r="J45" s="94"/>
      <c r="K45" s="245"/>
      <c r="L45" s="245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245"/>
      <c r="AD45" s="319"/>
      <c r="AE45" s="319"/>
      <c r="AF45" s="245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319"/>
      <c r="AY45" s="319"/>
      <c r="AZ45" s="319"/>
      <c r="BA45" s="319"/>
      <c r="BB45" s="319"/>
      <c r="BC45" s="319"/>
      <c r="BD45" s="319"/>
      <c r="BE45" s="319"/>
      <c r="BF45" s="319"/>
      <c r="BG45" s="319"/>
      <c r="BH45" s="319"/>
      <c r="BI45" s="319"/>
      <c r="BJ45" s="177"/>
      <c r="BK45" s="271"/>
      <c r="BL45" s="319"/>
      <c r="BM45" s="245"/>
      <c r="BN45" s="319"/>
      <c r="BO45" s="245"/>
      <c r="BP45" s="177"/>
      <c r="BQ45" s="245"/>
      <c r="BR45" s="177"/>
      <c r="BS45" s="177"/>
      <c r="BT45" s="319"/>
      <c r="BU45" s="319"/>
      <c r="BV45" s="319"/>
      <c r="BW45" s="319"/>
      <c r="BX45" s="319"/>
      <c r="BY45" s="319"/>
      <c r="BZ45" s="319"/>
      <c r="CA45" s="158">
        <f t="shared" si="12"/>
        <v>0</v>
      </c>
      <c r="CB45" s="94"/>
      <c r="CC45" s="319"/>
      <c r="CD45" s="319"/>
      <c r="CE45" s="319"/>
      <c r="CF45" s="319"/>
      <c r="CG45" s="319"/>
      <c r="CH45" s="319"/>
      <c r="CI45" s="319"/>
      <c r="CJ45" s="319"/>
      <c r="CK45" s="245"/>
      <c r="CL45" s="319"/>
      <c r="CM45" s="319"/>
      <c r="CN45" s="319"/>
      <c r="CO45" s="319"/>
      <c r="CP45" s="319"/>
      <c r="CQ45" s="319"/>
      <c r="CR45" s="319"/>
      <c r="CS45" s="319"/>
      <c r="CT45" s="245"/>
      <c r="CU45" s="319"/>
      <c r="CV45" s="319"/>
      <c r="CW45" s="319"/>
      <c r="CX45" s="319"/>
      <c r="CY45" s="319"/>
      <c r="CZ45" s="319"/>
      <c r="DA45" s="319"/>
      <c r="DB45" s="319"/>
      <c r="DC45" s="319"/>
      <c r="DD45" s="319"/>
      <c r="DE45" s="319"/>
      <c r="DF45" s="319"/>
      <c r="DG45" s="245"/>
      <c r="DH45" s="319"/>
      <c r="DI45" s="319"/>
      <c r="DJ45" s="245"/>
      <c r="DK45" s="319"/>
      <c r="DL45" s="319"/>
      <c r="DM45" s="319"/>
      <c r="DN45" s="319"/>
      <c r="DO45" s="319"/>
      <c r="DP45" s="319"/>
      <c r="DQ45" s="319"/>
      <c r="DR45" s="319"/>
      <c r="DS45" s="319"/>
      <c r="DT45" s="319"/>
      <c r="DU45" s="419">
        <f t="shared" si="22"/>
        <v>0</v>
      </c>
      <c r="DV45" s="57"/>
      <c r="DW45" s="319"/>
      <c r="DX45" s="319"/>
      <c r="DY45" s="319"/>
      <c r="DZ45" s="319"/>
      <c r="EA45" s="319"/>
      <c r="EB45" s="319"/>
      <c r="EC45" s="319"/>
      <c r="ED45" s="319"/>
      <c r="EE45" s="319"/>
      <c r="EF45" s="319"/>
      <c r="EG45" s="319"/>
      <c r="EH45" s="319"/>
      <c r="EI45" s="319"/>
      <c r="EJ45" s="319"/>
      <c r="EK45" s="319"/>
      <c r="EL45" s="319"/>
      <c r="EM45" s="319"/>
      <c r="EN45" s="319"/>
      <c r="EO45" s="319"/>
      <c r="EP45" s="319"/>
      <c r="EQ45" s="319"/>
      <c r="ER45" s="319"/>
      <c r="ES45" s="319"/>
      <c r="ET45" s="319"/>
      <c r="EU45" s="319"/>
      <c r="EV45" s="319"/>
      <c r="EW45" s="319"/>
      <c r="EX45" s="319"/>
      <c r="EY45" s="319"/>
      <c r="EZ45" s="319"/>
      <c r="FA45" s="319"/>
      <c r="FB45" s="319"/>
      <c r="FC45" s="319"/>
      <c r="FD45" s="319"/>
      <c r="FE45" s="319"/>
      <c r="FF45" s="319"/>
      <c r="FG45" s="319"/>
      <c r="FH45" s="319"/>
      <c r="FI45" s="319"/>
      <c r="FJ45" s="319"/>
      <c r="FK45" s="319"/>
      <c r="FL45" s="319"/>
      <c r="FM45" s="319"/>
      <c r="FN45" s="319"/>
      <c r="FO45" s="319"/>
      <c r="FP45" s="319"/>
      <c r="FQ45" s="319"/>
      <c r="FR45" s="319"/>
      <c r="FS45" s="319"/>
      <c r="FT45" s="319"/>
      <c r="FU45" s="319"/>
      <c r="FV45" s="319"/>
      <c r="FW45" s="319"/>
      <c r="FX45" s="319"/>
      <c r="FY45" s="319"/>
      <c r="FZ45" s="319"/>
      <c r="GA45" s="158">
        <f t="shared" si="23"/>
        <v>0</v>
      </c>
      <c r="GB45" s="95"/>
      <c r="GC45" s="374"/>
      <c r="GD45" s="319"/>
      <c r="GE45" s="319"/>
      <c r="GF45" s="319"/>
      <c r="GG45" s="319"/>
      <c r="GH45" s="319"/>
      <c r="GI45" s="271"/>
      <c r="GJ45" s="271"/>
      <c r="GK45" s="271"/>
      <c r="GL45" s="271"/>
      <c r="GM45" s="272"/>
      <c r="GN45" s="435"/>
      <c r="GO45" s="327">
        <f t="shared" si="24"/>
        <v>0</v>
      </c>
      <c r="GP45" s="445">
        <f t="shared" si="25"/>
        <v>0</v>
      </c>
      <c r="GQ45" s="605">
        <f t="shared" si="26"/>
        <v>0</v>
      </c>
      <c r="GR45" s="627">
        <f t="shared" si="27"/>
        <v>0</v>
      </c>
      <c r="GS45" s="239">
        <f t="shared" si="28"/>
        <v>0</v>
      </c>
      <c r="GT45" s="36" t="str">
        <f t="shared" si="29"/>
        <v>Биопромис Селен Пауэр</v>
      </c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</row>
    <row r="46" spans="1:215" ht="15" customHeight="1" x14ac:dyDescent="0.3">
      <c r="A46" s="1130">
        <f t="shared" si="21"/>
        <v>36</v>
      </c>
      <c r="B46" s="696" t="s">
        <v>121</v>
      </c>
      <c r="C46" s="565">
        <f>'1_квартал'!G45</f>
        <v>56.997</v>
      </c>
      <c r="D46" s="592">
        <v>68.81</v>
      </c>
      <c r="E46" s="1301">
        <f>0.27+10.45</f>
        <v>10.719999999999999</v>
      </c>
      <c r="F46" s="572"/>
      <c r="G46" s="878">
        <f t="shared" si="9"/>
        <v>39.765000000000001</v>
      </c>
      <c r="H46" s="93">
        <f>25+12.55</f>
        <v>37.549999999999997</v>
      </c>
      <c r="I46" s="93">
        <f>25+4.76</f>
        <v>29.759999999999998</v>
      </c>
      <c r="J46" s="110"/>
      <c r="K46" s="245"/>
      <c r="L46" s="245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/>
      <c r="AC46" s="245"/>
      <c r="AD46" s="319"/>
      <c r="AE46" s="319"/>
      <c r="AF46" s="245"/>
      <c r="AG46" s="319"/>
      <c r="AH46" s="319"/>
      <c r="AI46" s="319"/>
      <c r="AJ46" s="319"/>
      <c r="AK46" s="319"/>
      <c r="AL46" s="319"/>
      <c r="AM46" s="319"/>
      <c r="AN46" s="319"/>
      <c r="AO46" s="319"/>
      <c r="AP46" s="319"/>
      <c r="AQ46" s="319"/>
      <c r="AR46" s="319">
        <v>3.5739999999999998</v>
      </c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>
        <f>8.247/1.2*0.3</f>
        <v>2.06175</v>
      </c>
      <c r="BD46" s="319">
        <f>1.374/0.3*0.1</f>
        <v>0.45800000000000013</v>
      </c>
      <c r="BE46" s="319"/>
      <c r="BF46" s="319">
        <f>3.574/0.6*0.7</f>
        <v>4.1696666666666671</v>
      </c>
      <c r="BG46" s="319"/>
      <c r="BH46" s="319"/>
      <c r="BI46" s="319"/>
      <c r="BJ46" s="177">
        <f>54.98/8*1.8</f>
        <v>12.3705</v>
      </c>
      <c r="BK46" s="271">
        <f>54.98/8*1.5</f>
        <v>10.30875</v>
      </c>
      <c r="BL46" s="319">
        <v>3.5739999999999998</v>
      </c>
      <c r="BM46" s="245"/>
      <c r="BN46" s="319"/>
      <c r="BO46" s="245"/>
      <c r="BP46" s="177">
        <f>54.98/8*4.7</f>
        <v>32.300750000000001</v>
      </c>
      <c r="BQ46" s="245"/>
      <c r="BR46" s="177"/>
      <c r="BS46" s="177"/>
      <c r="BT46" s="319"/>
      <c r="BU46" s="319"/>
      <c r="BV46" s="319"/>
      <c r="BW46" s="319"/>
      <c r="BX46" s="319"/>
      <c r="BY46" s="319"/>
      <c r="BZ46" s="319"/>
      <c r="CA46" s="158">
        <f t="shared" si="12"/>
        <v>68.817416666666674</v>
      </c>
      <c r="CB46" s="110"/>
      <c r="CC46" s="319"/>
      <c r="CD46" s="319"/>
      <c r="CE46" s="319"/>
      <c r="CF46" s="319"/>
      <c r="CG46" s="319"/>
      <c r="CH46" s="319"/>
      <c r="CI46" s="319"/>
      <c r="CJ46" s="319"/>
      <c r="CK46" s="245"/>
      <c r="CL46" s="319"/>
      <c r="CM46" s="319"/>
      <c r="CN46" s="319"/>
      <c r="CO46" s="319"/>
      <c r="CP46" s="319"/>
      <c r="CQ46" s="319"/>
      <c r="CR46" s="319">
        <v>3.5739999999999998</v>
      </c>
      <c r="CS46" s="319"/>
      <c r="CT46" s="245"/>
      <c r="CU46" s="319"/>
      <c r="CV46" s="319"/>
      <c r="CW46" s="319"/>
      <c r="CX46" s="319"/>
      <c r="CY46" s="319"/>
      <c r="CZ46" s="319"/>
      <c r="DA46" s="319"/>
      <c r="DB46" s="319"/>
      <c r="DC46" s="319"/>
      <c r="DD46" s="319"/>
      <c r="DE46" s="319"/>
      <c r="DF46" s="319"/>
      <c r="DG46" s="245"/>
      <c r="DH46" s="319"/>
      <c r="DI46" s="319"/>
      <c r="DJ46" s="245"/>
      <c r="DK46" s="319"/>
      <c r="DL46" s="319"/>
      <c r="DM46" s="319"/>
      <c r="DN46" s="319"/>
      <c r="DO46" s="319">
        <f>5.956*1.2</f>
        <v>7.1472000000000007</v>
      </c>
      <c r="DP46" s="319"/>
      <c r="DQ46" s="319"/>
      <c r="DR46" s="319"/>
      <c r="DS46" s="319"/>
      <c r="DT46" s="319"/>
      <c r="DU46" s="419">
        <f t="shared" si="22"/>
        <v>10.7212</v>
      </c>
      <c r="DV46" s="59"/>
      <c r="DW46" s="319"/>
      <c r="DX46" s="319"/>
      <c r="DY46" s="319"/>
      <c r="DZ46" s="319"/>
      <c r="EA46" s="319"/>
      <c r="EB46" s="319">
        <f>2.598*3</f>
        <v>7.7939999999999996</v>
      </c>
      <c r="EC46" s="319"/>
      <c r="ED46" s="319"/>
      <c r="EE46" s="319"/>
      <c r="EF46" s="319"/>
      <c r="EG46" s="319"/>
      <c r="EH46" s="319"/>
      <c r="EI46" s="319"/>
      <c r="EJ46" s="319"/>
      <c r="EK46" s="319"/>
      <c r="EL46" s="319"/>
      <c r="EM46" s="319"/>
      <c r="EN46" s="319"/>
      <c r="EO46" s="319"/>
      <c r="EP46" s="319"/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/>
      <c r="FC46" s="319"/>
      <c r="FD46" s="319"/>
      <c r="FE46" s="319"/>
      <c r="FF46" s="319"/>
      <c r="FG46" s="319"/>
      <c r="FH46" s="319"/>
      <c r="FI46" s="319"/>
      <c r="FJ46" s="319"/>
      <c r="FK46" s="319"/>
      <c r="FL46" s="319"/>
      <c r="FM46" s="319"/>
      <c r="FN46" s="319"/>
      <c r="FO46" s="319"/>
      <c r="FP46" s="319"/>
      <c r="FQ46" s="319"/>
      <c r="FR46" s="319"/>
      <c r="FS46" s="319"/>
      <c r="FT46" s="319"/>
      <c r="FU46" s="319"/>
      <c r="FV46" s="319"/>
      <c r="FW46" s="319"/>
      <c r="FX46" s="319"/>
      <c r="FY46" s="319"/>
      <c r="FZ46" s="319"/>
      <c r="GA46" s="158">
        <f t="shared" si="23"/>
        <v>7.7939999999999996</v>
      </c>
      <c r="GB46" s="111"/>
      <c r="GC46" s="374"/>
      <c r="GD46" s="319"/>
      <c r="GE46" s="319"/>
      <c r="GF46" s="319"/>
      <c r="GG46" s="319"/>
      <c r="GH46" s="319"/>
      <c r="GI46" s="271"/>
      <c r="GJ46" s="271"/>
      <c r="GK46" s="271"/>
      <c r="GL46" s="271"/>
      <c r="GM46" s="272"/>
      <c r="GN46" s="435"/>
      <c r="GO46" s="327">
        <f t="shared" si="24"/>
        <v>0</v>
      </c>
      <c r="GP46" s="558">
        <f t="shared" si="25"/>
        <v>29.759999999999998</v>
      </c>
      <c r="GQ46" s="605">
        <f t="shared" si="26"/>
        <v>29.759999999999998</v>
      </c>
      <c r="GR46" s="627">
        <f t="shared" si="27"/>
        <v>56.997</v>
      </c>
      <c r="GS46" s="239">
        <f t="shared" si="28"/>
        <v>10.719999999999999</v>
      </c>
      <c r="GT46" s="36" t="str">
        <f t="shared" si="29"/>
        <v>Биопромис Хром пиколинат</v>
      </c>
      <c r="GU46" s="42"/>
      <c r="GV46" s="42"/>
      <c r="GW46" s="42"/>
      <c r="GX46" s="42"/>
      <c r="GY46" s="42"/>
      <c r="GZ46" s="42"/>
      <c r="HA46" s="22"/>
      <c r="HB46" s="22"/>
      <c r="HC46" s="22"/>
      <c r="HD46" s="22"/>
      <c r="HE46" s="22"/>
      <c r="HF46" s="22"/>
      <c r="HG46" s="22"/>
    </row>
    <row r="47" spans="1:215" ht="15" customHeight="1" x14ac:dyDescent="0.3">
      <c r="A47" s="1130">
        <f t="shared" si="21"/>
        <v>37</v>
      </c>
      <c r="B47" s="697" t="s">
        <v>207</v>
      </c>
      <c r="C47" s="565">
        <f>'1_квартал'!G46</f>
        <v>98.52</v>
      </c>
      <c r="D47" s="346">
        <v>19.48</v>
      </c>
      <c r="E47" s="1300">
        <v>0</v>
      </c>
      <c r="F47" s="572"/>
      <c r="G47" s="878">
        <f t="shared" si="9"/>
        <v>9.74</v>
      </c>
      <c r="H47" s="93">
        <v>18.84</v>
      </c>
      <c r="I47" s="93">
        <v>18.84</v>
      </c>
      <c r="J47" s="112"/>
      <c r="K47" s="245"/>
      <c r="L47" s="245"/>
      <c r="M47" s="319"/>
      <c r="N47" s="319"/>
      <c r="O47" s="319"/>
      <c r="P47" s="319"/>
      <c r="Q47" s="319"/>
      <c r="R47" s="319"/>
      <c r="S47" s="319"/>
      <c r="T47" s="319"/>
      <c r="U47" s="319">
        <f>2.318*0.6</f>
        <v>1.3908</v>
      </c>
      <c r="V47" s="319"/>
      <c r="W47" s="319"/>
      <c r="X47" s="319"/>
      <c r="Y47" s="319">
        <f>2.318</f>
        <v>2.3180000000000001</v>
      </c>
      <c r="Z47" s="319"/>
      <c r="AA47" s="319"/>
      <c r="AB47" s="319"/>
      <c r="AC47" s="245"/>
      <c r="AD47" s="319"/>
      <c r="AE47" s="319">
        <f>4.536*1.3</f>
        <v>5.8967999999999998</v>
      </c>
      <c r="AF47" s="245"/>
      <c r="AG47" s="319"/>
      <c r="AH47" s="319"/>
      <c r="AI47" s="319"/>
      <c r="AJ47" s="319"/>
      <c r="AK47" s="319"/>
      <c r="AL47" s="319"/>
      <c r="AM47" s="319"/>
      <c r="AN47" s="319"/>
      <c r="AO47" s="319"/>
      <c r="AP47" s="319"/>
      <c r="AQ47" s="319"/>
      <c r="AR47" s="319"/>
      <c r="AS47" s="319">
        <v>6.6929999999999996</v>
      </c>
      <c r="AT47" s="319"/>
      <c r="AU47" s="319"/>
      <c r="AV47" s="319"/>
      <c r="AW47" s="319"/>
      <c r="AX47" s="319"/>
      <c r="AY47" s="319"/>
      <c r="AZ47" s="319"/>
      <c r="BA47" s="319"/>
      <c r="BB47" s="319"/>
      <c r="BC47" s="319"/>
      <c r="BD47" s="319"/>
      <c r="BE47" s="319"/>
      <c r="BF47" s="319"/>
      <c r="BG47" s="319">
        <v>2.016</v>
      </c>
      <c r="BH47" s="319"/>
      <c r="BI47" s="319"/>
      <c r="BJ47" s="177"/>
      <c r="BK47" s="271"/>
      <c r="BL47" s="319"/>
      <c r="BM47" s="245"/>
      <c r="BN47" s="319"/>
      <c r="BO47" s="245"/>
      <c r="BP47" s="177"/>
      <c r="BQ47" s="245"/>
      <c r="BR47" s="177"/>
      <c r="BS47" s="177"/>
      <c r="BT47" s="319"/>
      <c r="BU47" s="319"/>
      <c r="BV47" s="319"/>
      <c r="BW47" s="319"/>
      <c r="BX47" s="319"/>
      <c r="BY47" s="319"/>
      <c r="BZ47" s="319">
        <f>2.318*0.5</f>
        <v>1.159</v>
      </c>
      <c r="CA47" s="158">
        <f t="shared" si="12"/>
        <v>19.473599999999998</v>
      </c>
      <c r="CB47" s="112"/>
      <c r="CC47" s="319"/>
      <c r="CD47" s="319"/>
      <c r="CE47" s="319"/>
      <c r="CF47" s="319"/>
      <c r="CG47" s="319"/>
      <c r="CH47" s="319"/>
      <c r="CI47" s="319"/>
      <c r="CJ47" s="319"/>
      <c r="CK47" s="245"/>
      <c r="CL47" s="319"/>
      <c r="CM47" s="319"/>
      <c r="CN47" s="319"/>
      <c r="CO47" s="319"/>
      <c r="CP47" s="319"/>
      <c r="CQ47" s="319"/>
      <c r="CR47" s="319"/>
      <c r="CS47" s="319"/>
      <c r="CT47" s="245"/>
      <c r="CU47" s="319"/>
      <c r="CV47" s="319"/>
      <c r="CW47" s="319"/>
      <c r="CX47" s="319"/>
      <c r="CY47" s="319"/>
      <c r="CZ47" s="319"/>
      <c r="DA47" s="319"/>
      <c r="DB47" s="319"/>
      <c r="DC47" s="319"/>
      <c r="DD47" s="319"/>
      <c r="DE47" s="319"/>
      <c r="DF47" s="319"/>
      <c r="DG47" s="245"/>
      <c r="DH47" s="319"/>
      <c r="DI47" s="319"/>
      <c r="DJ47" s="245"/>
      <c r="DK47" s="319"/>
      <c r="DL47" s="319"/>
      <c r="DM47" s="319"/>
      <c r="DN47" s="319"/>
      <c r="DO47" s="319"/>
      <c r="DP47" s="319"/>
      <c r="DQ47" s="319"/>
      <c r="DR47" s="319"/>
      <c r="DS47" s="319"/>
      <c r="DT47" s="319"/>
      <c r="DU47" s="419">
        <f t="shared" si="22"/>
        <v>0</v>
      </c>
      <c r="DV47" s="57"/>
      <c r="DW47" s="319"/>
      <c r="DX47" s="319"/>
      <c r="DY47" s="319"/>
      <c r="DZ47" s="319"/>
      <c r="EA47" s="319"/>
      <c r="EB47" s="319"/>
      <c r="EC47" s="319"/>
      <c r="ED47" s="319"/>
      <c r="EE47" s="319"/>
      <c r="EF47" s="319"/>
      <c r="EG47" s="319"/>
      <c r="EH47" s="319"/>
      <c r="EI47" s="319"/>
      <c r="EJ47" s="319"/>
      <c r="EK47" s="319"/>
      <c r="EL47" s="319"/>
      <c r="EM47" s="319"/>
      <c r="EN47" s="319"/>
      <c r="EO47" s="319"/>
      <c r="EP47" s="319"/>
      <c r="EQ47" s="319"/>
      <c r="ER47" s="319"/>
      <c r="ES47" s="319"/>
      <c r="ET47" s="319"/>
      <c r="EU47" s="319"/>
      <c r="EV47" s="319"/>
      <c r="EW47" s="319"/>
      <c r="EX47" s="319"/>
      <c r="EY47" s="319"/>
      <c r="EZ47" s="319"/>
      <c r="FA47" s="319"/>
      <c r="FB47" s="319"/>
      <c r="FC47" s="319"/>
      <c r="FD47" s="319"/>
      <c r="FE47" s="319"/>
      <c r="FF47" s="319"/>
      <c r="FG47" s="319"/>
      <c r="FH47" s="319"/>
      <c r="FI47" s="319"/>
      <c r="FJ47" s="319"/>
      <c r="FK47" s="319"/>
      <c r="FL47" s="319"/>
      <c r="FM47" s="319"/>
      <c r="FN47" s="319"/>
      <c r="FO47" s="319"/>
      <c r="FP47" s="319"/>
      <c r="FQ47" s="319"/>
      <c r="FR47" s="319"/>
      <c r="FS47" s="319"/>
      <c r="FT47" s="319"/>
      <c r="FU47" s="319"/>
      <c r="FV47" s="319"/>
      <c r="FW47" s="319"/>
      <c r="FX47" s="319"/>
      <c r="FY47" s="319"/>
      <c r="FZ47" s="319"/>
      <c r="GA47" s="158">
        <f t="shared" si="23"/>
        <v>0</v>
      </c>
      <c r="GB47" s="113"/>
      <c r="GC47" s="374"/>
      <c r="GD47" s="319"/>
      <c r="GE47" s="319"/>
      <c r="GF47" s="319"/>
      <c r="GG47" s="319"/>
      <c r="GH47" s="319"/>
      <c r="GI47" s="271"/>
      <c r="GJ47" s="271"/>
      <c r="GK47" s="271"/>
      <c r="GL47" s="271"/>
      <c r="GM47" s="272"/>
      <c r="GN47" s="435"/>
      <c r="GO47" s="327">
        <f t="shared" si="24"/>
        <v>0</v>
      </c>
      <c r="GP47" s="445">
        <f t="shared" si="25"/>
        <v>18.84</v>
      </c>
      <c r="GQ47" s="605">
        <f t="shared" si="26"/>
        <v>18.84</v>
      </c>
      <c r="GR47" s="627">
        <f t="shared" si="27"/>
        <v>98.52</v>
      </c>
      <c r="GS47" s="239">
        <f t="shared" si="28"/>
        <v>0</v>
      </c>
      <c r="GT47" s="36" t="str">
        <f t="shared" si="29"/>
        <v>Виусид-Вет</v>
      </c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</row>
    <row r="48" spans="1:215" ht="15" customHeight="1" x14ac:dyDescent="0.3">
      <c r="A48" s="1130">
        <f t="shared" si="21"/>
        <v>38</v>
      </c>
      <c r="B48" s="688" t="s">
        <v>36</v>
      </c>
      <c r="C48" s="565">
        <f>'1_квартал'!G47</f>
        <v>9645.2569999999996</v>
      </c>
      <c r="D48" s="328">
        <v>9143.06</v>
      </c>
      <c r="E48" s="1300">
        <f>5720.17+2966.27</f>
        <v>8686.44</v>
      </c>
      <c r="F48" s="572"/>
      <c r="G48" s="878">
        <f t="shared" si="9"/>
        <v>8914.75</v>
      </c>
      <c r="H48" s="93">
        <f>4033.73+3000</f>
        <v>7033.73</v>
      </c>
      <c r="I48" s="93">
        <f>4033.73+3000</f>
        <v>7033.73</v>
      </c>
      <c r="J48" s="112"/>
      <c r="K48" s="245"/>
      <c r="L48" s="245"/>
      <c r="M48" s="319"/>
      <c r="N48" s="319"/>
      <c r="O48" s="319">
        <f>302.4*2.7</f>
        <v>816.48</v>
      </c>
      <c r="P48" s="319"/>
      <c r="Q48" s="319"/>
      <c r="R48" s="319"/>
      <c r="S48" s="319">
        <f>302.4*7.5</f>
        <v>2268</v>
      </c>
      <c r="T48" s="319"/>
      <c r="U48" s="319"/>
      <c r="V48" s="319"/>
      <c r="W48" s="319">
        <f>302.4*0.6</f>
        <v>181.43999999999997</v>
      </c>
      <c r="X48" s="319"/>
      <c r="Y48" s="319"/>
      <c r="Z48" s="319">
        <v>120.96</v>
      </c>
      <c r="AA48" s="319"/>
      <c r="AB48" s="319">
        <f>302.4*3</f>
        <v>907.19999999999993</v>
      </c>
      <c r="AC48" s="245"/>
      <c r="AD48" s="319"/>
      <c r="AE48" s="319"/>
      <c r="AF48" s="245"/>
      <c r="AG48" s="319">
        <v>54.432000000000002</v>
      </c>
      <c r="AH48" s="319"/>
      <c r="AI48" s="319"/>
      <c r="AJ48" s="319"/>
      <c r="AK48" s="319"/>
      <c r="AL48" s="319">
        <v>48.384</v>
      </c>
      <c r="AM48" s="319"/>
      <c r="AN48" s="319"/>
      <c r="AO48" s="319"/>
      <c r="AP48" s="319"/>
      <c r="AQ48" s="319">
        <v>60.48</v>
      </c>
      <c r="AR48" s="319"/>
      <c r="AS48" s="319">
        <v>40.32</v>
      </c>
      <c r="AT48" s="319"/>
      <c r="AU48" s="319"/>
      <c r="AV48" s="319"/>
      <c r="AW48" s="319"/>
      <c r="AX48" s="319"/>
      <c r="AY48" s="319"/>
      <c r="AZ48" s="319">
        <v>604.79999999999995</v>
      </c>
      <c r="BA48" s="319"/>
      <c r="BB48" s="319"/>
      <c r="BC48" s="319">
        <f>60.48/1.2*0.3</f>
        <v>15.12</v>
      </c>
      <c r="BD48" s="319">
        <f>15.12/0.3*0.1</f>
        <v>5.04</v>
      </c>
      <c r="BE48" s="319">
        <v>15.12</v>
      </c>
      <c r="BF48" s="319"/>
      <c r="BG48" s="319"/>
      <c r="BH48" s="319"/>
      <c r="BI48" s="319"/>
      <c r="BJ48" s="177">
        <f>645.12/8*1.8</f>
        <v>145.15200000000002</v>
      </c>
      <c r="BK48" s="271">
        <f>645.12/8*1.5</f>
        <v>120.96000000000001</v>
      </c>
      <c r="BL48" s="319"/>
      <c r="BM48" s="245"/>
      <c r="BN48" s="319"/>
      <c r="BO48" s="245">
        <f>221.76*5</f>
        <v>1108.8</v>
      </c>
      <c r="BP48" s="177">
        <f>645.12/8*4.7</f>
        <v>379.00800000000004</v>
      </c>
      <c r="BQ48" s="245">
        <v>945</v>
      </c>
      <c r="BR48" s="177"/>
      <c r="BS48" s="177"/>
      <c r="BT48" s="319"/>
      <c r="BU48" s="319"/>
      <c r="BV48" s="319"/>
      <c r="BW48" s="319"/>
      <c r="BX48" s="319">
        <v>157.24799999999999</v>
      </c>
      <c r="BY48" s="319">
        <f>302.4*3.8</f>
        <v>1149.1199999999999</v>
      </c>
      <c r="BZ48" s="319"/>
      <c r="CA48" s="158">
        <f t="shared" si="12"/>
        <v>9143.0639999999985</v>
      </c>
      <c r="CB48" s="112"/>
      <c r="CC48" s="319"/>
      <c r="CD48" s="319"/>
      <c r="CE48" s="319">
        <f>302.4*0.6</f>
        <v>181.43999999999997</v>
      </c>
      <c r="CF48" s="319"/>
      <c r="CG48" s="319"/>
      <c r="CH48" s="319"/>
      <c r="CI48" s="319"/>
      <c r="CJ48" s="319"/>
      <c r="CK48" s="245"/>
      <c r="CL48" s="319"/>
      <c r="CM48" s="319"/>
      <c r="CN48" s="319">
        <v>302.39999999999998</v>
      </c>
      <c r="CO48" s="319">
        <f>302.4*6</f>
        <v>1814.3999999999999</v>
      </c>
      <c r="CP48" s="319"/>
      <c r="CQ48" s="319"/>
      <c r="CR48" s="319"/>
      <c r="CS48" s="319"/>
      <c r="CT48" s="245">
        <f>221.76*5</f>
        <v>1108.8</v>
      </c>
      <c r="CU48" s="319"/>
      <c r="CV48" s="319"/>
      <c r="CW48" s="319"/>
      <c r="CX48" s="319"/>
      <c r="CY48" s="319"/>
      <c r="CZ48" s="319"/>
      <c r="DA48" s="319"/>
      <c r="DB48" s="319"/>
      <c r="DC48" s="319">
        <f>604.8/3*3.5</f>
        <v>705.6</v>
      </c>
      <c r="DD48" s="319"/>
      <c r="DE48" s="319"/>
      <c r="DF48" s="319"/>
      <c r="DG48" s="245">
        <v>945</v>
      </c>
      <c r="DH48" s="319"/>
      <c r="DI48" s="319"/>
      <c r="DJ48" s="245"/>
      <c r="DK48" s="319">
        <f>302.4*5</f>
        <v>1512</v>
      </c>
      <c r="DL48" s="319"/>
      <c r="DM48" s="319">
        <f>302.4*7</f>
        <v>2116.7999999999997</v>
      </c>
      <c r="DN48" s="319"/>
      <c r="DO48" s="319"/>
      <c r="DP48" s="319"/>
      <c r="DQ48" s="319"/>
      <c r="DR48" s="319"/>
      <c r="DS48" s="319"/>
      <c r="DT48" s="319"/>
      <c r="DU48" s="419">
        <f t="shared" si="22"/>
        <v>8686.44</v>
      </c>
      <c r="DV48" s="57"/>
      <c r="DW48" s="319"/>
      <c r="DX48" s="319"/>
      <c r="DY48" s="319"/>
      <c r="DZ48" s="319"/>
      <c r="EA48" s="319"/>
      <c r="EB48" s="319"/>
      <c r="EC48" s="319"/>
      <c r="ED48" s="319"/>
      <c r="EE48" s="319"/>
      <c r="EF48" s="319"/>
      <c r="EG48" s="319"/>
      <c r="EH48" s="319"/>
      <c r="EI48" s="319"/>
      <c r="EJ48" s="319"/>
      <c r="EK48" s="319"/>
      <c r="EL48" s="319"/>
      <c r="EM48" s="319"/>
      <c r="EN48" s="319"/>
      <c r="EO48" s="319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19"/>
      <c r="FE48" s="319"/>
      <c r="FF48" s="319"/>
      <c r="FG48" s="319"/>
      <c r="FH48" s="319"/>
      <c r="FI48" s="319"/>
      <c r="FJ48" s="319"/>
      <c r="FK48" s="319"/>
      <c r="FL48" s="319"/>
      <c r="FM48" s="319"/>
      <c r="FN48" s="319"/>
      <c r="FO48" s="319"/>
      <c r="FP48" s="319"/>
      <c r="FQ48" s="319"/>
      <c r="FR48" s="319"/>
      <c r="FS48" s="319"/>
      <c r="FT48" s="319"/>
      <c r="FU48" s="319"/>
      <c r="FV48" s="319"/>
      <c r="FW48" s="319"/>
      <c r="FX48" s="319"/>
      <c r="FY48" s="319"/>
      <c r="FZ48" s="319"/>
      <c r="GA48" s="158">
        <f t="shared" si="23"/>
        <v>0</v>
      </c>
      <c r="GB48" s="113"/>
      <c r="GC48" s="374"/>
      <c r="GD48" s="319">
        <f>60.48*0.9</f>
        <v>54.431999999999995</v>
      </c>
      <c r="GE48" s="319">
        <f>201.6*0.9</f>
        <v>181.44</v>
      </c>
      <c r="GF48" s="319"/>
      <c r="GG48" s="319"/>
      <c r="GH48" s="319"/>
      <c r="GI48" s="271"/>
      <c r="GJ48" s="271"/>
      <c r="GK48" s="271"/>
      <c r="GL48" s="271"/>
      <c r="GM48" s="272"/>
      <c r="GN48" s="435"/>
      <c r="GO48" s="327">
        <f t="shared" si="24"/>
        <v>235.87199999999999</v>
      </c>
      <c r="GP48" s="558">
        <f t="shared" si="25"/>
        <v>6797.8579999999993</v>
      </c>
      <c r="GQ48" s="605">
        <f t="shared" si="26"/>
        <v>7033.73</v>
      </c>
      <c r="GR48" s="627">
        <f t="shared" si="27"/>
        <v>9645.2569999999996</v>
      </c>
      <c r="GS48" s="239">
        <f t="shared" si="28"/>
        <v>8686.44</v>
      </c>
      <c r="GT48" s="36" t="str">
        <f t="shared" si="29"/>
        <v xml:space="preserve">Декстроза </v>
      </c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</row>
    <row r="49" spans="1:215" ht="15" customHeight="1" x14ac:dyDescent="0.3">
      <c r="A49" s="1130">
        <f t="shared" si="21"/>
        <v>39</v>
      </c>
      <c r="B49" s="688" t="s">
        <v>204</v>
      </c>
      <c r="C49" s="565">
        <f>'1_квартал'!G48</f>
        <v>0</v>
      </c>
      <c r="D49" s="592">
        <v>7.26</v>
      </c>
      <c r="E49" s="1300">
        <v>10.89</v>
      </c>
      <c r="F49" s="572"/>
      <c r="G49" s="878">
        <f t="shared" si="9"/>
        <v>9.0749999999999993</v>
      </c>
      <c r="H49" s="93">
        <v>31.82</v>
      </c>
      <c r="I49" s="93">
        <v>25.77</v>
      </c>
      <c r="J49" s="112"/>
      <c r="K49" s="245"/>
      <c r="L49" s="245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19"/>
      <c r="AB49" s="319"/>
      <c r="AC49" s="245"/>
      <c r="AD49" s="319"/>
      <c r="AE49" s="319"/>
      <c r="AF49" s="245"/>
      <c r="AG49" s="319"/>
      <c r="AH49" s="319"/>
      <c r="AI49" s="319"/>
      <c r="AJ49" s="319"/>
      <c r="AK49" s="319"/>
      <c r="AL49" s="319"/>
      <c r="AM49" s="319"/>
      <c r="AN49" s="319"/>
      <c r="AO49" s="319"/>
      <c r="AP49" s="319"/>
      <c r="AQ49" s="319"/>
      <c r="AR49" s="319"/>
      <c r="AS49" s="319"/>
      <c r="AT49" s="319"/>
      <c r="AU49" s="319"/>
      <c r="AV49" s="319"/>
      <c r="AW49" s="319"/>
      <c r="AX49" s="319"/>
      <c r="AY49" s="319"/>
      <c r="AZ49" s="319"/>
      <c r="BA49" s="319"/>
      <c r="BB49" s="319"/>
      <c r="BC49" s="319"/>
      <c r="BD49" s="319"/>
      <c r="BE49" s="319"/>
      <c r="BF49" s="319"/>
      <c r="BG49" s="319"/>
      <c r="BH49" s="319">
        <f>4.032*0.6</f>
        <v>2.4192</v>
      </c>
      <c r="BI49" s="319"/>
      <c r="BJ49" s="177"/>
      <c r="BK49" s="271"/>
      <c r="BL49" s="319"/>
      <c r="BM49" s="245"/>
      <c r="BN49" s="319"/>
      <c r="BO49" s="245"/>
      <c r="BP49" s="177"/>
      <c r="BQ49" s="245"/>
      <c r="BR49" s="177"/>
      <c r="BS49" s="177"/>
      <c r="BT49" s="319">
        <f>4.032*1.2</f>
        <v>4.8384</v>
      </c>
      <c r="BU49" s="319"/>
      <c r="BV49" s="319"/>
      <c r="BW49" s="319"/>
      <c r="BX49" s="319"/>
      <c r="BY49" s="319"/>
      <c r="BZ49" s="319"/>
      <c r="CA49" s="158">
        <f t="shared" si="12"/>
        <v>7.2576000000000001</v>
      </c>
      <c r="CB49" s="112"/>
      <c r="CC49" s="319"/>
      <c r="CD49" s="319"/>
      <c r="CE49" s="319"/>
      <c r="CF49" s="319"/>
      <c r="CG49" s="319"/>
      <c r="CH49" s="319"/>
      <c r="CI49" s="319"/>
      <c r="CJ49" s="319"/>
      <c r="CK49" s="245"/>
      <c r="CL49" s="319"/>
      <c r="CM49" s="319"/>
      <c r="CN49" s="319"/>
      <c r="CO49" s="319"/>
      <c r="CP49" s="319"/>
      <c r="CQ49" s="319"/>
      <c r="CR49" s="319"/>
      <c r="CS49" s="319"/>
      <c r="CT49" s="245"/>
      <c r="CU49" s="319"/>
      <c r="CV49" s="319"/>
      <c r="CW49" s="319"/>
      <c r="CX49" s="319">
        <f>4.032*1.2</f>
        <v>4.8384</v>
      </c>
      <c r="CY49" s="319"/>
      <c r="CZ49" s="319"/>
      <c r="DA49" s="319"/>
      <c r="DB49" s="319"/>
      <c r="DC49" s="319"/>
      <c r="DD49" s="319"/>
      <c r="DE49" s="319"/>
      <c r="DF49" s="319"/>
      <c r="DG49" s="245"/>
      <c r="DH49" s="319"/>
      <c r="DI49" s="319"/>
      <c r="DJ49" s="245"/>
      <c r="DK49" s="319"/>
      <c r="DL49" s="319"/>
      <c r="DM49" s="319"/>
      <c r="DN49" s="319">
        <f>4.032*1.5</f>
        <v>6.048</v>
      </c>
      <c r="DO49" s="319"/>
      <c r="DP49" s="319"/>
      <c r="DQ49" s="319"/>
      <c r="DR49" s="319"/>
      <c r="DS49" s="319"/>
      <c r="DT49" s="319"/>
      <c r="DU49" s="419">
        <f t="shared" si="22"/>
        <v>10.8864</v>
      </c>
      <c r="DV49" s="57"/>
      <c r="DW49" s="319"/>
      <c r="DX49" s="319"/>
      <c r="DY49" s="319"/>
      <c r="DZ49" s="319"/>
      <c r="EA49" s="319"/>
      <c r="EB49" s="319"/>
      <c r="EC49" s="319"/>
      <c r="ED49" s="319">
        <f>4.032*1.5</f>
        <v>6.048</v>
      </c>
      <c r="EE49" s="319"/>
      <c r="EF49" s="319"/>
      <c r="EG49" s="319"/>
      <c r="EH49" s="319"/>
      <c r="EI49" s="319"/>
      <c r="EJ49" s="319"/>
      <c r="EK49" s="319"/>
      <c r="EL49" s="319"/>
      <c r="EM49" s="319"/>
      <c r="EN49" s="319"/>
      <c r="EO49" s="319"/>
      <c r="EP49" s="319"/>
      <c r="EQ49" s="319"/>
      <c r="ER49" s="319"/>
      <c r="ES49" s="319"/>
      <c r="ET49" s="319"/>
      <c r="EU49" s="319"/>
      <c r="EV49" s="319"/>
      <c r="EW49" s="319"/>
      <c r="EX49" s="319"/>
      <c r="EY49" s="319"/>
      <c r="EZ49" s="319"/>
      <c r="FA49" s="319"/>
      <c r="FB49" s="319"/>
      <c r="FC49" s="319"/>
      <c r="FD49" s="319"/>
      <c r="FE49" s="319"/>
      <c r="FF49" s="319"/>
      <c r="FG49" s="319"/>
      <c r="FH49" s="319"/>
      <c r="FI49" s="319"/>
      <c r="FJ49" s="319"/>
      <c r="FK49" s="319"/>
      <c r="FL49" s="319"/>
      <c r="FM49" s="319"/>
      <c r="FN49" s="319"/>
      <c r="FO49" s="319"/>
      <c r="FP49" s="319"/>
      <c r="FQ49" s="319"/>
      <c r="FR49" s="319"/>
      <c r="FS49" s="319"/>
      <c r="FT49" s="319"/>
      <c r="FU49" s="319"/>
      <c r="FV49" s="319"/>
      <c r="FW49" s="319"/>
      <c r="FX49" s="319"/>
      <c r="FY49" s="319"/>
      <c r="FZ49" s="319"/>
      <c r="GA49" s="158">
        <f t="shared" si="23"/>
        <v>6.048</v>
      </c>
      <c r="GB49" s="113"/>
      <c r="GC49" s="374"/>
      <c r="GD49" s="319"/>
      <c r="GE49" s="319"/>
      <c r="GF49" s="319"/>
      <c r="GG49" s="319"/>
      <c r="GH49" s="319"/>
      <c r="GI49" s="271"/>
      <c r="GJ49" s="271"/>
      <c r="GK49" s="271"/>
      <c r="GL49" s="271"/>
      <c r="GM49" s="272"/>
      <c r="GN49" s="435"/>
      <c r="GO49" s="327">
        <f t="shared" si="24"/>
        <v>0</v>
      </c>
      <c r="GP49" s="558">
        <f t="shared" si="25"/>
        <v>25.77</v>
      </c>
      <c r="GQ49" s="605">
        <f t="shared" si="26"/>
        <v>25.77</v>
      </c>
      <c r="GR49" s="627">
        <f t="shared" si="27"/>
        <v>0</v>
      </c>
      <c r="GS49" s="239">
        <f t="shared" si="28"/>
        <v>10.89</v>
      </c>
      <c r="GT49" s="36" t="str">
        <f t="shared" si="29"/>
        <v>Диоксид кремния Экстрасил</v>
      </c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</row>
    <row r="50" spans="1:215" ht="15" customHeight="1" x14ac:dyDescent="0.3">
      <c r="A50" s="1129">
        <f>A49+1</f>
        <v>40</v>
      </c>
      <c r="B50" s="691" t="s">
        <v>256</v>
      </c>
      <c r="C50" s="565">
        <f>'1_квартал'!G49</f>
        <v>782.35</v>
      </c>
      <c r="D50" s="346">
        <v>709.78</v>
      </c>
      <c r="E50" s="1300">
        <f>316.28+237.51</f>
        <v>553.79</v>
      </c>
      <c r="F50" s="572"/>
      <c r="G50" s="878">
        <f t="shared" si="9"/>
        <v>631.78499999999997</v>
      </c>
      <c r="H50" s="93">
        <v>762.49</v>
      </c>
      <c r="I50" s="93">
        <v>645.55999999999995</v>
      </c>
      <c r="J50" s="94"/>
      <c r="K50" s="245">
        <f>22.176*3</f>
        <v>66.527999999999992</v>
      </c>
      <c r="L50" s="245"/>
      <c r="M50" s="319"/>
      <c r="N50" s="319">
        <f>10.08*5</f>
        <v>50.4</v>
      </c>
      <c r="O50" s="319">
        <f>4.032*2.7</f>
        <v>10.8864</v>
      </c>
      <c r="P50" s="319"/>
      <c r="Q50" s="319">
        <f>4.032*0.6</f>
        <v>2.4192</v>
      </c>
      <c r="R50" s="319">
        <v>201.6</v>
      </c>
      <c r="S50" s="319">
        <f>4.032*7.5</f>
        <v>30.240000000000002</v>
      </c>
      <c r="T50" s="319">
        <f>4.032*3.5</f>
        <v>14.112</v>
      </c>
      <c r="U50" s="319"/>
      <c r="V50" s="319"/>
      <c r="W50" s="319">
        <f>4.032*0.6</f>
        <v>2.4192</v>
      </c>
      <c r="X50" s="319">
        <f>4.032*3</f>
        <v>12.096</v>
      </c>
      <c r="Y50" s="319"/>
      <c r="Z50" s="319">
        <v>2.419</v>
      </c>
      <c r="AA50" s="319"/>
      <c r="AB50" s="319">
        <f>4.032*3</f>
        <v>12.096</v>
      </c>
      <c r="AC50" s="245">
        <f>22.176*2</f>
        <v>44.351999999999997</v>
      </c>
      <c r="AD50" s="319">
        <f>6.854*5</f>
        <v>34.270000000000003</v>
      </c>
      <c r="AE50" s="319"/>
      <c r="AF50" s="245"/>
      <c r="AG50" s="319">
        <v>3.629</v>
      </c>
      <c r="AH50" s="319">
        <f>16.128*2</f>
        <v>32.256</v>
      </c>
      <c r="AI50" s="319">
        <f>16.128*8</f>
        <v>129.024</v>
      </c>
      <c r="AJ50" s="319"/>
      <c r="AK50" s="319"/>
      <c r="AL50" s="319"/>
      <c r="AM50" s="319"/>
      <c r="AN50" s="319"/>
      <c r="AO50" s="319">
        <v>4.032</v>
      </c>
      <c r="AP50" s="319"/>
      <c r="AQ50" s="319"/>
      <c r="AR50" s="319"/>
      <c r="AS50" s="319"/>
      <c r="AT50" s="319"/>
      <c r="AU50" s="319"/>
      <c r="AV50" s="319"/>
      <c r="AW50" s="319"/>
      <c r="AX50" s="319"/>
      <c r="AY50" s="319"/>
      <c r="AZ50" s="319">
        <v>12.096</v>
      </c>
      <c r="BA50" s="319"/>
      <c r="BB50" s="319"/>
      <c r="BC50" s="319"/>
      <c r="BD50" s="319"/>
      <c r="BE50" s="319"/>
      <c r="BF50" s="319"/>
      <c r="BG50" s="319"/>
      <c r="BH50" s="319"/>
      <c r="BI50" s="319"/>
      <c r="BJ50" s="177">
        <f>5.379/8*1.8</f>
        <v>1.210275</v>
      </c>
      <c r="BK50" s="271">
        <f>5.379/8*1.5</f>
        <v>1.0085625</v>
      </c>
      <c r="BL50" s="319"/>
      <c r="BM50" s="245"/>
      <c r="BN50" s="319"/>
      <c r="BO50" s="245"/>
      <c r="BP50" s="177">
        <f>5.379/8*4.7</f>
        <v>3.1601624999999998</v>
      </c>
      <c r="BQ50" s="245"/>
      <c r="BR50" s="177"/>
      <c r="BS50" s="177">
        <f>6.048*4</f>
        <v>24.192</v>
      </c>
      <c r="BT50" s="319"/>
      <c r="BU50" s="319"/>
      <c r="BV50" s="319"/>
      <c r="BW50" s="319"/>
      <c r="BX50" s="319"/>
      <c r="BY50" s="319">
        <f>4.032*3.8</f>
        <v>15.3216</v>
      </c>
      <c r="BZ50" s="319"/>
      <c r="CA50" s="158">
        <f t="shared" si="12"/>
        <v>709.76740000000007</v>
      </c>
      <c r="CB50" s="94"/>
      <c r="CC50" s="319"/>
      <c r="CD50" s="319"/>
      <c r="CE50" s="319">
        <f>4.032*0.6</f>
        <v>2.4192</v>
      </c>
      <c r="CF50" s="319"/>
      <c r="CG50" s="319"/>
      <c r="CH50" s="319"/>
      <c r="CI50" s="319"/>
      <c r="CJ50" s="319"/>
      <c r="CK50" s="245">
        <f>22.176*5</f>
        <v>110.88</v>
      </c>
      <c r="CL50" s="319"/>
      <c r="CM50" s="319"/>
      <c r="CN50" s="319"/>
      <c r="CO50" s="319">
        <f>4.032*6</f>
        <v>24.192</v>
      </c>
      <c r="CP50" s="319"/>
      <c r="CQ50" s="319"/>
      <c r="CR50" s="319"/>
      <c r="CS50" s="319">
        <f>10.08*5</f>
        <v>50.4</v>
      </c>
      <c r="CT50" s="245"/>
      <c r="CU50" s="319"/>
      <c r="CV50" s="319"/>
      <c r="CW50" s="319"/>
      <c r="CX50" s="319"/>
      <c r="CY50" s="319"/>
      <c r="CZ50" s="319"/>
      <c r="DA50" s="319"/>
      <c r="DB50" s="319"/>
      <c r="DC50" s="319">
        <f>12.096/3*3.5</f>
        <v>14.112</v>
      </c>
      <c r="DD50" s="319">
        <f>13.104*7</f>
        <v>91.727999999999994</v>
      </c>
      <c r="DE50" s="319">
        <f>13.104*3</f>
        <v>39.311999999999998</v>
      </c>
      <c r="DF50" s="319"/>
      <c r="DG50" s="245"/>
      <c r="DH50" s="319"/>
      <c r="DI50" s="319"/>
      <c r="DJ50" s="245">
        <v>100.8</v>
      </c>
      <c r="DK50" s="319">
        <f>4.032*5</f>
        <v>20.16</v>
      </c>
      <c r="DL50" s="319"/>
      <c r="DM50" s="319">
        <f>4.032*7</f>
        <v>28.224</v>
      </c>
      <c r="DN50" s="319"/>
      <c r="DO50" s="319"/>
      <c r="DP50" s="319">
        <f>4.032*1.5</f>
        <v>6.048</v>
      </c>
      <c r="DQ50" s="319"/>
      <c r="DR50" s="319"/>
      <c r="DS50" s="319"/>
      <c r="DT50" s="319">
        <f>13.104*5</f>
        <v>65.52</v>
      </c>
      <c r="DU50" s="419">
        <f t="shared" si="22"/>
        <v>553.79520000000002</v>
      </c>
      <c r="DV50" s="57"/>
      <c r="DW50" s="319"/>
      <c r="DX50" s="319"/>
      <c r="DY50" s="319">
        <f>4.032*1.5</f>
        <v>6.048</v>
      </c>
      <c r="DZ50" s="319"/>
      <c r="EA50" s="319">
        <f>22.176*5</f>
        <v>110.88</v>
      </c>
      <c r="EB50" s="319"/>
      <c r="EC50" s="319"/>
      <c r="ED50" s="319"/>
      <c r="EE50" s="319"/>
      <c r="EF50" s="319"/>
      <c r="EG50" s="319"/>
      <c r="EH50" s="319"/>
      <c r="EI50" s="319"/>
      <c r="EJ50" s="319"/>
      <c r="EK50" s="319"/>
      <c r="EL50" s="319"/>
      <c r="EM50" s="319"/>
      <c r="EN50" s="319"/>
      <c r="EO50" s="319"/>
      <c r="EP50" s="319"/>
      <c r="EQ50" s="319"/>
      <c r="ER50" s="319"/>
      <c r="ES50" s="319"/>
      <c r="ET50" s="319"/>
      <c r="EU50" s="319"/>
      <c r="EV50" s="319"/>
      <c r="EW50" s="319"/>
      <c r="EX50" s="319"/>
      <c r="EY50" s="319"/>
      <c r="EZ50" s="319"/>
      <c r="FA50" s="319"/>
      <c r="FB50" s="319"/>
      <c r="FC50" s="319"/>
      <c r="FD50" s="319"/>
      <c r="FE50" s="319"/>
      <c r="FF50" s="319"/>
      <c r="FG50" s="319"/>
      <c r="FH50" s="319"/>
      <c r="FI50" s="319"/>
      <c r="FJ50" s="319"/>
      <c r="FK50" s="319"/>
      <c r="FL50" s="319"/>
      <c r="FM50" s="319"/>
      <c r="FN50" s="319"/>
      <c r="FO50" s="319"/>
      <c r="FP50" s="319"/>
      <c r="FQ50" s="319"/>
      <c r="FR50" s="319"/>
      <c r="FS50" s="319"/>
      <c r="FT50" s="319"/>
      <c r="FU50" s="319"/>
      <c r="FV50" s="319"/>
      <c r="FW50" s="319"/>
      <c r="FX50" s="319"/>
      <c r="FY50" s="319"/>
      <c r="FZ50" s="319"/>
      <c r="GA50" s="158">
        <f t="shared" si="23"/>
        <v>116.928</v>
      </c>
      <c r="GB50" s="95"/>
      <c r="GC50" s="374"/>
      <c r="GD50" s="319">
        <f>4.032*0.9</f>
        <v>3.6288</v>
      </c>
      <c r="GE50" s="319">
        <f>4.032*0.9</f>
        <v>3.6288</v>
      </c>
      <c r="GF50" s="319"/>
      <c r="GG50" s="319"/>
      <c r="GH50" s="319"/>
      <c r="GI50" s="271"/>
      <c r="GJ50" s="271"/>
      <c r="GK50" s="271"/>
      <c r="GL50" s="271"/>
      <c r="GM50" s="272"/>
      <c r="GN50" s="435"/>
      <c r="GO50" s="327">
        <f t="shared" si="24"/>
        <v>7.2576000000000001</v>
      </c>
      <c r="GP50" s="454">
        <f t="shared" si="25"/>
        <v>638.30239999999992</v>
      </c>
      <c r="GQ50" s="605">
        <f t="shared" si="26"/>
        <v>645.55999999999995</v>
      </c>
      <c r="GR50" s="627">
        <f t="shared" si="27"/>
        <v>782.35</v>
      </c>
      <c r="GS50" s="239">
        <f t="shared" si="28"/>
        <v>553.79</v>
      </c>
      <c r="GT50" s="36" t="str">
        <f t="shared" si="29"/>
        <v>Дрожжевые клетки Saccharomyces</v>
      </c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</row>
    <row r="51" spans="1:215" ht="15" customHeight="1" x14ac:dyDescent="0.3">
      <c r="A51" s="1129">
        <f t="shared" ref="A51:A52" si="30">A50+1</f>
        <v>41</v>
      </c>
      <c r="B51" s="698" t="s">
        <v>18</v>
      </c>
      <c r="C51" s="565">
        <f>'1_квартал'!G50</f>
        <v>42.283000000000001</v>
      </c>
      <c r="D51" s="346">
        <f>66.772+1.888</f>
        <v>68.660000000000011</v>
      </c>
      <c r="E51" s="1300">
        <v>31.72</v>
      </c>
      <c r="F51" s="572"/>
      <c r="G51" s="878">
        <f>ROUND(AVERAGE(D51:F51),3)</f>
        <v>50.19</v>
      </c>
      <c r="H51" s="879">
        <v>66.391999999999996</v>
      </c>
      <c r="I51" s="879">
        <v>52.072000000000003</v>
      </c>
      <c r="J51" s="94"/>
      <c r="K51" s="245">
        <f>0.405*3</f>
        <v>1.2150000000000001</v>
      </c>
      <c r="L51" s="245"/>
      <c r="M51" s="319">
        <f>0.101*5</f>
        <v>0.505</v>
      </c>
      <c r="N51" s="319"/>
      <c r="O51" s="319">
        <f>0.151*2.7</f>
        <v>0.40770000000000001</v>
      </c>
      <c r="P51" s="319">
        <f>0.405*2.4</f>
        <v>0.97199999999999998</v>
      </c>
      <c r="Q51" s="319">
        <f>0.151*0.6</f>
        <v>9.06E-2</v>
      </c>
      <c r="R51" s="319"/>
      <c r="S51" s="319">
        <f>0.151*7.5</f>
        <v>1.1325000000000001</v>
      </c>
      <c r="T51" s="319">
        <f>0.151*3.5</f>
        <v>0.52849999999999997</v>
      </c>
      <c r="U51" s="319">
        <f>0.469*0.6</f>
        <v>0.28139999999999998</v>
      </c>
      <c r="V51" s="319">
        <f>0.449*1.6</f>
        <v>0.71840000000000004</v>
      </c>
      <c r="W51" s="319">
        <f>0.151*0.6</f>
        <v>9.06E-2</v>
      </c>
      <c r="X51" s="319">
        <f>0.151*3</f>
        <v>0.45299999999999996</v>
      </c>
      <c r="Y51" s="319">
        <f>0.469</f>
        <v>0.46899999999999997</v>
      </c>
      <c r="Z51" s="319">
        <v>9.0999999999999998E-2</v>
      </c>
      <c r="AA51" s="319">
        <f>0.488*0.9</f>
        <v>0.43919999999999998</v>
      </c>
      <c r="AB51" s="319">
        <f>0.151*3</f>
        <v>0.45299999999999996</v>
      </c>
      <c r="AC51" s="245">
        <f>0.405*2</f>
        <v>0.81</v>
      </c>
      <c r="AD51" s="319">
        <f>0.494*5</f>
        <v>2.4699999999999998</v>
      </c>
      <c r="AE51" s="319">
        <f>0.469*1.3</f>
        <v>0.60970000000000002</v>
      </c>
      <c r="AF51" s="245">
        <f>0.469*0.6</f>
        <v>0.28139999999999998</v>
      </c>
      <c r="AG51" s="319">
        <v>0.13600000000000001</v>
      </c>
      <c r="AH51" s="319"/>
      <c r="AI51" s="319"/>
      <c r="AJ51" s="319">
        <f>0.449*1.4</f>
        <v>0.62859999999999994</v>
      </c>
      <c r="AK51" s="319">
        <v>1.4999999999999999E-2</v>
      </c>
      <c r="AL51" s="319"/>
      <c r="AM51" s="319">
        <f>0.449*3</f>
        <v>1.347</v>
      </c>
      <c r="AN51" s="319">
        <v>3.024</v>
      </c>
      <c r="AO51" s="319">
        <v>0.151</v>
      </c>
      <c r="AP51" s="319">
        <f>0.101*0.3</f>
        <v>3.0300000000000001E-2</v>
      </c>
      <c r="AQ51" s="319"/>
      <c r="AR51" s="319">
        <v>0.03</v>
      </c>
      <c r="AS51" s="319"/>
      <c r="AT51" s="319"/>
      <c r="AU51" s="319"/>
      <c r="AV51" s="319"/>
      <c r="AW51" s="319"/>
      <c r="AX51" s="319">
        <f>0.405*5</f>
        <v>2.0250000000000004</v>
      </c>
      <c r="AY51" s="319">
        <f>0.492</f>
        <v>0.49199999999999999</v>
      </c>
      <c r="AZ51" s="319">
        <v>0.45400000000000001</v>
      </c>
      <c r="BA51" s="319">
        <f>0.488</f>
        <v>0.48799999999999999</v>
      </c>
      <c r="BB51" s="245">
        <f>0.469*1.5</f>
        <v>0.70350000000000001</v>
      </c>
      <c r="BC51" s="319"/>
      <c r="BD51" s="319">
        <f>0.151/0.3*0.1</f>
        <v>5.0333333333333334E-2</v>
      </c>
      <c r="BE51" s="319"/>
      <c r="BF51" s="319">
        <f>0.03/0.6*0.7</f>
        <v>3.4999999999999996E-2</v>
      </c>
      <c r="BG51" s="319"/>
      <c r="BH51" s="319"/>
      <c r="BI51" s="319">
        <v>0.46899999999999997</v>
      </c>
      <c r="BJ51" s="177"/>
      <c r="BK51" s="271"/>
      <c r="BL51" s="319">
        <v>0.03</v>
      </c>
      <c r="BM51" s="245">
        <f>0.469*0.6</f>
        <v>0.28139999999999998</v>
      </c>
      <c r="BN51" s="319">
        <f>5.04*0.6</f>
        <v>3.024</v>
      </c>
      <c r="BO51" s="245"/>
      <c r="BP51" s="177"/>
      <c r="BQ51" s="245"/>
      <c r="BR51" s="177">
        <f>0.454/0.9*0.8</f>
        <v>0.40355555555555561</v>
      </c>
      <c r="BS51" s="177">
        <f>10.08*4</f>
        <v>40.32</v>
      </c>
      <c r="BT51" s="319"/>
      <c r="BU51" s="319"/>
      <c r="BV51" s="319">
        <v>0.28699999999999998</v>
      </c>
      <c r="BW51" s="319">
        <f>0.449*3</f>
        <v>1.347</v>
      </c>
      <c r="BX51" s="319">
        <v>0.06</v>
      </c>
      <c r="BY51" s="319">
        <f>0.151*3.8</f>
        <v>0.57379999999999998</v>
      </c>
      <c r="BZ51" s="319">
        <f>0.469*0.5</f>
        <v>0.23449999999999999</v>
      </c>
      <c r="CA51" s="158">
        <f t="shared" si="12"/>
        <v>68.657988888888909</v>
      </c>
      <c r="CB51" s="94"/>
      <c r="CC51" s="319">
        <f>0.405*2.4</f>
        <v>0.97199999999999998</v>
      </c>
      <c r="CD51" s="319"/>
      <c r="CE51" s="319">
        <f>0.151*0.6</f>
        <v>9.06E-2</v>
      </c>
      <c r="CF51" s="319">
        <f>0.449*1.8</f>
        <v>0.80820000000000003</v>
      </c>
      <c r="CG51" s="319">
        <f>0.449*1.3</f>
        <v>0.5837</v>
      </c>
      <c r="CH51" s="319">
        <v>0.46899999999999997</v>
      </c>
      <c r="CI51" s="319">
        <f>0.488*0.9</f>
        <v>0.43919999999999998</v>
      </c>
      <c r="CJ51" s="319">
        <f>0.469*1.3</f>
        <v>0.60970000000000002</v>
      </c>
      <c r="CK51" s="245">
        <f>0.405*5</f>
        <v>2.0250000000000004</v>
      </c>
      <c r="CL51" s="319">
        <f>0.141/0.3*0.2</f>
        <v>9.4E-2</v>
      </c>
      <c r="CM51" s="319">
        <f>0.449*5</f>
        <v>2.2450000000000001</v>
      </c>
      <c r="CN51" s="319">
        <v>1.512</v>
      </c>
      <c r="CO51" s="319">
        <f>0.151*6</f>
        <v>0.90599999999999992</v>
      </c>
      <c r="CP51" s="319">
        <f>0.562/1.2*0.6</f>
        <v>0.28100000000000003</v>
      </c>
      <c r="CQ51" s="319">
        <f>0.469*2</f>
        <v>0.93799999999999994</v>
      </c>
      <c r="CR51" s="319">
        <v>0.03</v>
      </c>
      <c r="CS51" s="319"/>
      <c r="CT51" s="245"/>
      <c r="CU51" s="319">
        <f>0.488*1.5</f>
        <v>0.73199999999999998</v>
      </c>
      <c r="CV51" s="319">
        <f>0.405*4</f>
        <v>1.62</v>
      </c>
      <c r="CW51" s="319">
        <f>0.492</f>
        <v>0.49199999999999999</v>
      </c>
      <c r="CX51" s="319"/>
      <c r="CY51" s="245">
        <f>0.703/1.5*0.5</f>
        <v>0.23433333333333331</v>
      </c>
      <c r="CZ51" s="245">
        <f>0.469*1.5</f>
        <v>0.70350000000000001</v>
      </c>
      <c r="DA51" s="319">
        <v>0.39300000000000002</v>
      </c>
      <c r="DB51" s="319"/>
      <c r="DC51" s="319">
        <f>0.454/3*3.5</f>
        <v>0.52966666666666673</v>
      </c>
      <c r="DD51" s="319">
        <f>0.302*7</f>
        <v>2.1139999999999999</v>
      </c>
      <c r="DE51" s="319">
        <f>0.302*3</f>
        <v>0.90599999999999992</v>
      </c>
      <c r="DF51" s="319">
        <f>1.512*1.5</f>
        <v>2.2679999999999998</v>
      </c>
      <c r="DG51" s="245"/>
      <c r="DH51" s="319">
        <v>0.14399999999999999</v>
      </c>
      <c r="DI51" s="319"/>
      <c r="DJ51" s="245"/>
      <c r="DK51" s="319">
        <f>0.151*5</f>
        <v>0.755</v>
      </c>
      <c r="DL51" s="319">
        <v>5.04</v>
      </c>
      <c r="DM51" s="319">
        <f>0.151*7</f>
        <v>1.0569999999999999</v>
      </c>
      <c r="DN51" s="319"/>
      <c r="DO51" s="319">
        <f>0.05*1.2</f>
        <v>0.06</v>
      </c>
      <c r="DP51" s="319">
        <f>0.151*1.5</f>
        <v>0.22649999999999998</v>
      </c>
      <c r="DQ51" s="319">
        <f>0.449*1.7</f>
        <v>0.76329999999999998</v>
      </c>
      <c r="DR51" s="319">
        <f>0.469*0.3</f>
        <v>0.14069999999999999</v>
      </c>
      <c r="DS51" s="319">
        <f>0.101*0.3</f>
        <v>3.0300000000000001E-2</v>
      </c>
      <c r="DT51" s="319">
        <f>0.302*5</f>
        <v>1.51</v>
      </c>
      <c r="DU51" s="419">
        <f t="shared" si="22"/>
        <v>31.722700000000003</v>
      </c>
      <c r="DV51" s="57"/>
      <c r="DW51" s="319">
        <f>0.405*2.4</f>
        <v>0.97199999999999998</v>
      </c>
      <c r="DX51" s="319">
        <f>0.469*1.3</f>
        <v>0.60970000000000002</v>
      </c>
      <c r="DY51" s="319">
        <f>0.151*1.5</f>
        <v>0.22649999999999998</v>
      </c>
      <c r="DZ51" s="319">
        <v>0.46899999999999997</v>
      </c>
      <c r="EA51" s="319">
        <f>0.405*5</f>
        <v>2.0250000000000004</v>
      </c>
      <c r="EB51" s="319"/>
      <c r="EC51" s="319">
        <f>0.469*2</f>
        <v>0.93799999999999994</v>
      </c>
      <c r="ED51" s="319"/>
      <c r="EE51" s="319">
        <f>5.04*1.8</f>
        <v>9.072000000000001</v>
      </c>
      <c r="EF51" s="319"/>
      <c r="EG51" s="319"/>
      <c r="EH51" s="319"/>
      <c r="EI51" s="319"/>
      <c r="EJ51" s="319"/>
      <c r="EK51" s="319"/>
      <c r="EL51" s="319"/>
      <c r="EM51" s="319"/>
      <c r="EN51" s="319"/>
      <c r="EO51" s="319"/>
      <c r="EP51" s="319"/>
      <c r="EQ51" s="319"/>
      <c r="ER51" s="319"/>
      <c r="ES51" s="319"/>
      <c r="ET51" s="319"/>
      <c r="EU51" s="319"/>
      <c r="EV51" s="319"/>
      <c r="EW51" s="319"/>
      <c r="EX51" s="319"/>
      <c r="EY51" s="319"/>
      <c r="EZ51" s="319"/>
      <c r="FA51" s="319"/>
      <c r="FB51" s="319"/>
      <c r="FC51" s="319"/>
      <c r="FD51" s="319"/>
      <c r="FE51" s="319"/>
      <c r="FF51" s="319"/>
      <c r="FG51" s="319"/>
      <c r="FH51" s="319"/>
      <c r="FI51" s="319"/>
      <c r="FJ51" s="319"/>
      <c r="FK51" s="319"/>
      <c r="FL51" s="319"/>
      <c r="FM51" s="319"/>
      <c r="FN51" s="319"/>
      <c r="FO51" s="319"/>
      <c r="FP51" s="319"/>
      <c r="FQ51" s="319"/>
      <c r="FR51" s="319"/>
      <c r="FS51" s="319"/>
      <c r="FT51" s="319"/>
      <c r="FU51" s="319"/>
      <c r="FV51" s="319"/>
      <c r="FW51" s="319"/>
      <c r="FX51" s="319"/>
      <c r="FY51" s="319"/>
      <c r="FZ51" s="319"/>
      <c r="GA51" s="158">
        <f t="shared" si="23"/>
        <v>14.312200000000001</v>
      </c>
      <c r="GB51" s="95"/>
      <c r="GC51" s="374"/>
      <c r="GD51" s="319">
        <f>0.151*0.9</f>
        <v>0.13589999999999999</v>
      </c>
      <c r="GE51" s="319">
        <f>0.151*0.9</f>
        <v>0.13589999999999999</v>
      </c>
      <c r="GF51" s="319"/>
      <c r="GG51" s="319">
        <f>0.469*1.2</f>
        <v>0.56279999999999997</v>
      </c>
      <c r="GH51" s="319">
        <f>0.449*3</f>
        <v>1.347</v>
      </c>
      <c r="GI51" s="271"/>
      <c r="GJ51" s="271"/>
      <c r="GK51" s="271"/>
      <c r="GL51" s="271"/>
      <c r="GM51" s="272"/>
      <c r="GN51" s="435"/>
      <c r="GO51" s="327">
        <f t="shared" si="24"/>
        <v>2.1816</v>
      </c>
      <c r="GP51" s="445">
        <f t="shared" si="25"/>
        <v>49.8904</v>
      </c>
      <c r="GQ51" s="605">
        <f t="shared" si="26"/>
        <v>52.072000000000003</v>
      </c>
      <c r="GR51" s="627">
        <f t="shared" si="27"/>
        <v>42.283000000000001</v>
      </c>
      <c r="GS51" s="239">
        <f t="shared" si="28"/>
        <v>31.72</v>
      </c>
      <c r="GT51" s="36" t="str">
        <f t="shared" si="29"/>
        <v>Оксикап</v>
      </c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</row>
    <row r="52" spans="1:215" ht="15" customHeight="1" x14ac:dyDescent="0.3">
      <c r="A52" s="1129">
        <f t="shared" si="30"/>
        <v>42</v>
      </c>
      <c r="B52" s="904" t="s">
        <v>444</v>
      </c>
      <c r="C52" s="565">
        <f>'1_квартал'!G51</f>
        <v>8.65</v>
      </c>
      <c r="D52" s="346">
        <v>1.42</v>
      </c>
      <c r="E52" s="1300">
        <v>0</v>
      </c>
      <c r="F52" s="572"/>
      <c r="G52" s="878">
        <f>ROUND(AVERAGE(D52:F52),3)</f>
        <v>0.71</v>
      </c>
      <c r="H52" s="879">
        <v>12.63</v>
      </c>
      <c r="I52" s="879">
        <v>12.63</v>
      </c>
      <c r="J52" s="94"/>
      <c r="K52" s="245"/>
      <c r="L52" s="245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245"/>
      <c r="AD52" s="319"/>
      <c r="AE52" s="319"/>
      <c r="AF52" s="245"/>
      <c r="AG52" s="319"/>
      <c r="AH52" s="319"/>
      <c r="AI52" s="319"/>
      <c r="AJ52" s="319"/>
      <c r="AK52" s="319"/>
      <c r="AL52" s="319">
        <v>0.10100000000000001</v>
      </c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  <c r="BC52" s="319"/>
      <c r="BD52" s="319"/>
      <c r="BE52" s="319">
        <v>0.30199999999999999</v>
      </c>
      <c r="BF52" s="319"/>
      <c r="BG52" s="319"/>
      <c r="BH52" s="319"/>
      <c r="BI52" s="319"/>
      <c r="BJ52" s="177"/>
      <c r="BK52" s="271"/>
      <c r="BL52" s="319"/>
      <c r="BM52" s="245"/>
      <c r="BN52" s="319"/>
      <c r="BO52" s="245"/>
      <c r="BP52" s="177"/>
      <c r="BQ52" s="245"/>
      <c r="BR52" s="177"/>
      <c r="BS52" s="177"/>
      <c r="BT52" s="319"/>
      <c r="BU52" s="319"/>
      <c r="BV52" s="319"/>
      <c r="BW52" s="319"/>
      <c r="BX52" s="319">
        <v>1.016</v>
      </c>
      <c r="BY52" s="319"/>
      <c r="BZ52" s="319"/>
      <c r="CA52" s="158">
        <f t="shared" si="12"/>
        <v>1.419</v>
      </c>
      <c r="CB52" s="94"/>
      <c r="CC52" s="319"/>
      <c r="CD52" s="319"/>
      <c r="CE52" s="319"/>
      <c r="CF52" s="319"/>
      <c r="CG52" s="319"/>
      <c r="CH52" s="319"/>
      <c r="CI52" s="319"/>
      <c r="CJ52" s="319"/>
      <c r="CK52" s="245"/>
      <c r="CL52" s="319"/>
      <c r="CM52" s="319"/>
      <c r="CN52" s="319"/>
      <c r="CO52" s="319"/>
      <c r="CP52" s="319"/>
      <c r="CQ52" s="319"/>
      <c r="CR52" s="319"/>
      <c r="CS52" s="319"/>
      <c r="CT52" s="245"/>
      <c r="CU52" s="319"/>
      <c r="CV52" s="319"/>
      <c r="CW52" s="319"/>
      <c r="CX52" s="319"/>
      <c r="CY52" s="319"/>
      <c r="CZ52" s="319"/>
      <c r="DA52" s="319"/>
      <c r="DB52" s="319"/>
      <c r="DC52" s="319"/>
      <c r="DD52" s="319"/>
      <c r="DE52" s="319"/>
      <c r="DF52" s="319"/>
      <c r="DG52" s="245"/>
      <c r="DH52" s="319"/>
      <c r="DI52" s="319"/>
      <c r="DJ52" s="245"/>
      <c r="DK52" s="319"/>
      <c r="DL52" s="319"/>
      <c r="DM52" s="319"/>
      <c r="DN52" s="319"/>
      <c r="DO52" s="319"/>
      <c r="DP52" s="319"/>
      <c r="DQ52" s="319"/>
      <c r="DR52" s="319"/>
      <c r="DS52" s="319"/>
      <c r="DT52" s="319"/>
      <c r="DU52" s="419">
        <f t="shared" si="22"/>
        <v>0</v>
      </c>
      <c r="DV52" s="57"/>
      <c r="DW52" s="319"/>
      <c r="DX52" s="319"/>
      <c r="DY52" s="319"/>
      <c r="DZ52" s="319"/>
      <c r="EA52" s="319"/>
      <c r="EB52" s="319"/>
      <c r="EC52" s="319"/>
      <c r="ED52" s="319"/>
      <c r="EE52" s="319"/>
      <c r="EF52" s="319"/>
      <c r="EG52" s="319"/>
      <c r="EH52" s="319"/>
      <c r="EI52" s="319"/>
      <c r="EJ52" s="319"/>
      <c r="EK52" s="319"/>
      <c r="EL52" s="319"/>
      <c r="EM52" s="319"/>
      <c r="EN52" s="319"/>
      <c r="EO52" s="319"/>
      <c r="EP52" s="319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319"/>
      <c r="FD52" s="319"/>
      <c r="FE52" s="319"/>
      <c r="FF52" s="319"/>
      <c r="FG52" s="319"/>
      <c r="FH52" s="319"/>
      <c r="FI52" s="319"/>
      <c r="FJ52" s="319"/>
      <c r="FK52" s="319"/>
      <c r="FL52" s="319"/>
      <c r="FM52" s="319"/>
      <c r="FN52" s="319"/>
      <c r="FO52" s="319"/>
      <c r="FP52" s="319"/>
      <c r="FQ52" s="319"/>
      <c r="FR52" s="319"/>
      <c r="FS52" s="319"/>
      <c r="FT52" s="319"/>
      <c r="FU52" s="319"/>
      <c r="FV52" s="319"/>
      <c r="FW52" s="319"/>
      <c r="FX52" s="319"/>
      <c r="FY52" s="319"/>
      <c r="FZ52" s="319"/>
      <c r="GA52" s="158">
        <f t="shared" si="23"/>
        <v>0</v>
      </c>
      <c r="GB52" s="95"/>
      <c r="GC52" s="374"/>
      <c r="GD52" s="319"/>
      <c r="GE52" s="319"/>
      <c r="GF52" s="319"/>
      <c r="GG52" s="319"/>
      <c r="GH52" s="319"/>
      <c r="GI52" s="271"/>
      <c r="GJ52" s="271"/>
      <c r="GK52" s="271"/>
      <c r="GL52" s="271"/>
      <c r="GM52" s="272"/>
      <c r="GN52" s="435"/>
      <c r="GO52" s="327">
        <f t="shared" si="24"/>
        <v>0</v>
      </c>
      <c r="GP52" s="445">
        <f t="shared" si="25"/>
        <v>12.63</v>
      </c>
      <c r="GQ52" s="605">
        <f t="shared" si="26"/>
        <v>12.63</v>
      </c>
      <c r="GR52" s="627">
        <f t="shared" si="27"/>
        <v>8.65</v>
      </c>
      <c r="GS52" s="239">
        <f t="shared" si="28"/>
        <v>0</v>
      </c>
      <c r="GT52" s="36" t="str">
        <f t="shared" si="29"/>
        <v>Олеобиотик</v>
      </c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</row>
    <row r="53" spans="1:215" ht="15" customHeight="1" x14ac:dyDescent="0.3">
      <c r="A53" s="1129">
        <f>A52+1</f>
        <v>43</v>
      </c>
      <c r="B53" s="691" t="s">
        <v>456</v>
      </c>
      <c r="C53" s="565">
        <f>'1_квартал'!G52</f>
        <v>899.33299999999997</v>
      </c>
      <c r="D53" s="346">
        <v>1</v>
      </c>
      <c r="E53" s="1300">
        <v>0</v>
      </c>
      <c r="F53" s="572"/>
      <c r="G53" s="878">
        <f>ROUND(AVERAGE(D53:F53),3)</f>
        <v>0.5</v>
      </c>
      <c r="H53" s="93">
        <f>24</f>
        <v>24</v>
      </c>
      <c r="I53" s="93">
        <f>24</f>
        <v>24</v>
      </c>
      <c r="J53" s="94"/>
      <c r="K53" s="245"/>
      <c r="L53" s="245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245"/>
      <c r="AD53" s="319"/>
      <c r="AE53" s="319"/>
      <c r="AF53" s="245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>
        <v>1</v>
      </c>
      <c r="BA53" s="319"/>
      <c r="BB53" s="319"/>
      <c r="BC53" s="319"/>
      <c r="BD53" s="319"/>
      <c r="BE53" s="319"/>
      <c r="BF53" s="319"/>
      <c r="BG53" s="319"/>
      <c r="BH53" s="319"/>
      <c r="BI53" s="319"/>
      <c r="BJ53" s="177"/>
      <c r="BK53" s="271"/>
      <c r="BL53" s="319"/>
      <c r="BM53" s="245"/>
      <c r="BN53" s="319"/>
      <c r="BO53" s="245"/>
      <c r="BP53" s="177"/>
      <c r="BQ53" s="245"/>
      <c r="BR53" s="177"/>
      <c r="BS53" s="177"/>
      <c r="BT53" s="319"/>
      <c r="BU53" s="319"/>
      <c r="BV53" s="319"/>
      <c r="BW53" s="319"/>
      <c r="BX53" s="319"/>
      <c r="BY53" s="319"/>
      <c r="BZ53" s="319"/>
      <c r="CA53" s="158">
        <f t="shared" si="12"/>
        <v>1</v>
      </c>
      <c r="CB53" s="94"/>
      <c r="CC53" s="319"/>
      <c r="CD53" s="319"/>
      <c r="CE53" s="319"/>
      <c r="CF53" s="319"/>
      <c r="CG53" s="319"/>
      <c r="CH53" s="319"/>
      <c r="CI53" s="319"/>
      <c r="CJ53" s="319"/>
      <c r="CK53" s="245"/>
      <c r="CL53" s="319"/>
      <c r="CM53" s="319"/>
      <c r="CN53" s="319"/>
      <c r="CO53" s="319"/>
      <c r="CP53" s="319"/>
      <c r="CQ53" s="319"/>
      <c r="CR53" s="319"/>
      <c r="CS53" s="319"/>
      <c r="CT53" s="245"/>
      <c r="CU53" s="319"/>
      <c r="CV53" s="319"/>
      <c r="CW53" s="319"/>
      <c r="CX53" s="319"/>
      <c r="CY53" s="319"/>
      <c r="CZ53" s="319"/>
      <c r="DA53" s="319"/>
      <c r="DB53" s="319"/>
      <c r="DC53" s="319"/>
      <c r="DD53" s="319"/>
      <c r="DE53" s="319"/>
      <c r="DF53" s="319"/>
      <c r="DG53" s="245"/>
      <c r="DH53" s="319"/>
      <c r="DI53" s="319"/>
      <c r="DJ53" s="245"/>
      <c r="DK53" s="319"/>
      <c r="DL53" s="319"/>
      <c r="DM53" s="319"/>
      <c r="DN53" s="319"/>
      <c r="DO53" s="319"/>
      <c r="DP53" s="319"/>
      <c r="DQ53" s="319"/>
      <c r="DR53" s="319"/>
      <c r="DS53" s="319"/>
      <c r="DT53" s="319"/>
      <c r="DU53" s="419">
        <f t="shared" si="22"/>
        <v>0</v>
      </c>
      <c r="DV53" s="57"/>
      <c r="DW53" s="319"/>
      <c r="DX53" s="319"/>
      <c r="DY53" s="319"/>
      <c r="DZ53" s="319"/>
      <c r="EA53" s="319"/>
      <c r="EB53" s="319"/>
      <c r="EC53" s="319"/>
      <c r="ED53" s="319"/>
      <c r="EE53" s="319"/>
      <c r="EF53" s="319"/>
      <c r="EG53" s="319"/>
      <c r="EH53" s="319"/>
      <c r="EI53" s="319"/>
      <c r="EJ53" s="319"/>
      <c r="EK53" s="319"/>
      <c r="EL53" s="319"/>
      <c r="EM53" s="319"/>
      <c r="EN53" s="319"/>
      <c r="EO53" s="319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19"/>
      <c r="FE53" s="319"/>
      <c r="FF53" s="319"/>
      <c r="FG53" s="319"/>
      <c r="FH53" s="319"/>
      <c r="FI53" s="319"/>
      <c r="FJ53" s="319"/>
      <c r="FK53" s="319"/>
      <c r="FL53" s="319"/>
      <c r="FM53" s="319"/>
      <c r="FN53" s="319"/>
      <c r="FO53" s="319"/>
      <c r="FP53" s="319"/>
      <c r="FQ53" s="319"/>
      <c r="FR53" s="319"/>
      <c r="FS53" s="319"/>
      <c r="FT53" s="319"/>
      <c r="FU53" s="319"/>
      <c r="FV53" s="319"/>
      <c r="FW53" s="319"/>
      <c r="FX53" s="319"/>
      <c r="FY53" s="319"/>
      <c r="FZ53" s="319"/>
      <c r="GA53" s="158">
        <f t="shared" si="23"/>
        <v>0</v>
      </c>
      <c r="GB53" s="95"/>
      <c r="GC53" s="374"/>
      <c r="GD53" s="319"/>
      <c r="GE53" s="319"/>
      <c r="GF53" s="319"/>
      <c r="GG53" s="319"/>
      <c r="GH53" s="319"/>
      <c r="GI53" s="271"/>
      <c r="GJ53" s="271"/>
      <c r="GK53" s="271"/>
      <c r="GL53" s="271"/>
      <c r="GM53" s="272"/>
      <c r="GN53" s="435"/>
      <c r="GO53" s="327">
        <f t="shared" si="24"/>
        <v>0</v>
      </c>
      <c r="GP53" s="445">
        <f t="shared" si="25"/>
        <v>24</v>
      </c>
      <c r="GQ53" s="605">
        <f t="shared" si="26"/>
        <v>24</v>
      </c>
      <c r="GR53" s="627">
        <f t="shared" si="27"/>
        <v>899.33299999999997</v>
      </c>
      <c r="GS53" s="239">
        <f t="shared" si="28"/>
        <v>0</v>
      </c>
      <c r="GT53" s="36" t="str">
        <f t="shared" si="29"/>
        <v>Оптиген</v>
      </c>
      <c r="GU53" s="14"/>
      <c r="GV53" s="14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</row>
    <row r="54" spans="1:215" ht="15" customHeight="1" x14ac:dyDescent="0.3">
      <c r="A54" s="1129">
        <f t="shared" si="21"/>
        <v>44</v>
      </c>
      <c r="B54" s="904" t="s">
        <v>500</v>
      </c>
      <c r="C54" s="565">
        <f>'1_квартал'!G53</f>
        <v>500</v>
      </c>
      <c r="D54" s="346">
        <v>200</v>
      </c>
      <c r="E54" s="1300">
        <v>442.78</v>
      </c>
      <c r="F54" s="572"/>
      <c r="G54" s="878">
        <f t="shared" si="9"/>
        <v>321.39</v>
      </c>
      <c r="H54" s="93">
        <v>557.22</v>
      </c>
      <c r="I54" s="93">
        <f>403+500</f>
        <v>903</v>
      </c>
      <c r="J54" s="112"/>
      <c r="K54" s="245"/>
      <c r="L54" s="245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245"/>
      <c r="AD54" s="319"/>
      <c r="AE54" s="319"/>
      <c r="AF54" s="245"/>
      <c r="AG54" s="319">
        <v>36.287999999999997</v>
      </c>
      <c r="AH54" s="319"/>
      <c r="AI54" s="319"/>
      <c r="AJ54" s="319"/>
      <c r="AK54" s="319"/>
      <c r="AL54" s="319"/>
      <c r="AM54" s="319">
        <f>6.854*3</f>
        <v>20.562000000000001</v>
      </c>
      <c r="AN54" s="319"/>
      <c r="AO54" s="319">
        <v>76.608000000000004</v>
      </c>
      <c r="AP54" s="319"/>
      <c r="AQ54" s="319">
        <v>39.659999999999997</v>
      </c>
      <c r="AR54" s="319"/>
      <c r="AS54" s="319">
        <v>26.88</v>
      </c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  <c r="BH54" s="319"/>
      <c r="BI54" s="319"/>
      <c r="BJ54" s="177"/>
      <c r="BK54" s="271"/>
      <c r="BL54" s="319"/>
      <c r="BM54" s="245"/>
      <c r="BN54" s="319"/>
      <c r="BO54" s="245"/>
      <c r="BP54" s="177"/>
      <c r="BQ54" s="245"/>
      <c r="BR54" s="177"/>
      <c r="BS54" s="177"/>
      <c r="BT54" s="319"/>
      <c r="BU54" s="319"/>
      <c r="BV54" s="319"/>
      <c r="BW54" s="319"/>
      <c r="BX54" s="319"/>
      <c r="BY54" s="319"/>
      <c r="BZ54" s="319"/>
      <c r="CA54" s="158">
        <f t="shared" si="12"/>
        <v>199.99799999999999</v>
      </c>
      <c r="CB54" s="112"/>
      <c r="CC54" s="319"/>
      <c r="CD54" s="319"/>
      <c r="CE54" s="319"/>
      <c r="CF54" s="319"/>
      <c r="CG54" s="319"/>
      <c r="CH54" s="319"/>
      <c r="CI54" s="319"/>
      <c r="CJ54" s="319"/>
      <c r="CK54" s="245"/>
      <c r="CL54" s="319">
        <f>8.225/0.3*0.2</f>
        <v>5.4833333333333343</v>
      </c>
      <c r="CM54" s="319">
        <f>22.68*5</f>
        <v>113.4</v>
      </c>
      <c r="CN54" s="319">
        <v>302.39999999999998</v>
      </c>
      <c r="CO54" s="319"/>
      <c r="CP54" s="319"/>
      <c r="CQ54" s="319"/>
      <c r="CR54" s="319"/>
      <c r="CS54" s="319"/>
      <c r="CT54" s="245"/>
      <c r="CU54" s="319"/>
      <c r="CV54" s="319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245"/>
      <c r="DH54" s="319">
        <v>14.243</v>
      </c>
      <c r="DI54" s="319"/>
      <c r="DJ54" s="245"/>
      <c r="DK54" s="319"/>
      <c r="DL54" s="319"/>
      <c r="DM54" s="319"/>
      <c r="DN54" s="319"/>
      <c r="DO54" s="319"/>
      <c r="DP54" s="319"/>
      <c r="DQ54" s="319"/>
      <c r="DR54" s="319">
        <f>24.192*0.3</f>
        <v>7.2576000000000001</v>
      </c>
      <c r="DS54" s="319"/>
      <c r="DT54" s="319"/>
      <c r="DU54" s="419">
        <f t="shared" si="22"/>
        <v>442.78393333333332</v>
      </c>
      <c r="DV54" s="57"/>
      <c r="DW54" s="319"/>
      <c r="DX54" s="319"/>
      <c r="DY54" s="319"/>
      <c r="DZ54" s="319"/>
      <c r="EA54" s="319"/>
      <c r="EB54" s="319">
        <f>51.408*3</f>
        <v>154.22399999999999</v>
      </c>
      <c r="EC54" s="319"/>
      <c r="ED54" s="319"/>
      <c r="EE54" s="319"/>
      <c r="EF54" s="319"/>
      <c r="EG54" s="319"/>
      <c r="EH54" s="319"/>
      <c r="EI54" s="319"/>
      <c r="EJ54" s="319"/>
      <c r="EK54" s="319"/>
      <c r="EL54" s="319"/>
      <c r="EM54" s="319"/>
      <c r="EN54" s="319"/>
      <c r="EO54" s="319"/>
      <c r="EP54" s="319"/>
      <c r="EQ54" s="319"/>
      <c r="ER54" s="319"/>
      <c r="ES54" s="319"/>
      <c r="ET54" s="319"/>
      <c r="EU54" s="319"/>
      <c r="EV54" s="319"/>
      <c r="EW54" s="319"/>
      <c r="EX54" s="319"/>
      <c r="EY54" s="319"/>
      <c r="EZ54" s="319"/>
      <c r="FA54" s="319"/>
      <c r="FB54" s="319"/>
      <c r="FC54" s="319"/>
      <c r="FD54" s="319"/>
      <c r="FE54" s="319"/>
      <c r="FF54" s="319"/>
      <c r="FG54" s="319"/>
      <c r="FH54" s="319"/>
      <c r="FI54" s="319"/>
      <c r="FJ54" s="319"/>
      <c r="FK54" s="319"/>
      <c r="FL54" s="319"/>
      <c r="FM54" s="319"/>
      <c r="FN54" s="319"/>
      <c r="FO54" s="319"/>
      <c r="FP54" s="319"/>
      <c r="FQ54" s="319"/>
      <c r="FR54" s="319"/>
      <c r="FS54" s="319"/>
      <c r="FT54" s="319"/>
      <c r="FU54" s="319"/>
      <c r="FV54" s="319"/>
      <c r="FW54" s="319"/>
      <c r="FX54" s="319"/>
      <c r="FY54" s="319"/>
      <c r="FZ54" s="319"/>
      <c r="GA54" s="158">
        <f t="shared" si="23"/>
        <v>154.22399999999999</v>
      </c>
      <c r="GB54" s="113"/>
      <c r="GC54" s="374"/>
      <c r="GD54" s="319"/>
      <c r="GE54" s="319"/>
      <c r="GF54" s="319"/>
      <c r="GG54" s="319"/>
      <c r="GH54" s="319"/>
      <c r="GI54" s="271"/>
      <c r="GJ54" s="271"/>
      <c r="GK54" s="271"/>
      <c r="GL54" s="271"/>
      <c r="GM54" s="1234"/>
      <c r="GN54" s="437"/>
      <c r="GO54" s="327">
        <f t="shared" si="24"/>
        <v>0</v>
      </c>
      <c r="GP54" s="454">
        <f t="shared" si="25"/>
        <v>903</v>
      </c>
      <c r="GQ54" s="605">
        <f t="shared" si="26"/>
        <v>903</v>
      </c>
      <c r="GR54" s="627">
        <f t="shared" si="27"/>
        <v>500</v>
      </c>
      <c r="GS54" s="239">
        <f t="shared" si="28"/>
        <v>442.78</v>
      </c>
      <c r="GT54" s="36" t="str">
        <f t="shared" si="29"/>
        <v>Оптима 100</v>
      </c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</row>
    <row r="55" spans="1:215" ht="15" customHeight="1" x14ac:dyDescent="0.3">
      <c r="A55" s="1129">
        <f t="shared" si="21"/>
        <v>45</v>
      </c>
      <c r="B55" s="746" t="s">
        <v>139</v>
      </c>
      <c r="C55" s="565">
        <f>'1_квартал'!G54</f>
        <v>0</v>
      </c>
      <c r="D55" s="346">
        <v>0</v>
      </c>
      <c r="E55" s="1300">
        <v>0</v>
      </c>
      <c r="F55" s="572"/>
      <c r="G55" s="878">
        <f t="shared" si="9"/>
        <v>0</v>
      </c>
      <c r="H55" s="370">
        <v>0</v>
      </c>
      <c r="I55" s="370">
        <v>0</v>
      </c>
      <c r="J55" s="112"/>
      <c r="K55" s="245"/>
      <c r="L55" s="245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 s="319"/>
      <c r="AC55" s="245"/>
      <c r="AD55" s="319"/>
      <c r="AE55" s="319"/>
      <c r="AF55" s="245"/>
      <c r="AG55" s="319"/>
      <c r="AH55" s="319"/>
      <c r="AI55" s="319"/>
      <c r="AJ55" s="319"/>
      <c r="AK55" s="319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19"/>
      <c r="AZ55" s="319"/>
      <c r="BA55" s="319"/>
      <c r="BB55" s="319"/>
      <c r="BC55" s="319"/>
      <c r="BD55" s="319"/>
      <c r="BE55" s="319"/>
      <c r="BF55" s="319"/>
      <c r="BG55" s="319"/>
      <c r="BH55" s="319"/>
      <c r="BI55" s="319"/>
      <c r="BJ55" s="177"/>
      <c r="BK55" s="271"/>
      <c r="BL55" s="319"/>
      <c r="BM55" s="245"/>
      <c r="BN55" s="319"/>
      <c r="BO55" s="245"/>
      <c r="BP55" s="177"/>
      <c r="BQ55" s="245"/>
      <c r="BR55" s="177"/>
      <c r="BS55" s="177"/>
      <c r="BT55" s="319"/>
      <c r="BU55" s="319"/>
      <c r="BV55" s="319"/>
      <c r="BW55" s="319"/>
      <c r="BX55" s="319"/>
      <c r="BY55" s="319"/>
      <c r="BZ55" s="319"/>
      <c r="CA55" s="158">
        <f t="shared" si="12"/>
        <v>0</v>
      </c>
      <c r="CB55" s="112"/>
      <c r="CC55" s="319"/>
      <c r="CD55" s="319"/>
      <c r="CE55" s="319"/>
      <c r="CF55" s="319"/>
      <c r="CG55" s="319"/>
      <c r="CH55" s="319"/>
      <c r="CI55" s="319"/>
      <c r="CJ55" s="319"/>
      <c r="CK55" s="245"/>
      <c r="CL55" s="319"/>
      <c r="CM55" s="319"/>
      <c r="CN55" s="319"/>
      <c r="CO55" s="319"/>
      <c r="CP55" s="319"/>
      <c r="CQ55" s="319"/>
      <c r="CR55" s="319"/>
      <c r="CS55" s="319"/>
      <c r="CT55" s="245"/>
      <c r="CU55" s="319"/>
      <c r="CV55" s="319"/>
      <c r="CW55" s="319"/>
      <c r="CX55" s="319"/>
      <c r="CY55" s="319"/>
      <c r="CZ55" s="319"/>
      <c r="DA55" s="319"/>
      <c r="DB55" s="319"/>
      <c r="DC55" s="319"/>
      <c r="DD55" s="319"/>
      <c r="DE55" s="319"/>
      <c r="DF55" s="319"/>
      <c r="DG55" s="245"/>
      <c r="DH55" s="319"/>
      <c r="DI55" s="319"/>
      <c r="DJ55" s="245"/>
      <c r="DK55" s="319"/>
      <c r="DL55" s="319"/>
      <c r="DM55" s="319"/>
      <c r="DN55" s="319"/>
      <c r="DO55" s="319"/>
      <c r="DP55" s="319"/>
      <c r="DQ55" s="319"/>
      <c r="DR55" s="319"/>
      <c r="DS55" s="319"/>
      <c r="DT55" s="319"/>
      <c r="DU55" s="419">
        <f t="shared" si="22"/>
        <v>0</v>
      </c>
      <c r="DV55" s="57"/>
      <c r="DW55" s="319"/>
      <c r="DX55" s="319"/>
      <c r="DY55" s="319"/>
      <c r="DZ55" s="319"/>
      <c r="EA55" s="319"/>
      <c r="EB55" s="319"/>
      <c r="EC55" s="319"/>
      <c r="ED55" s="319"/>
      <c r="EE55" s="319"/>
      <c r="EF55" s="319"/>
      <c r="EG55" s="319"/>
      <c r="EH55" s="319"/>
      <c r="EI55" s="319"/>
      <c r="EJ55" s="319"/>
      <c r="EK55" s="319"/>
      <c r="EL55" s="319"/>
      <c r="EM55" s="319"/>
      <c r="EN55" s="319"/>
      <c r="EO55" s="319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19"/>
      <c r="FE55" s="319"/>
      <c r="FF55" s="319"/>
      <c r="FG55" s="319"/>
      <c r="FH55" s="319"/>
      <c r="FI55" s="319"/>
      <c r="FJ55" s="319"/>
      <c r="FK55" s="319"/>
      <c r="FL55" s="319"/>
      <c r="FM55" s="319"/>
      <c r="FN55" s="319"/>
      <c r="FO55" s="319"/>
      <c r="FP55" s="319"/>
      <c r="FQ55" s="319"/>
      <c r="FR55" s="319"/>
      <c r="FS55" s="319"/>
      <c r="FT55" s="319"/>
      <c r="FU55" s="319"/>
      <c r="FV55" s="319"/>
      <c r="FW55" s="319"/>
      <c r="FX55" s="319"/>
      <c r="FY55" s="319"/>
      <c r="FZ55" s="319"/>
      <c r="GA55" s="158">
        <f t="shared" si="23"/>
        <v>0</v>
      </c>
      <c r="GB55" s="113"/>
      <c r="GC55" s="374"/>
      <c r="GD55" s="319"/>
      <c r="GE55" s="319"/>
      <c r="GF55" s="319"/>
      <c r="GG55" s="319"/>
      <c r="GH55" s="319"/>
      <c r="GI55" s="271"/>
      <c r="GJ55" s="271"/>
      <c r="GK55" s="271"/>
      <c r="GL55" s="271"/>
      <c r="GM55" s="272"/>
      <c r="GN55" s="435"/>
      <c r="GO55" s="327">
        <f t="shared" si="24"/>
        <v>0</v>
      </c>
      <c r="GP55" s="445">
        <f t="shared" si="25"/>
        <v>0</v>
      </c>
      <c r="GQ55" s="605">
        <f t="shared" si="26"/>
        <v>0</v>
      </c>
      <c r="GR55" s="627">
        <f t="shared" si="27"/>
        <v>0</v>
      </c>
      <c r="GS55" s="239">
        <f t="shared" si="28"/>
        <v>0</v>
      </c>
      <c r="GT55" s="36" t="str">
        <f t="shared" si="29"/>
        <v>МеноМет</v>
      </c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</row>
    <row r="56" spans="1:215" ht="15" customHeight="1" x14ac:dyDescent="0.3">
      <c r="A56" s="1129">
        <f t="shared" si="21"/>
        <v>46</v>
      </c>
      <c r="B56" s="691" t="s">
        <v>31</v>
      </c>
      <c r="C56" s="565">
        <f>'1_квартал'!G55</f>
        <v>3746.67</v>
      </c>
      <c r="D56" s="346">
        <f>313.44+25+175+800+1000+1062.46</f>
        <v>3375.9</v>
      </c>
      <c r="E56" s="1300">
        <f>937.54+24+2231.68</f>
        <v>3193.22</v>
      </c>
      <c r="F56" s="572"/>
      <c r="G56" s="878">
        <f t="shared" si="9"/>
        <v>3284.56</v>
      </c>
      <c r="H56" s="93">
        <f>743.32+3000</f>
        <v>3743.32</v>
      </c>
      <c r="I56" s="93">
        <f>697.96+3000</f>
        <v>3697.96</v>
      </c>
      <c r="J56" s="94"/>
      <c r="K56" s="245"/>
      <c r="L56" s="245"/>
      <c r="M56" s="319"/>
      <c r="N56" s="319">
        <f>70.56*5</f>
        <v>352.8</v>
      </c>
      <c r="O56" s="319">
        <f>40.32*2.7</f>
        <v>108.864</v>
      </c>
      <c r="P56" s="319"/>
      <c r="Q56" s="319">
        <f>40.32*0.6</f>
        <v>24.192</v>
      </c>
      <c r="R56" s="319"/>
      <c r="S56" s="319">
        <f>30.24*7.5</f>
        <v>226.79999999999998</v>
      </c>
      <c r="T56" s="319">
        <f>30.24*3.5</f>
        <v>105.83999999999999</v>
      </c>
      <c r="U56" s="319"/>
      <c r="V56" s="319"/>
      <c r="W56" s="319"/>
      <c r="X56" s="319">
        <f>30.24*3</f>
        <v>90.72</v>
      </c>
      <c r="Y56" s="319"/>
      <c r="Z56" s="319"/>
      <c r="AA56" s="319"/>
      <c r="AB56" s="319">
        <f>30.24*3</f>
        <v>90.72</v>
      </c>
      <c r="AC56" s="245"/>
      <c r="AD56" s="319"/>
      <c r="AE56" s="319"/>
      <c r="AF56" s="245"/>
      <c r="AG56" s="319"/>
      <c r="AH56" s="319">
        <f>141.12*2</f>
        <v>282.24</v>
      </c>
      <c r="AI56" s="319">
        <f>141.12*8</f>
        <v>1128.96</v>
      </c>
      <c r="AJ56" s="319"/>
      <c r="AK56" s="319"/>
      <c r="AL56" s="319"/>
      <c r="AM56" s="319"/>
      <c r="AN56" s="319">
        <v>40.32</v>
      </c>
      <c r="AO56" s="319"/>
      <c r="AP56" s="319"/>
      <c r="AQ56" s="319">
        <v>3.2250000000000001</v>
      </c>
      <c r="AR56" s="319"/>
      <c r="AS56" s="319">
        <v>5.3760000000000003</v>
      </c>
      <c r="AT56" s="319"/>
      <c r="AU56" s="319"/>
      <c r="AV56" s="319"/>
      <c r="AW56" s="319"/>
      <c r="AX56" s="319"/>
      <c r="AY56" s="319"/>
      <c r="AZ56" s="319">
        <v>75.599999999999994</v>
      </c>
      <c r="BA56" s="319"/>
      <c r="BB56" s="319"/>
      <c r="BC56" s="319">
        <f>44.755/1.2*0.3</f>
        <v>11.188750000000001</v>
      </c>
      <c r="BD56" s="319">
        <f>11.491/0.3*0.1</f>
        <v>3.8303333333333338</v>
      </c>
      <c r="BE56" s="319">
        <v>2.016</v>
      </c>
      <c r="BF56" s="319"/>
      <c r="BG56" s="319"/>
      <c r="BH56" s="319"/>
      <c r="BI56" s="319"/>
      <c r="BJ56" s="177">
        <f>26.877/8*1.8</f>
        <v>6.0473249999999998</v>
      </c>
      <c r="BK56" s="271">
        <f>26.877/8*1.5</f>
        <v>5.0394375</v>
      </c>
      <c r="BL56" s="319"/>
      <c r="BM56" s="245"/>
      <c r="BN56" s="319"/>
      <c r="BO56" s="245">
        <f>60.48*5</f>
        <v>302.39999999999998</v>
      </c>
      <c r="BP56" s="177">
        <f>26.877/8*4.7</f>
        <v>15.7902375</v>
      </c>
      <c r="BQ56" s="245"/>
      <c r="BR56" s="177">
        <f>4.536/0.9*0.8</f>
        <v>4.0319999999999991</v>
      </c>
      <c r="BS56" s="177">
        <f>50.4*4</f>
        <v>201.6</v>
      </c>
      <c r="BT56" s="319"/>
      <c r="BU56" s="319">
        <f>131.04*0.4</f>
        <v>52.415999999999997</v>
      </c>
      <c r="BV56" s="319"/>
      <c r="BW56" s="319"/>
      <c r="BX56" s="319">
        <v>120.96</v>
      </c>
      <c r="BY56" s="319">
        <f>30.24*3.8</f>
        <v>114.91199999999999</v>
      </c>
      <c r="BZ56" s="319"/>
      <c r="CA56" s="158">
        <f t="shared" si="12"/>
        <v>3375.8890833333335</v>
      </c>
      <c r="CB56" s="94"/>
      <c r="CC56" s="319"/>
      <c r="CD56" s="319"/>
      <c r="CE56" s="319"/>
      <c r="CF56" s="319"/>
      <c r="CG56" s="319"/>
      <c r="CH56" s="319"/>
      <c r="CI56" s="319"/>
      <c r="CJ56" s="319"/>
      <c r="CK56" s="245"/>
      <c r="CL56" s="319"/>
      <c r="CM56" s="319"/>
      <c r="CN56" s="319">
        <v>45.36</v>
      </c>
      <c r="CO56" s="319">
        <f>30.24*6</f>
        <v>181.44</v>
      </c>
      <c r="CP56" s="319"/>
      <c r="CQ56" s="319"/>
      <c r="CR56" s="319"/>
      <c r="CS56" s="319">
        <f>70.56*5</f>
        <v>352.8</v>
      </c>
      <c r="CT56" s="245">
        <f>60.48*5</f>
        <v>302.39999999999998</v>
      </c>
      <c r="CU56" s="319"/>
      <c r="CV56" s="319"/>
      <c r="CW56" s="319"/>
      <c r="CX56" s="319"/>
      <c r="CY56" s="319"/>
      <c r="CZ56" s="319"/>
      <c r="DA56" s="319"/>
      <c r="DB56" s="319"/>
      <c r="DC56" s="319">
        <f>75.6/3*3.5</f>
        <v>88.2</v>
      </c>
      <c r="DD56" s="319">
        <f>120.96*7</f>
        <v>846.71999999999991</v>
      </c>
      <c r="DE56" s="319">
        <f>120.96*3</f>
        <v>362.88</v>
      </c>
      <c r="DF56" s="319">
        <f>0.252*1.5</f>
        <v>0.378</v>
      </c>
      <c r="DG56" s="245"/>
      <c r="DH56" s="319"/>
      <c r="DI56" s="319"/>
      <c r="DJ56" s="245"/>
      <c r="DK56" s="319">
        <f>30.24*5</f>
        <v>151.19999999999999</v>
      </c>
      <c r="DL56" s="319"/>
      <c r="DM56" s="319">
        <f>30.24*7</f>
        <v>211.67999999999998</v>
      </c>
      <c r="DN56" s="319"/>
      <c r="DO56" s="319"/>
      <c r="DP56" s="319">
        <f>30.24*1.5</f>
        <v>45.36</v>
      </c>
      <c r="DQ56" s="319"/>
      <c r="DR56" s="319"/>
      <c r="DS56" s="319"/>
      <c r="DT56" s="319">
        <f>120.96*5</f>
        <v>604.79999999999995</v>
      </c>
      <c r="DU56" s="419">
        <f t="shared" si="22"/>
        <v>3193.2179999999998</v>
      </c>
      <c r="DV56" s="57"/>
      <c r="DW56" s="319"/>
      <c r="DX56" s="319"/>
      <c r="DY56" s="319">
        <f>30.24*1.5</f>
        <v>45.36</v>
      </c>
      <c r="DZ56" s="319"/>
      <c r="EA56" s="319"/>
      <c r="EB56" s="319"/>
      <c r="EC56" s="319"/>
      <c r="ED56" s="319"/>
      <c r="EE56" s="319"/>
      <c r="EF56" s="319"/>
      <c r="EG56" s="319"/>
      <c r="EH56" s="319"/>
      <c r="EI56" s="319"/>
      <c r="EJ56" s="319"/>
      <c r="EK56" s="319"/>
      <c r="EL56" s="319"/>
      <c r="EM56" s="319"/>
      <c r="EN56" s="319"/>
      <c r="EO56" s="319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19"/>
      <c r="FE56" s="319"/>
      <c r="FF56" s="319"/>
      <c r="FG56" s="319"/>
      <c r="FH56" s="319"/>
      <c r="FI56" s="319"/>
      <c r="FJ56" s="319"/>
      <c r="FK56" s="319"/>
      <c r="FL56" s="319"/>
      <c r="FM56" s="319"/>
      <c r="FN56" s="319"/>
      <c r="FO56" s="319"/>
      <c r="FP56" s="319"/>
      <c r="FQ56" s="319"/>
      <c r="FR56" s="319"/>
      <c r="FS56" s="319"/>
      <c r="FT56" s="319"/>
      <c r="FU56" s="319"/>
      <c r="FV56" s="319"/>
      <c r="FW56" s="319"/>
      <c r="FX56" s="319"/>
      <c r="FY56" s="319"/>
      <c r="FZ56" s="319"/>
      <c r="GA56" s="158">
        <f t="shared" si="23"/>
        <v>45.36</v>
      </c>
      <c r="GB56" s="95"/>
      <c r="GC56" s="374"/>
      <c r="GD56" s="319"/>
      <c r="GE56" s="319"/>
      <c r="GF56" s="319"/>
      <c r="GG56" s="319"/>
      <c r="GH56" s="319"/>
      <c r="GI56" s="271"/>
      <c r="GJ56" s="271"/>
      <c r="GK56" s="271"/>
      <c r="GL56" s="271"/>
      <c r="GM56" s="272"/>
      <c r="GN56" s="435"/>
      <c r="GO56" s="327">
        <f t="shared" si="24"/>
        <v>0</v>
      </c>
      <c r="GP56" s="454">
        <f t="shared" si="25"/>
        <v>3697.96</v>
      </c>
      <c r="GQ56" s="605">
        <f t="shared" si="26"/>
        <v>3697.96</v>
      </c>
      <c r="GR56" s="627">
        <f t="shared" si="27"/>
        <v>3746.67</v>
      </c>
      <c r="GS56" s="239">
        <f t="shared" si="28"/>
        <v>3193.22</v>
      </c>
      <c r="GT56" s="36" t="str">
        <f t="shared" si="29"/>
        <v>Микосорб</v>
      </c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</row>
    <row r="57" spans="1:215" ht="15" customHeight="1" x14ac:dyDescent="0.3">
      <c r="A57" s="1129">
        <f t="shared" si="21"/>
        <v>47</v>
      </c>
      <c r="B57" s="699" t="s">
        <v>41</v>
      </c>
      <c r="C57" s="565">
        <f>'1_квартал'!G56</f>
        <v>5435.5630000000001</v>
      </c>
      <c r="D57" s="346">
        <f>3838.11+956.33</f>
        <v>4794.4400000000005</v>
      </c>
      <c r="E57" s="1300">
        <f>4042.67+1000+295.9</f>
        <v>5338.57</v>
      </c>
      <c r="F57" s="572"/>
      <c r="G57" s="878">
        <f t="shared" si="9"/>
        <v>5066.5050000000001</v>
      </c>
      <c r="H57" s="93">
        <v>3703.1</v>
      </c>
      <c r="I57" s="93">
        <v>2733.4</v>
      </c>
      <c r="J57" s="112"/>
      <c r="K57" s="245">
        <f>131.04*3</f>
        <v>393.12</v>
      </c>
      <c r="L57" s="245"/>
      <c r="M57" s="319"/>
      <c r="N57" s="319">
        <f>100.8*5</f>
        <v>504</v>
      </c>
      <c r="O57" s="319">
        <f>24.192*2.7</f>
        <v>65.318400000000011</v>
      </c>
      <c r="P57" s="319">
        <f>131.04*2.4</f>
        <v>314.49599999999998</v>
      </c>
      <c r="Q57" s="319"/>
      <c r="R57" s="319"/>
      <c r="S57" s="319">
        <f>24.192*7.5</f>
        <v>181.44</v>
      </c>
      <c r="T57" s="319"/>
      <c r="U57" s="319"/>
      <c r="V57" s="319">
        <f>132.048*1.6</f>
        <v>211.27680000000001</v>
      </c>
      <c r="W57" s="319">
        <f>24.192*0.6</f>
        <v>14.5152</v>
      </c>
      <c r="X57" s="319"/>
      <c r="Y57" s="319"/>
      <c r="Z57" s="319">
        <v>14.515000000000001</v>
      </c>
      <c r="AA57" s="319"/>
      <c r="AB57" s="319">
        <f>24.192*3</f>
        <v>72.575999999999993</v>
      </c>
      <c r="AC57" s="245">
        <f>131.04*2</f>
        <v>262.08</v>
      </c>
      <c r="AD57" s="319"/>
      <c r="AE57" s="319"/>
      <c r="AF57" s="245"/>
      <c r="AG57" s="319"/>
      <c r="AH57" s="319">
        <f>95.76*2</f>
        <v>191.52</v>
      </c>
      <c r="AI57" s="319">
        <f>95.76*8</f>
        <v>766.08</v>
      </c>
      <c r="AJ57" s="319">
        <f>132.048*1.4</f>
        <v>184.8672</v>
      </c>
      <c r="AK57" s="319">
        <v>6.6150000000000002</v>
      </c>
      <c r="AL57" s="319"/>
      <c r="AM57" s="319">
        <f>132.048*3</f>
        <v>396.14400000000001</v>
      </c>
      <c r="AN57" s="319"/>
      <c r="AO57" s="319"/>
      <c r="AP57" s="319"/>
      <c r="AQ57" s="319"/>
      <c r="AR57" s="319"/>
      <c r="AS57" s="319"/>
      <c r="AT57" s="319"/>
      <c r="AU57" s="319"/>
      <c r="AV57" s="319"/>
      <c r="AW57" s="319"/>
      <c r="AX57" s="319">
        <f>131.04*5</f>
        <v>655.19999999999993</v>
      </c>
      <c r="AY57" s="319"/>
      <c r="AZ57" s="319">
        <v>72.575999999999993</v>
      </c>
      <c r="BA57" s="319"/>
      <c r="BB57" s="319"/>
      <c r="BC57" s="319"/>
      <c r="BD57" s="319"/>
      <c r="BE57" s="319"/>
      <c r="BF57" s="319"/>
      <c r="BG57" s="319"/>
      <c r="BH57" s="319"/>
      <c r="BI57" s="319"/>
      <c r="BJ57" s="177"/>
      <c r="BK57" s="271"/>
      <c r="BL57" s="319"/>
      <c r="BM57" s="245"/>
      <c r="BN57" s="319"/>
      <c r="BO57" s="245"/>
      <c r="BP57" s="177"/>
      <c r="BQ57" s="245"/>
      <c r="BR57" s="177"/>
      <c r="BS57" s="177"/>
      <c r="BT57" s="319"/>
      <c r="BU57" s="319"/>
      <c r="BV57" s="319"/>
      <c r="BW57" s="319">
        <f>132.048*3</f>
        <v>396.14400000000001</v>
      </c>
      <c r="BX57" s="319"/>
      <c r="BY57" s="319">
        <f>24.192*3.8</f>
        <v>91.929599999999994</v>
      </c>
      <c r="BZ57" s="319"/>
      <c r="CA57" s="158">
        <f t="shared" si="12"/>
        <v>4794.4132000000009</v>
      </c>
      <c r="CB57" s="112"/>
      <c r="CC57" s="319">
        <f>131.04*2.4</f>
        <v>314.49599999999998</v>
      </c>
      <c r="CD57" s="319"/>
      <c r="CE57" s="319">
        <f>24.192*0.6</f>
        <v>14.5152</v>
      </c>
      <c r="CF57" s="319">
        <f>132.048*1.8</f>
        <v>237.68640000000002</v>
      </c>
      <c r="CG57" s="319">
        <f>132.048*1.3</f>
        <v>171.66240000000002</v>
      </c>
      <c r="CH57" s="319"/>
      <c r="CI57" s="319"/>
      <c r="CJ57" s="319"/>
      <c r="CK57" s="245">
        <f>131.04*5</f>
        <v>655.19999999999993</v>
      </c>
      <c r="CL57" s="319"/>
      <c r="CM57" s="319">
        <f>132.048*5</f>
        <v>660.24</v>
      </c>
      <c r="CN57" s="319"/>
      <c r="CO57" s="319">
        <f>24.192*6</f>
        <v>145.15199999999999</v>
      </c>
      <c r="CP57" s="319"/>
      <c r="CQ57" s="319"/>
      <c r="CR57" s="319"/>
      <c r="CS57" s="319">
        <f>100.8*5</f>
        <v>504</v>
      </c>
      <c r="CT57" s="245"/>
      <c r="CU57" s="319"/>
      <c r="CV57" s="319">
        <f>131.04*4</f>
        <v>524.16</v>
      </c>
      <c r="CW57" s="319"/>
      <c r="CX57" s="319"/>
      <c r="CY57" s="319"/>
      <c r="CZ57" s="319"/>
      <c r="DA57" s="319"/>
      <c r="DB57" s="319">
        <f>302.4</f>
        <v>302.39999999999998</v>
      </c>
      <c r="DC57" s="319">
        <f>72.576/3*3.5</f>
        <v>84.671999999999983</v>
      </c>
      <c r="DD57" s="319">
        <f>80.64*7</f>
        <v>564.48</v>
      </c>
      <c r="DE57" s="319">
        <f>80.64*3</f>
        <v>241.92000000000002</v>
      </c>
      <c r="DF57" s="319"/>
      <c r="DG57" s="245"/>
      <c r="DH57" s="319"/>
      <c r="DI57" s="319"/>
      <c r="DJ57" s="245"/>
      <c r="DK57" s="319">
        <f>24.192*5</f>
        <v>120.96000000000001</v>
      </c>
      <c r="DL57" s="319"/>
      <c r="DM57" s="319">
        <f>24.192*7</f>
        <v>169.34399999999999</v>
      </c>
      <c r="DN57" s="319"/>
      <c r="DO57" s="319"/>
      <c r="DP57" s="319"/>
      <c r="DQ57" s="319">
        <f>132.048*1.7</f>
        <v>224.48159999999999</v>
      </c>
      <c r="DR57" s="319"/>
      <c r="DS57" s="319"/>
      <c r="DT57" s="319">
        <f>80.64*5</f>
        <v>403.2</v>
      </c>
      <c r="DU57" s="419">
        <f t="shared" si="22"/>
        <v>5338.5696000000007</v>
      </c>
      <c r="DV57" s="57"/>
      <c r="DW57" s="319">
        <f>131.04*2.4</f>
        <v>314.49599999999998</v>
      </c>
      <c r="DX57" s="319"/>
      <c r="DY57" s="319"/>
      <c r="DZ57" s="319"/>
      <c r="EA57" s="319">
        <f>131.04*5</f>
        <v>655.19999999999993</v>
      </c>
      <c r="EB57" s="319"/>
      <c r="EC57" s="319"/>
      <c r="ED57" s="319"/>
      <c r="EE57" s="319"/>
      <c r="EF57" s="319"/>
      <c r="EG57" s="319"/>
      <c r="EH57" s="319"/>
      <c r="EI57" s="319"/>
      <c r="EJ57" s="319"/>
      <c r="EK57" s="319"/>
      <c r="EL57" s="319"/>
      <c r="EM57" s="319"/>
      <c r="EN57" s="319"/>
      <c r="EO57" s="319"/>
      <c r="EP57" s="319"/>
      <c r="EQ57" s="319"/>
      <c r="ER57" s="319"/>
      <c r="ES57" s="319"/>
      <c r="ET57" s="319"/>
      <c r="EU57" s="319"/>
      <c r="EV57" s="319"/>
      <c r="EW57" s="319"/>
      <c r="EX57" s="319"/>
      <c r="EY57" s="319"/>
      <c r="EZ57" s="319"/>
      <c r="FA57" s="319"/>
      <c r="FB57" s="319"/>
      <c r="FC57" s="319"/>
      <c r="FD57" s="319"/>
      <c r="FE57" s="319"/>
      <c r="FF57" s="319"/>
      <c r="FG57" s="319"/>
      <c r="FH57" s="319"/>
      <c r="FI57" s="319"/>
      <c r="FJ57" s="319"/>
      <c r="FK57" s="319"/>
      <c r="FL57" s="319"/>
      <c r="FM57" s="319"/>
      <c r="FN57" s="319"/>
      <c r="FO57" s="319"/>
      <c r="FP57" s="319"/>
      <c r="FQ57" s="319"/>
      <c r="FR57" s="319"/>
      <c r="FS57" s="319"/>
      <c r="FT57" s="319"/>
      <c r="FU57" s="319"/>
      <c r="FV57" s="319"/>
      <c r="FW57" s="319"/>
      <c r="FX57" s="319"/>
      <c r="FY57" s="319"/>
      <c r="FZ57" s="319"/>
      <c r="GA57" s="158">
        <f t="shared" si="23"/>
        <v>969.69599999999991</v>
      </c>
      <c r="GB57" s="113"/>
      <c r="GC57" s="374"/>
      <c r="GD57" s="319"/>
      <c r="GE57" s="319">
        <f>24.192*0.9</f>
        <v>21.7728</v>
      </c>
      <c r="GF57" s="319">
        <f>100.8*3</f>
        <v>302.39999999999998</v>
      </c>
      <c r="GG57" s="319"/>
      <c r="GH57" s="319">
        <f>132.048*3</f>
        <v>396.14400000000001</v>
      </c>
      <c r="GI57" s="271"/>
      <c r="GJ57" s="271"/>
      <c r="GK57" s="271"/>
      <c r="GL57" s="271"/>
      <c r="GM57" s="272"/>
      <c r="GN57" s="435"/>
      <c r="GO57" s="327">
        <f t="shared" si="24"/>
        <v>720.31680000000006</v>
      </c>
      <c r="GP57" s="558">
        <f t="shared" si="25"/>
        <v>2013.0832</v>
      </c>
      <c r="GQ57" s="605">
        <f t="shared" si="26"/>
        <v>2733.4</v>
      </c>
      <c r="GR57" s="627">
        <f t="shared" si="27"/>
        <v>5435.5630000000001</v>
      </c>
      <c r="GS57" s="239">
        <f t="shared" si="28"/>
        <v>5338.57</v>
      </c>
      <c r="GT57" s="36" t="str">
        <f t="shared" si="29"/>
        <v>МЕГАсодиум</v>
      </c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</row>
    <row r="58" spans="1:215" ht="15" customHeight="1" x14ac:dyDescent="0.3">
      <c r="A58" s="1130">
        <f>A57+1</f>
        <v>48</v>
      </c>
      <c r="B58" s="904" t="s">
        <v>540</v>
      </c>
      <c r="C58" s="565">
        <f>'1_квартал'!G57</f>
        <v>5.04</v>
      </c>
      <c r="D58" s="346">
        <v>0</v>
      </c>
      <c r="E58" s="1300">
        <v>4.88</v>
      </c>
      <c r="F58" s="572"/>
      <c r="G58" s="878">
        <f t="shared" si="9"/>
        <v>2.44</v>
      </c>
      <c r="H58" s="93">
        <v>0</v>
      </c>
      <c r="I58" s="93">
        <v>0</v>
      </c>
      <c r="J58" s="94"/>
      <c r="K58" s="245"/>
      <c r="L58" s="245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245"/>
      <c r="AD58" s="319"/>
      <c r="AE58" s="319"/>
      <c r="AF58" s="245"/>
      <c r="AG58" s="319"/>
      <c r="AH58" s="319"/>
      <c r="AI58" s="319"/>
      <c r="AJ58" s="319"/>
      <c r="AK58" s="319"/>
      <c r="AL58" s="319"/>
      <c r="AM58" s="319"/>
      <c r="AN58" s="319"/>
      <c r="AO58" s="319"/>
      <c r="AP58" s="319"/>
      <c r="AQ58" s="319"/>
      <c r="AR58" s="319"/>
      <c r="AS58" s="319"/>
      <c r="AT58" s="319"/>
      <c r="AU58" s="319"/>
      <c r="AV58" s="319"/>
      <c r="AW58" s="319"/>
      <c r="AX58" s="319"/>
      <c r="AY58" s="319"/>
      <c r="AZ58" s="319"/>
      <c r="BA58" s="319"/>
      <c r="BB58" s="319"/>
      <c r="BC58" s="319"/>
      <c r="BD58" s="319"/>
      <c r="BE58" s="319"/>
      <c r="BF58" s="319"/>
      <c r="BG58" s="319"/>
      <c r="BH58" s="319"/>
      <c r="BI58" s="319"/>
      <c r="BJ58" s="177"/>
      <c r="BK58" s="271"/>
      <c r="BL58" s="319"/>
      <c r="BM58" s="245"/>
      <c r="BN58" s="319"/>
      <c r="BO58" s="245"/>
      <c r="BP58" s="177"/>
      <c r="BQ58" s="245"/>
      <c r="BR58" s="177"/>
      <c r="BS58" s="177"/>
      <c r="BT58" s="319"/>
      <c r="BU58" s="319"/>
      <c r="BV58" s="319"/>
      <c r="BW58" s="319"/>
      <c r="BX58" s="319"/>
      <c r="BY58" s="319"/>
      <c r="BZ58" s="319"/>
      <c r="CA58" s="158">
        <f t="shared" si="12"/>
        <v>0</v>
      </c>
      <c r="CB58" s="94"/>
      <c r="CC58" s="319"/>
      <c r="CD58" s="319"/>
      <c r="CE58" s="319"/>
      <c r="CF58" s="319"/>
      <c r="CG58" s="319"/>
      <c r="CH58" s="319"/>
      <c r="CI58" s="319"/>
      <c r="CJ58" s="319"/>
      <c r="CK58" s="245"/>
      <c r="CL58" s="319"/>
      <c r="CM58" s="319"/>
      <c r="CN58" s="319">
        <v>4.88</v>
      </c>
      <c r="CO58" s="319"/>
      <c r="CP58" s="319"/>
      <c r="CQ58" s="319"/>
      <c r="CR58" s="319"/>
      <c r="CS58" s="319"/>
      <c r="CT58" s="245"/>
      <c r="CU58" s="319"/>
      <c r="CV58" s="319"/>
      <c r="CW58" s="319"/>
      <c r="CX58" s="319"/>
      <c r="CY58" s="319"/>
      <c r="CZ58" s="319"/>
      <c r="DA58" s="319"/>
      <c r="DB58" s="319"/>
      <c r="DC58" s="319"/>
      <c r="DD58" s="319"/>
      <c r="DE58" s="319"/>
      <c r="DF58" s="319"/>
      <c r="DG58" s="245"/>
      <c r="DH58" s="319"/>
      <c r="DI58" s="319"/>
      <c r="DJ58" s="245"/>
      <c r="DK58" s="319"/>
      <c r="DL58" s="319"/>
      <c r="DM58" s="319"/>
      <c r="DN58" s="319"/>
      <c r="DO58" s="319"/>
      <c r="DP58" s="319"/>
      <c r="DQ58" s="319"/>
      <c r="DR58" s="319"/>
      <c r="DS58" s="319"/>
      <c r="DT58" s="319"/>
      <c r="DU58" s="419">
        <f t="shared" si="22"/>
        <v>4.88</v>
      </c>
      <c r="DV58" s="57"/>
      <c r="DW58" s="319"/>
      <c r="DX58" s="319"/>
      <c r="DY58" s="319"/>
      <c r="DZ58" s="319"/>
      <c r="EA58" s="319"/>
      <c r="EB58" s="319"/>
      <c r="EC58" s="319"/>
      <c r="ED58" s="319"/>
      <c r="EE58" s="319"/>
      <c r="EF58" s="319"/>
      <c r="EG58" s="319"/>
      <c r="EH58" s="319"/>
      <c r="EI58" s="319"/>
      <c r="EJ58" s="319"/>
      <c r="EK58" s="319"/>
      <c r="EL58" s="319"/>
      <c r="EM58" s="319"/>
      <c r="EN58" s="319"/>
      <c r="EO58" s="319"/>
      <c r="EP58" s="319"/>
      <c r="EQ58" s="319"/>
      <c r="ER58" s="319"/>
      <c r="ES58" s="319"/>
      <c r="ET58" s="319"/>
      <c r="EU58" s="319"/>
      <c r="EV58" s="319"/>
      <c r="EW58" s="319"/>
      <c r="EX58" s="319"/>
      <c r="EY58" s="319"/>
      <c r="EZ58" s="319"/>
      <c r="FA58" s="319"/>
      <c r="FB58" s="319"/>
      <c r="FC58" s="319"/>
      <c r="FD58" s="319"/>
      <c r="FE58" s="319"/>
      <c r="FF58" s="319"/>
      <c r="FG58" s="319"/>
      <c r="FH58" s="319"/>
      <c r="FI58" s="319"/>
      <c r="FJ58" s="319"/>
      <c r="FK58" s="319"/>
      <c r="FL58" s="319"/>
      <c r="FM58" s="319"/>
      <c r="FN58" s="319"/>
      <c r="FO58" s="319"/>
      <c r="FP58" s="319"/>
      <c r="FQ58" s="319"/>
      <c r="FR58" s="319"/>
      <c r="FS58" s="319"/>
      <c r="FT58" s="319"/>
      <c r="FU58" s="319"/>
      <c r="FV58" s="319"/>
      <c r="FW58" s="319"/>
      <c r="FX58" s="319"/>
      <c r="FY58" s="319"/>
      <c r="FZ58" s="319"/>
      <c r="GA58" s="158">
        <f t="shared" si="23"/>
        <v>0</v>
      </c>
      <c r="GB58" s="95"/>
      <c r="GC58" s="374"/>
      <c r="GD58" s="319"/>
      <c r="GE58" s="319"/>
      <c r="GF58" s="319"/>
      <c r="GG58" s="319"/>
      <c r="GH58" s="319"/>
      <c r="GI58" s="271"/>
      <c r="GJ58" s="271"/>
      <c r="GK58" s="271"/>
      <c r="GL58" s="271"/>
      <c r="GM58" s="272"/>
      <c r="GN58" s="435"/>
      <c r="GO58" s="327">
        <f t="shared" si="24"/>
        <v>0</v>
      </c>
      <c r="GP58" s="445">
        <f t="shared" si="25"/>
        <v>0</v>
      </c>
      <c r="GQ58" s="605">
        <f t="shared" si="26"/>
        <v>0</v>
      </c>
      <c r="GR58" s="627">
        <f t="shared" si="27"/>
        <v>5.04</v>
      </c>
      <c r="GS58" s="239">
        <f t="shared" si="28"/>
        <v>4.88</v>
      </c>
      <c r="GT58" s="36" t="str">
        <f t="shared" si="29"/>
        <v>Менаро сливки</v>
      </c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14"/>
      <c r="HF58" s="14"/>
      <c r="HG58" s="14"/>
    </row>
    <row r="59" spans="1:215" ht="15" customHeight="1" x14ac:dyDescent="0.3">
      <c r="A59" s="1176"/>
      <c r="B59" s="1044"/>
      <c r="C59" s="1172"/>
      <c r="D59" s="1173"/>
      <c r="E59" s="1304"/>
      <c r="F59" s="1174"/>
      <c r="G59" s="1175"/>
      <c r="H59" s="1028"/>
      <c r="I59" s="1028">
        <f>SUM(I38:I58)</f>
        <v>21663.141</v>
      </c>
      <c r="J59" s="94"/>
      <c r="K59" s="1030"/>
      <c r="L59" s="1030"/>
      <c r="M59" s="1029"/>
      <c r="N59" s="1029"/>
      <c r="O59" s="1029"/>
      <c r="P59" s="1029"/>
      <c r="Q59" s="1029"/>
      <c r="R59" s="1029"/>
      <c r="S59" s="1029"/>
      <c r="T59" s="1029"/>
      <c r="U59" s="1029"/>
      <c r="V59" s="1029"/>
      <c r="W59" s="1029"/>
      <c r="X59" s="1029"/>
      <c r="Y59" s="1029"/>
      <c r="Z59" s="1029"/>
      <c r="AA59" s="1029"/>
      <c r="AB59" s="1029"/>
      <c r="AC59" s="1030"/>
      <c r="AD59" s="1029"/>
      <c r="AE59" s="1029"/>
      <c r="AF59" s="1030"/>
      <c r="AG59" s="1029"/>
      <c r="AH59" s="1029"/>
      <c r="AI59" s="1029"/>
      <c r="AJ59" s="1029"/>
      <c r="AK59" s="1029"/>
      <c r="AL59" s="1029"/>
      <c r="AM59" s="1029"/>
      <c r="AN59" s="1029"/>
      <c r="AO59" s="1029"/>
      <c r="AP59" s="1029"/>
      <c r="AQ59" s="1029"/>
      <c r="AR59" s="1029"/>
      <c r="AS59" s="1029"/>
      <c r="AT59" s="1029"/>
      <c r="AU59" s="1029"/>
      <c r="AV59" s="1029"/>
      <c r="AW59" s="1029"/>
      <c r="AX59" s="1029"/>
      <c r="AY59" s="1029"/>
      <c r="AZ59" s="1029"/>
      <c r="BA59" s="1029"/>
      <c r="BB59" s="1029"/>
      <c r="BC59" s="1029"/>
      <c r="BD59" s="1029"/>
      <c r="BE59" s="1029"/>
      <c r="BF59" s="1029"/>
      <c r="BG59" s="1029"/>
      <c r="BH59" s="1029"/>
      <c r="BI59" s="1029"/>
      <c r="BJ59" s="1032"/>
      <c r="BK59" s="1033"/>
      <c r="BL59" s="1029"/>
      <c r="BM59" s="1030"/>
      <c r="BN59" s="1029"/>
      <c r="BO59" s="1030"/>
      <c r="BP59" s="1032"/>
      <c r="BQ59" s="1030"/>
      <c r="BR59" s="1032"/>
      <c r="BS59" s="1032"/>
      <c r="BT59" s="1029"/>
      <c r="BU59" s="1029"/>
      <c r="BV59" s="1029"/>
      <c r="BW59" s="1029"/>
      <c r="BX59" s="1029"/>
      <c r="BY59" s="1029"/>
      <c r="BZ59" s="1029"/>
      <c r="CA59" s="1031"/>
      <c r="CB59" s="94"/>
      <c r="CC59" s="1029"/>
      <c r="CD59" s="1029"/>
      <c r="CE59" s="1029"/>
      <c r="CF59" s="1029"/>
      <c r="CG59" s="1029"/>
      <c r="CH59" s="1029"/>
      <c r="CI59" s="1029"/>
      <c r="CJ59" s="1029"/>
      <c r="CK59" s="1030"/>
      <c r="CL59" s="1029"/>
      <c r="CM59" s="1029"/>
      <c r="CN59" s="1029"/>
      <c r="CO59" s="1029"/>
      <c r="CP59" s="1029"/>
      <c r="CQ59" s="1029"/>
      <c r="CR59" s="1029"/>
      <c r="CS59" s="1029"/>
      <c r="CT59" s="1030"/>
      <c r="CU59" s="1029"/>
      <c r="CV59" s="1029"/>
      <c r="CW59" s="1029"/>
      <c r="CX59" s="1029"/>
      <c r="CY59" s="1029"/>
      <c r="CZ59" s="1029"/>
      <c r="DA59" s="1029"/>
      <c r="DB59" s="1029"/>
      <c r="DC59" s="1029"/>
      <c r="DD59" s="1029"/>
      <c r="DE59" s="1029"/>
      <c r="DF59" s="1029"/>
      <c r="DG59" s="1030"/>
      <c r="DH59" s="1029"/>
      <c r="DI59" s="1029"/>
      <c r="DJ59" s="1030"/>
      <c r="DK59" s="1029"/>
      <c r="DL59" s="1029"/>
      <c r="DM59" s="1029"/>
      <c r="DN59" s="1029"/>
      <c r="DO59" s="1029"/>
      <c r="DP59" s="1029"/>
      <c r="DQ59" s="1029"/>
      <c r="DR59" s="1029"/>
      <c r="DS59" s="1029"/>
      <c r="DT59" s="1029"/>
      <c r="DU59" s="1029"/>
      <c r="DV59" s="57"/>
      <c r="DW59" s="1029"/>
      <c r="DX59" s="1029"/>
      <c r="DY59" s="1029"/>
      <c r="DZ59" s="1029"/>
      <c r="EA59" s="1029"/>
      <c r="EB59" s="1029"/>
      <c r="EC59" s="1029"/>
      <c r="ED59" s="1029"/>
      <c r="EE59" s="1029"/>
      <c r="EF59" s="1029"/>
      <c r="EG59" s="1029"/>
      <c r="EH59" s="1029"/>
      <c r="EI59" s="1029"/>
      <c r="EJ59" s="1029"/>
      <c r="EK59" s="1029"/>
      <c r="EL59" s="1029"/>
      <c r="EM59" s="1029"/>
      <c r="EN59" s="1029"/>
      <c r="EO59" s="1029"/>
      <c r="EP59" s="1029"/>
      <c r="EQ59" s="1029"/>
      <c r="ER59" s="1029"/>
      <c r="ES59" s="1029"/>
      <c r="ET59" s="1029"/>
      <c r="EU59" s="1029"/>
      <c r="EV59" s="1029"/>
      <c r="EW59" s="1029"/>
      <c r="EX59" s="1029"/>
      <c r="EY59" s="1029"/>
      <c r="EZ59" s="1029"/>
      <c r="FA59" s="1029"/>
      <c r="FB59" s="1029"/>
      <c r="FC59" s="1029"/>
      <c r="FD59" s="1029"/>
      <c r="FE59" s="1029"/>
      <c r="FF59" s="1029"/>
      <c r="FG59" s="1029"/>
      <c r="FH59" s="1029"/>
      <c r="FI59" s="1029"/>
      <c r="FJ59" s="1029"/>
      <c r="FK59" s="1029"/>
      <c r="FL59" s="1029"/>
      <c r="FM59" s="1029"/>
      <c r="FN59" s="1029"/>
      <c r="FO59" s="1029"/>
      <c r="FP59" s="1029"/>
      <c r="FQ59" s="1029"/>
      <c r="FR59" s="1029"/>
      <c r="FS59" s="1029"/>
      <c r="FT59" s="1029"/>
      <c r="FU59" s="1029"/>
      <c r="FV59" s="1029"/>
      <c r="FW59" s="1029"/>
      <c r="FX59" s="1029"/>
      <c r="FY59" s="1029"/>
      <c r="FZ59" s="1029"/>
      <c r="GA59" s="1050"/>
      <c r="GB59" s="95"/>
      <c r="GC59" s="1225"/>
      <c r="GD59" s="1029"/>
      <c r="GE59" s="1029"/>
      <c r="GF59" s="1029"/>
      <c r="GG59" s="1029"/>
      <c r="GH59" s="1029"/>
      <c r="GI59" s="356"/>
      <c r="GJ59" s="1033"/>
      <c r="GK59" s="1033"/>
      <c r="GL59" s="1033"/>
      <c r="GM59" s="1036"/>
      <c r="GN59" s="1037"/>
      <c r="GO59" s="1038"/>
      <c r="GP59" s="1049"/>
      <c r="GQ59" s="1049"/>
      <c r="GR59" s="1049"/>
      <c r="GS59" s="1049"/>
      <c r="GT59" s="1041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14"/>
      <c r="HF59" s="14"/>
      <c r="HG59" s="14"/>
    </row>
    <row r="60" spans="1:215" ht="15" customHeight="1" x14ac:dyDescent="0.3">
      <c r="A60" s="1129">
        <f>A58+1</f>
        <v>49</v>
      </c>
      <c r="B60" s="766" t="s">
        <v>21</v>
      </c>
      <c r="C60" s="565">
        <f>'1_квартал'!G59</f>
        <v>451.13</v>
      </c>
      <c r="D60" s="346">
        <f>549.34+500</f>
        <v>1049.3400000000001</v>
      </c>
      <c r="E60" s="1300">
        <f>75+124.58</f>
        <v>199.57999999999998</v>
      </c>
      <c r="F60" s="572"/>
      <c r="G60" s="878">
        <f t="shared" si="9"/>
        <v>624.46</v>
      </c>
      <c r="H60" s="93">
        <v>300.42</v>
      </c>
      <c r="I60" s="93">
        <v>300.42</v>
      </c>
      <c r="J60" s="94"/>
      <c r="K60" s="245"/>
      <c r="L60" s="326"/>
      <c r="M60" s="319"/>
      <c r="N60" s="319"/>
      <c r="O60" s="319"/>
      <c r="P60" s="326"/>
      <c r="Q60" s="326"/>
      <c r="R60" s="319"/>
      <c r="S60" s="319"/>
      <c r="T60" s="326"/>
      <c r="U60" s="326"/>
      <c r="V60" s="319"/>
      <c r="W60" s="319"/>
      <c r="X60" s="326"/>
      <c r="Y60" s="326"/>
      <c r="Z60" s="245"/>
      <c r="AA60" s="326"/>
      <c r="AB60" s="319"/>
      <c r="AC60" s="245"/>
      <c r="AD60" s="319"/>
      <c r="AE60" s="326"/>
      <c r="AF60" s="245"/>
      <c r="AG60" s="245"/>
      <c r="AH60" s="319"/>
      <c r="AI60" s="319"/>
      <c r="AJ60" s="326"/>
      <c r="AK60" s="319">
        <v>14.515000000000001</v>
      </c>
      <c r="AL60" s="319"/>
      <c r="AM60" s="319"/>
      <c r="AN60" s="319">
        <v>16.128</v>
      </c>
      <c r="AO60" s="319"/>
      <c r="AP60" s="319"/>
      <c r="AQ60" s="319">
        <v>36.710999999999999</v>
      </c>
      <c r="AR60" s="319"/>
      <c r="AS60" s="319">
        <v>27.417999999999999</v>
      </c>
      <c r="AT60" s="319"/>
      <c r="AU60" s="319"/>
      <c r="AV60" s="319"/>
      <c r="AW60" s="319"/>
      <c r="AX60" s="319"/>
      <c r="AY60" s="319"/>
      <c r="AZ60" s="319"/>
      <c r="BA60" s="326"/>
      <c r="BB60" s="319"/>
      <c r="BC60" s="319">
        <f>87.091/1.2*0.3</f>
        <v>21.772749999999998</v>
      </c>
      <c r="BD60" s="319"/>
      <c r="BE60" s="319">
        <v>10.885999999999999</v>
      </c>
      <c r="BF60" s="319"/>
      <c r="BG60" s="319"/>
      <c r="BH60" s="319"/>
      <c r="BI60" s="319"/>
      <c r="BJ60" s="177">
        <f>774.265/8*1.8</f>
        <v>174.20962499999999</v>
      </c>
      <c r="BK60" s="271">
        <f>774.265/8*1.5</f>
        <v>145.1746875</v>
      </c>
      <c r="BL60" s="319"/>
      <c r="BM60" s="245"/>
      <c r="BN60" s="319"/>
      <c r="BO60" s="245"/>
      <c r="BP60" s="177">
        <f>774.265/8*4.7</f>
        <v>454.88068750000002</v>
      </c>
      <c r="BQ60" s="245">
        <v>90.72</v>
      </c>
      <c r="BR60" s="177"/>
      <c r="BS60" s="177"/>
      <c r="BT60" s="319"/>
      <c r="BU60" s="319"/>
      <c r="BV60" s="319"/>
      <c r="BW60" s="319"/>
      <c r="BX60" s="319">
        <v>56.92</v>
      </c>
      <c r="BY60" s="319"/>
      <c r="BZ60" s="326"/>
      <c r="CA60" s="158">
        <f t="shared" ref="CA60:CA82" si="31">SUM(K60:BZ60)</f>
        <v>1049.33575</v>
      </c>
      <c r="CB60" s="94"/>
      <c r="CC60" s="326"/>
      <c r="CD60" s="319"/>
      <c r="CE60" s="319"/>
      <c r="CF60" s="326"/>
      <c r="CG60" s="319"/>
      <c r="CH60" s="319"/>
      <c r="CI60" s="326"/>
      <c r="CJ60" s="319"/>
      <c r="CK60" s="245"/>
      <c r="CL60" s="319"/>
      <c r="CM60" s="319"/>
      <c r="CN60" s="319"/>
      <c r="CO60" s="319"/>
      <c r="CP60" s="319"/>
      <c r="CQ60" s="319"/>
      <c r="CR60" s="319"/>
      <c r="CS60" s="319"/>
      <c r="CT60" s="245"/>
      <c r="CU60" s="326"/>
      <c r="CV60" s="319"/>
      <c r="CW60" s="319"/>
      <c r="CX60" s="319"/>
      <c r="CY60" s="319"/>
      <c r="CZ60" s="319"/>
      <c r="DA60" s="319"/>
      <c r="DB60" s="319"/>
      <c r="DC60" s="319"/>
      <c r="DD60" s="319"/>
      <c r="DE60" s="319"/>
      <c r="DF60" s="319">
        <f>72.576*1.5</f>
        <v>108.86399999999999</v>
      </c>
      <c r="DG60" s="245">
        <v>90.72</v>
      </c>
      <c r="DH60" s="319"/>
      <c r="DI60" s="319"/>
      <c r="DJ60" s="245"/>
      <c r="DK60" s="319"/>
      <c r="DL60" s="319"/>
      <c r="DM60" s="319"/>
      <c r="DN60" s="319"/>
      <c r="DO60" s="319"/>
      <c r="DP60" s="326"/>
      <c r="DQ60" s="319"/>
      <c r="DR60" s="319"/>
      <c r="DS60" s="319"/>
      <c r="DT60" s="319"/>
      <c r="DU60" s="419">
        <f t="shared" ref="DU60:DU82" si="32">SUM(CC60:DT60)</f>
        <v>199.584</v>
      </c>
      <c r="DV60" s="57"/>
      <c r="DW60" s="326"/>
      <c r="DX60" s="319"/>
      <c r="DY60" s="326"/>
      <c r="DZ60" s="319"/>
      <c r="EA60" s="319"/>
      <c r="EB60" s="319"/>
      <c r="EC60" s="319"/>
      <c r="ED60" s="319"/>
      <c r="EE60" s="319"/>
      <c r="EF60" s="319"/>
      <c r="EG60" s="319"/>
      <c r="EH60" s="319"/>
      <c r="EI60" s="319"/>
      <c r="EJ60" s="319"/>
      <c r="EK60" s="319"/>
      <c r="EL60" s="319"/>
      <c r="EM60" s="319"/>
      <c r="EN60" s="319"/>
      <c r="EO60" s="319"/>
      <c r="EP60" s="319"/>
      <c r="EQ60" s="319"/>
      <c r="ER60" s="319"/>
      <c r="ES60" s="319"/>
      <c r="ET60" s="319"/>
      <c r="EU60" s="319"/>
      <c r="EV60" s="319"/>
      <c r="EW60" s="319"/>
      <c r="EX60" s="319"/>
      <c r="EY60" s="319"/>
      <c r="EZ60" s="319"/>
      <c r="FA60" s="319"/>
      <c r="FB60" s="319"/>
      <c r="FC60" s="319"/>
      <c r="FD60" s="319"/>
      <c r="FE60" s="319"/>
      <c r="FF60" s="319"/>
      <c r="FG60" s="319"/>
      <c r="FH60" s="319"/>
      <c r="FI60" s="319"/>
      <c r="FJ60" s="319"/>
      <c r="FK60" s="319"/>
      <c r="FL60" s="319"/>
      <c r="FM60" s="319"/>
      <c r="FN60" s="319"/>
      <c r="FO60" s="319"/>
      <c r="FP60" s="319"/>
      <c r="FQ60" s="319"/>
      <c r="FR60" s="319"/>
      <c r="FS60" s="319"/>
      <c r="FT60" s="319"/>
      <c r="FU60" s="319"/>
      <c r="FV60" s="319"/>
      <c r="FW60" s="319"/>
      <c r="FX60" s="319"/>
      <c r="FY60" s="319"/>
      <c r="FZ60" s="319"/>
      <c r="GA60" s="158">
        <f t="shared" ref="GA60:GA82" si="33">SUM(DW60:FZ60)</f>
        <v>0</v>
      </c>
      <c r="GB60" s="95"/>
      <c r="GC60" s="374"/>
      <c r="GD60" s="319">
        <f>82.958*0.9</f>
        <v>74.662199999999999</v>
      </c>
      <c r="GE60" s="319">
        <f>46.368*0.9</f>
        <v>41.731200000000001</v>
      </c>
      <c r="GF60" s="319"/>
      <c r="GG60" s="319"/>
      <c r="GH60" s="319"/>
      <c r="GI60" s="271"/>
      <c r="GJ60" s="271"/>
      <c r="GK60" s="271"/>
      <c r="GL60" s="271"/>
      <c r="GM60" s="272"/>
      <c r="GN60" s="435"/>
      <c r="GO60" s="327">
        <f t="shared" ref="GO60:GO82" si="34">SUM(GC60:GN60)</f>
        <v>116.3934</v>
      </c>
      <c r="GP60" s="558">
        <f t="shared" ref="GP60:GP82" si="35">I60-GO60</f>
        <v>184.02660000000003</v>
      </c>
      <c r="GQ60" s="605">
        <f t="shared" ref="GQ60:GQ82" si="36">I60</f>
        <v>300.42</v>
      </c>
      <c r="GR60" s="627">
        <f t="shared" ref="GR60:GR73" si="37">C60</f>
        <v>451.13</v>
      </c>
      <c r="GS60" s="239">
        <f t="shared" ref="GS60:GS82" si="38">E60</f>
        <v>199.57999999999998</v>
      </c>
      <c r="GT60" s="36" t="str">
        <f t="shared" ref="GT60:GT82" si="39">B60</f>
        <v>Новихол</v>
      </c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</row>
    <row r="61" spans="1:215" ht="15" customHeight="1" x14ac:dyDescent="0.3">
      <c r="A61" s="1129">
        <f t="shared" ref="A61:A78" si="40">A60+1</f>
        <v>50</v>
      </c>
      <c r="B61" s="938" t="s">
        <v>510</v>
      </c>
      <c r="C61" s="565">
        <f>'1_квартал'!G60</f>
        <v>13.776999999999999</v>
      </c>
      <c r="D61" s="346">
        <f>7.67+275+1116.43</f>
        <v>1399.1000000000001</v>
      </c>
      <c r="E61" s="1300">
        <f>7.57+1391.53</f>
        <v>1399.1</v>
      </c>
      <c r="F61" s="572"/>
      <c r="G61" s="878">
        <f t="shared" si="9"/>
        <v>1399.1</v>
      </c>
      <c r="H61" s="93">
        <v>7.47</v>
      </c>
      <c r="I61" s="93">
        <v>7.47</v>
      </c>
      <c r="J61" s="94"/>
      <c r="K61" s="245"/>
      <c r="L61" s="245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19"/>
      <c r="AB61" s="319"/>
      <c r="AC61" s="245"/>
      <c r="AD61" s="319"/>
      <c r="AE61" s="319"/>
      <c r="AF61" s="245"/>
      <c r="AG61" s="319"/>
      <c r="AH61" s="319"/>
      <c r="AI61" s="319"/>
      <c r="AJ61" s="319"/>
      <c r="AK61" s="319"/>
      <c r="AL61" s="319"/>
      <c r="AM61" s="319"/>
      <c r="AN61" s="319"/>
      <c r="AO61" s="319"/>
      <c r="AP61" s="319"/>
      <c r="AQ61" s="319"/>
      <c r="AR61" s="319"/>
      <c r="AS61" s="319"/>
      <c r="AT61" s="319"/>
      <c r="AU61" s="319"/>
      <c r="AV61" s="319"/>
      <c r="AW61" s="319"/>
      <c r="AX61" s="319"/>
      <c r="AY61" s="319"/>
      <c r="AZ61" s="319"/>
      <c r="BA61" s="319"/>
      <c r="BB61" s="319"/>
      <c r="BC61" s="319"/>
      <c r="BD61" s="319"/>
      <c r="BE61" s="319"/>
      <c r="BF61" s="319"/>
      <c r="BG61" s="319"/>
      <c r="BH61" s="319"/>
      <c r="BI61" s="319"/>
      <c r="BJ61" s="177"/>
      <c r="BK61" s="271"/>
      <c r="BL61" s="319"/>
      <c r="BM61" s="245"/>
      <c r="BN61" s="319"/>
      <c r="BO61" s="245">
        <f>279.821*5</f>
        <v>1399.105</v>
      </c>
      <c r="BP61" s="177"/>
      <c r="BQ61" s="245"/>
      <c r="BR61" s="177"/>
      <c r="BS61" s="177"/>
      <c r="BT61" s="319"/>
      <c r="BU61" s="319"/>
      <c r="BV61" s="319"/>
      <c r="BW61" s="319"/>
      <c r="BX61" s="319"/>
      <c r="BY61" s="319"/>
      <c r="BZ61" s="319"/>
      <c r="CA61" s="158">
        <f t="shared" si="31"/>
        <v>1399.105</v>
      </c>
      <c r="CB61" s="94"/>
      <c r="CC61" s="319"/>
      <c r="CD61" s="319"/>
      <c r="CE61" s="319"/>
      <c r="CF61" s="319"/>
      <c r="CG61" s="319"/>
      <c r="CH61" s="319"/>
      <c r="CI61" s="319"/>
      <c r="CJ61" s="319"/>
      <c r="CK61" s="245"/>
      <c r="CL61" s="319"/>
      <c r="CM61" s="319"/>
      <c r="CN61" s="319"/>
      <c r="CO61" s="319"/>
      <c r="CP61" s="319"/>
      <c r="CQ61" s="319"/>
      <c r="CR61" s="319"/>
      <c r="CS61" s="319"/>
      <c r="CT61" s="245">
        <f>279.821*5</f>
        <v>1399.105</v>
      </c>
      <c r="CU61" s="319"/>
      <c r="CV61" s="319"/>
      <c r="CW61" s="319"/>
      <c r="CX61" s="319"/>
      <c r="CY61" s="319"/>
      <c r="CZ61" s="319"/>
      <c r="DA61" s="319"/>
      <c r="DB61" s="319"/>
      <c r="DC61" s="319"/>
      <c r="DD61" s="319"/>
      <c r="DE61" s="319"/>
      <c r="DF61" s="319"/>
      <c r="DG61" s="245"/>
      <c r="DH61" s="319"/>
      <c r="DI61" s="319"/>
      <c r="DJ61" s="245"/>
      <c r="DK61" s="319"/>
      <c r="DL61" s="319"/>
      <c r="DM61" s="319"/>
      <c r="DN61" s="319"/>
      <c r="DO61" s="319"/>
      <c r="DP61" s="319"/>
      <c r="DQ61" s="319"/>
      <c r="DR61" s="319"/>
      <c r="DS61" s="319"/>
      <c r="DT61" s="319"/>
      <c r="DU61" s="419">
        <f t="shared" si="32"/>
        <v>1399.105</v>
      </c>
      <c r="DV61" s="58"/>
      <c r="DW61" s="319"/>
      <c r="DX61" s="319"/>
      <c r="DY61" s="319"/>
      <c r="DZ61" s="319"/>
      <c r="EA61" s="319"/>
      <c r="EB61" s="319"/>
      <c r="EC61" s="319"/>
      <c r="ED61" s="319"/>
      <c r="EE61" s="319"/>
      <c r="EF61" s="319"/>
      <c r="EG61" s="319"/>
      <c r="EH61" s="319"/>
      <c r="EI61" s="319"/>
      <c r="EJ61" s="319"/>
      <c r="EK61" s="319"/>
      <c r="EL61" s="319"/>
      <c r="EM61" s="319"/>
      <c r="EN61" s="319"/>
      <c r="EO61" s="319"/>
      <c r="EP61" s="319"/>
      <c r="EQ61" s="319"/>
      <c r="ER61" s="319"/>
      <c r="ES61" s="319"/>
      <c r="ET61" s="319"/>
      <c r="EU61" s="319"/>
      <c r="EV61" s="319"/>
      <c r="EW61" s="319"/>
      <c r="EX61" s="319"/>
      <c r="EY61" s="319"/>
      <c r="EZ61" s="319"/>
      <c r="FA61" s="319"/>
      <c r="FB61" s="319"/>
      <c r="FC61" s="319"/>
      <c r="FD61" s="319"/>
      <c r="FE61" s="319"/>
      <c r="FF61" s="319"/>
      <c r="FG61" s="319"/>
      <c r="FH61" s="319"/>
      <c r="FI61" s="319"/>
      <c r="FJ61" s="319"/>
      <c r="FK61" s="319"/>
      <c r="FL61" s="319"/>
      <c r="FM61" s="319"/>
      <c r="FN61" s="319"/>
      <c r="FO61" s="319"/>
      <c r="FP61" s="319"/>
      <c r="FQ61" s="319"/>
      <c r="FR61" s="319"/>
      <c r="FS61" s="319"/>
      <c r="FT61" s="319"/>
      <c r="FU61" s="319"/>
      <c r="FV61" s="319"/>
      <c r="FW61" s="319"/>
      <c r="FX61" s="319"/>
      <c r="FY61" s="319"/>
      <c r="FZ61" s="319"/>
      <c r="GA61" s="158">
        <f t="shared" si="33"/>
        <v>0</v>
      </c>
      <c r="GB61" s="95"/>
      <c r="GC61" s="374"/>
      <c r="GD61" s="319"/>
      <c r="GE61" s="319"/>
      <c r="GF61" s="319"/>
      <c r="GG61" s="319"/>
      <c r="GH61" s="319"/>
      <c r="GI61" s="271"/>
      <c r="GJ61" s="271"/>
      <c r="GK61" s="271"/>
      <c r="GL61" s="271"/>
      <c r="GM61" s="272"/>
      <c r="GN61" s="435"/>
      <c r="GO61" s="327">
        <f t="shared" si="34"/>
        <v>0</v>
      </c>
      <c r="GP61" s="454">
        <f t="shared" si="35"/>
        <v>7.47</v>
      </c>
      <c r="GQ61" s="605">
        <f t="shared" si="36"/>
        <v>7.47</v>
      </c>
      <c r="GR61" s="627">
        <f t="shared" si="37"/>
        <v>13.776999999999999</v>
      </c>
      <c r="GS61" s="239">
        <f t="shared" si="38"/>
        <v>1399.1</v>
      </c>
      <c r="GT61" s="36" t="str">
        <f t="shared" si="39"/>
        <v>Нупро</v>
      </c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22"/>
      <c r="HF61" s="22"/>
      <c r="HG61" s="22"/>
    </row>
    <row r="62" spans="1:215" ht="15" customHeight="1" x14ac:dyDescent="0.3">
      <c r="A62" s="1129">
        <f t="shared" si="40"/>
        <v>51</v>
      </c>
      <c r="B62" s="694" t="s">
        <v>216</v>
      </c>
      <c r="C62" s="565">
        <f>'1_квартал'!G61</f>
        <v>3216.4630000000002</v>
      </c>
      <c r="D62" s="346">
        <v>3980.14</v>
      </c>
      <c r="E62" s="1300">
        <f>906.07+3000+3000+3651.22</f>
        <v>10557.289999999999</v>
      </c>
      <c r="F62" s="572"/>
      <c r="G62" s="878">
        <f t="shared" si="9"/>
        <v>7268.7150000000001</v>
      </c>
      <c r="H62" s="93">
        <v>348.78</v>
      </c>
      <c r="I62" s="93">
        <v>1602.02</v>
      </c>
      <c r="J62" s="94"/>
      <c r="K62" s="245"/>
      <c r="L62" s="245"/>
      <c r="M62" s="319"/>
      <c r="N62" s="319"/>
      <c r="O62" s="319">
        <f>141.12*2.7</f>
        <v>381.02400000000006</v>
      </c>
      <c r="P62" s="319"/>
      <c r="Q62" s="319"/>
      <c r="R62" s="319"/>
      <c r="S62" s="319">
        <f>141.12*7.5</f>
        <v>1058.4000000000001</v>
      </c>
      <c r="T62" s="319"/>
      <c r="U62" s="319"/>
      <c r="V62" s="319"/>
      <c r="W62" s="319">
        <f>141.12*0.6</f>
        <v>84.671999999999997</v>
      </c>
      <c r="X62" s="319"/>
      <c r="Y62" s="319"/>
      <c r="Z62" s="319">
        <v>96.768000000000001</v>
      </c>
      <c r="AA62" s="319"/>
      <c r="AB62" s="319">
        <f>141.12*3</f>
        <v>423.36</v>
      </c>
      <c r="AC62" s="245"/>
      <c r="AD62" s="319"/>
      <c r="AE62" s="319"/>
      <c r="AF62" s="245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>
        <v>35.834000000000003</v>
      </c>
      <c r="AT62" s="319"/>
      <c r="AU62" s="319"/>
      <c r="AV62" s="319"/>
      <c r="AW62" s="319"/>
      <c r="AX62" s="319"/>
      <c r="AY62" s="319"/>
      <c r="AZ62" s="319">
        <v>483.84</v>
      </c>
      <c r="BA62" s="319"/>
      <c r="BB62" s="319"/>
      <c r="BC62" s="319"/>
      <c r="BD62" s="319"/>
      <c r="BE62" s="319"/>
      <c r="BF62" s="319"/>
      <c r="BG62" s="319"/>
      <c r="BH62" s="319">
        <f>488.88*0.6</f>
        <v>293.32799999999997</v>
      </c>
      <c r="BI62" s="319"/>
      <c r="BJ62" s="177"/>
      <c r="BK62" s="271"/>
      <c r="BL62" s="319"/>
      <c r="BM62" s="245"/>
      <c r="BN62" s="319"/>
      <c r="BO62" s="245"/>
      <c r="BP62" s="177"/>
      <c r="BQ62" s="245"/>
      <c r="BR62" s="177"/>
      <c r="BS62" s="177"/>
      <c r="BT62" s="319">
        <f>488.88*1.2</f>
        <v>586.65599999999995</v>
      </c>
      <c r="BU62" s="319"/>
      <c r="BV62" s="319"/>
      <c r="BW62" s="319"/>
      <c r="BX62" s="319"/>
      <c r="BY62" s="319">
        <f>141.12*3.8</f>
        <v>536.25599999999997</v>
      </c>
      <c r="BZ62" s="319"/>
      <c r="CA62" s="158">
        <f t="shared" si="31"/>
        <v>3980.1379999999999</v>
      </c>
      <c r="CB62" s="94"/>
      <c r="CC62" s="319"/>
      <c r="CD62" s="319"/>
      <c r="CE62" s="319">
        <f>141.12*0.6</f>
        <v>84.671999999999997</v>
      </c>
      <c r="CF62" s="319"/>
      <c r="CG62" s="319"/>
      <c r="CH62" s="319"/>
      <c r="CI62" s="319"/>
      <c r="CJ62" s="319"/>
      <c r="CK62" s="245"/>
      <c r="CL62" s="319"/>
      <c r="CM62" s="319"/>
      <c r="CN62" s="319"/>
      <c r="CO62" s="319">
        <f>141.12*6</f>
        <v>846.72</v>
      </c>
      <c r="CP62" s="319"/>
      <c r="CQ62" s="319"/>
      <c r="CR62" s="319"/>
      <c r="CS62" s="319"/>
      <c r="CT62" s="245"/>
      <c r="CU62" s="319"/>
      <c r="CV62" s="319"/>
      <c r="CW62" s="319"/>
      <c r="CX62" s="319">
        <f>488.88*1.2</f>
        <v>586.65599999999995</v>
      </c>
      <c r="CY62" s="319"/>
      <c r="CZ62" s="319"/>
      <c r="DA62" s="319"/>
      <c r="DB62" s="319"/>
      <c r="DC62" s="319">
        <f>483.84/3*3.5</f>
        <v>564.48</v>
      </c>
      <c r="DD62" s="326">
        <f>403.2*7</f>
        <v>2822.4</v>
      </c>
      <c r="DE62" s="326">
        <f>403.2*3</f>
        <v>1209.5999999999999</v>
      </c>
      <c r="DF62" s="319"/>
      <c r="DG62" s="245"/>
      <c r="DH62" s="319"/>
      <c r="DI62" s="319"/>
      <c r="DJ62" s="245"/>
      <c r="DK62" s="319">
        <f>141.12*5</f>
        <v>705.6</v>
      </c>
      <c r="DL62" s="319"/>
      <c r="DM62" s="319">
        <f>141.12*7</f>
        <v>987.84</v>
      </c>
      <c r="DN62" s="319">
        <f>488.88*1.5</f>
        <v>733.31999999999994</v>
      </c>
      <c r="DO62" s="319"/>
      <c r="DP62" s="319"/>
      <c r="DQ62" s="319"/>
      <c r="DR62" s="319"/>
      <c r="DS62" s="319"/>
      <c r="DT62" s="326">
        <f>403.2*5</f>
        <v>2016</v>
      </c>
      <c r="DU62" s="419">
        <f t="shared" si="32"/>
        <v>10557.288</v>
      </c>
      <c r="DV62" s="57"/>
      <c r="DW62" s="319"/>
      <c r="DX62" s="319"/>
      <c r="DY62" s="319"/>
      <c r="DZ62" s="319"/>
      <c r="EA62" s="319"/>
      <c r="EB62" s="319">
        <f>4.48*3</f>
        <v>13.440000000000001</v>
      </c>
      <c r="EC62" s="319"/>
      <c r="ED62" s="319">
        <f>488.88*1.5</f>
        <v>733.31999999999994</v>
      </c>
      <c r="EE62" s="319"/>
      <c r="EF62" s="319"/>
      <c r="EG62" s="319"/>
      <c r="EH62" s="319"/>
      <c r="EI62" s="319"/>
      <c r="EJ62" s="319"/>
      <c r="EK62" s="319"/>
      <c r="EL62" s="319"/>
      <c r="EM62" s="319"/>
      <c r="EN62" s="319"/>
      <c r="EO62" s="319"/>
      <c r="EP62" s="319"/>
      <c r="EQ62" s="319"/>
      <c r="ER62" s="319"/>
      <c r="ES62" s="319"/>
      <c r="ET62" s="319"/>
      <c r="EU62" s="319"/>
      <c r="EV62" s="319"/>
      <c r="EW62" s="319"/>
      <c r="EX62" s="319"/>
      <c r="EY62" s="319"/>
      <c r="EZ62" s="319"/>
      <c r="FA62" s="319"/>
      <c r="FB62" s="319"/>
      <c r="FC62" s="319"/>
      <c r="FD62" s="319"/>
      <c r="FE62" s="319"/>
      <c r="FF62" s="319"/>
      <c r="FG62" s="319"/>
      <c r="FH62" s="319"/>
      <c r="FI62" s="319"/>
      <c r="FJ62" s="319"/>
      <c r="FK62" s="319"/>
      <c r="FL62" s="319"/>
      <c r="FM62" s="319"/>
      <c r="FN62" s="319"/>
      <c r="FO62" s="319"/>
      <c r="FP62" s="319"/>
      <c r="FQ62" s="319"/>
      <c r="FR62" s="319"/>
      <c r="FS62" s="319"/>
      <c r="FT62" s="319"/>
      <c r="FU62" s="319"/>
      <c r="FV62" s="319"/>
      <c r="FW62" s="319"/>
      <c r="FX62" s="319"/>
      <c r="FY62" s="319"/>
      <c r="FZ62" s="319"/>
      <c r="GA62" s="158">
        <f t="shared" si="33"/>
        <v>746.76</v>
      </c>
      <c r="GB62" s="95"/>
      <c r="GC62" s="374"/>
      <c r="GD62" s="319"/>
      <c r="GE62" s="319">
        <f>161.28*0.9</f>
        <v>145.15200000000002</v>
      </c>
      <c r="GF62" s="319"/>
      <c r="GG62" s="319"/>
      <c r="GH62" s="319"/>
      <c r="GI62" s="271"/>
      <c r="GJ62" s="271"/>
      <c r="GK62" s="271"/>
      <c r="GL62" s="271"/>
      <c r="GM62" s="272"/>
      <c r="GN62" s="435"/>
      <c r="GO62" s="327">
        <f t="shared" si="34"/>
        <v>145.15200000000002</v>
      </c>
      <c r="GP62" s="454">
        <f t="shared" si="35"/>
        <v>1456.8679999999999</v>
      </c>
      <c r="GQ62" s="605">
        <f t="shared" si="36"/>
        <v>1602.02</v>
      </c>
      <c r="GR62" s="627">
        <f t="shared" si="37"/>
        <v>3216.4630000000002</v>
      </c>
      <c r="GS62" s="239">
        <f t="shared" si="38"/>
        <v>10557.289999999999</v>
      </c>
      <c r="GT62" s="36" t="str">
        <f t="shared" si="39"/>
        <v>Карбонат калия  гранул</v>
      </c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22"/>
      <c r="HF62" s="22"/>
      <c r="HG62" s="22"/>
    </row>
    <row r="63" spans="1:215" ht="15" customHeight="1" x14ac:dyDescent="0.3">
      <c r="A63" s="1129">
        <f t="shared" si="40"/>
        <v>52</v>
      </c>
      <c r="B63" s="694" t="s">
        <v>217</v>
      </c>
      <c r="C63" s="565">
        <f>'1_квартал'!G62</f>
        <v>0</v>
      </c>
      <c r="D63" s="346">
        <v>0</v>
      </c>
      <c r="E63" s="1300">
        <v>0</v>
      </c>
      <c r="F63" s="572"/>
      <c r="G63" s="878">
        <f t="shared" si="9"/>
        <v>0</v>
      </c>
      <c r="H63" s="93">
        <v>0</v>
      </c>
      <c r="I63" s="93">
        <v>0</v>
      </c>
      <c r="J63" s="94"/>
      <c r="K63" s="245"/>
      <c r="L63" s="245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245"/>
      <c r="AD63" s="319"/>
      <c r="AE63" s="319"/>
      <c r="AF63" s="245"/>
      <c r="AG63" s="319"/>
      <c r="AH63" s="319"/>
      <c r="AI63" s="319"/>
      <c r="AJ63" s="319"/>
      <c r="AK63" s="319"/>
      <c r="AL63" s="319"/>
      <c r="AM63" s="319"/>
      <c r="AN63" s="319"/>
      <c r="AO63" s="319"/>
      <c r="AP63" s="319"/>
      <c r="AQ63" s="319"/>
      <c r="AR63" s="319"/>
      <c r="AS63" s="319"/>
      <c r="AT63" s="319"/>
      <c r="AU63" s="319"/>
      <c r="AV63" s="319"/>
      <c r="AW63" s="319"/>
      <c r="AX63" s="319"/>
      <c r="AY63" s="319"/>
      <c r="AZ63" s="319"/>
      <c r="BA63" s="319"/>
      <c r="BB63" s="319"/>
      <c r="BC63" s="319"/>
      <c r="BD63" s="319"/>
      <c r="BE63" s="319"/>
      <c r="BF63" s="319"/>
      <c r="BG63" s="319"/>
      <c r="BH63" s="319"/>
      <c r="BI63" s="319"/>
      <c r="BJ63" s="177"/>
      <c r="BK63" s="177"/>
      <c r="BL63" s="319"/>
      <c r="BM63" s="245"/>
      <c r="BN63" s="319"/>
      <c r="BO63" s="245"/>
      <c r="BP63" s="177"/>
      <c r="BQ63" s="245"/>
      <c r="BR63" s="177"/>
      <c r="BS63" s="177"/>
      <c r="BT63" s="319"/>
      <c r="BU63" s="319"/>
      <c r="BV63" s="319"/>
      <c r="BW63" s="319"/>
      <c r="BX63" s="319"/>
      <c r="BY63" s="319"/>
      <c r="BZ63" s="319"/>
      <c r="CA63" s="158">
        <f t="shared" si="31"/>
        <v>0</v>
      </c>
      <c r="CB63" s="155"/>
      <c r="CC63" s="319"/>
      <c r="CD63" s="319"/>
      <c r="CE63" s="319"/>
      <c r="CF63" s="319"/>
      <c r="CG63" s="319"/>
      <c r="CH63" s="319"/>
      <c r="CI63" s="319"/>
      <c r="CJ63" s="319"/>
      <c r="CK63" s="245"/>
      <c r="CL63" s="319"/>
      <c r="CM63" s="319"/>
      <c r="CN63" s="319"/>
      <c r="CO63" s="319"/>
      <c r="CP63" s="319"/>
      <c r="CQ63" s="319"/>
      <c r="CR63" s="319"/>
      <c r="CS63" s="319"/>
      <c r="CT63" s="245"/>
      <c r="CU63" s="319"/>
      <c r="CV63" s="319"/>
      <c r="CW63" s="319"/>
      <c r="CX63" s="319"/>
      <c r="CY63" s="319"/>
      <c r="CZ63" s="319"/>
      <c r="DA63" s="319"/>
      <c r="DB63" s="319"/>
      <c r="DC63" s="319"/>
      <c r="DD63" s="237"/>
      <c r="DE63" s="237"/>
      <c r="DF63" s="319"/>
      <c r="DG63" s="245"/>
      <c r="DH63" s="319"/>
      <c r="DI63" s="319"/>
      <c r="DJ63" s="245"/>
      <c r="DK63" s="319"/>
      <c r="DL63" s="319"/>
      <c r="DM63" s="319"/>
      <c r="DN63" s="319"/>
      <c r="DO63" s="319"/>
      <c r="DP63" s="319"/>
      <c r="DQ63" s="1299"/>
      <c r="DR63" s="1299"/>
      <c r="DS63" s="1299"/>
      <c r="DT63" s="237"/>
      <c r="DU63" s="419">
        <f t="shared" si="32"/>
        <v>0</v>
      </c>
      <c r="DV63" s="57"/>
      <c r="DW63" s="319"/>
      <c r="DX63" s="319"/>
      <c r="DY63" s="319"/>
      <c r="DZ63" s="319"/>
      <c r="EA63" s="319"/>
      <c r="EB63" s="319"/>
      <c r="EC63" s="319"/>
      <c r="ED63" s="319"/>
      <c r="EE63" s="319"/>
      <c r="EF63" s="326"/>
      <c r="EG63" s="326"/>
      <c r="EH63" s="326"/>
      <c r="EI63" s="326"/>
      <c r="EJ63" s="326"/>
      <c r="EK63" s="326"/>
      <c r="EL63" s="326"/>
      <c r="EM63" s="326"/>
      <c r="EN63" s="326"/>
      <c r="EO63" s="326"/>
      <c r="EP63" s="326"/>
      <c r="EQ63" s="326"/>
      <c r="ER63" s="326"/>
      <c r="ES63" s="326"/>
      <c r="ET63" s="326"/>
      <c r="EU63" s="326"/>
      <c r="EV63" s="326"/>
      <c r="EW63" s="326"/>
      <c r="EX63" s="326"/>
      <c r="EY63" s="326"/>
      <c r="EZ63" s="326"/>
      <c r="FA63" s="326"/>
      <c r="FB63" s="326"/>
      <c r="FC63" s="326"/>
      <c r="FD63" s="326"/>
      <c r="FE63" s="326"/>
      <c r="FF63" s="326"/>
      <c r="FG63" s="326"/>
      <c r="FH63" s="326"/>
      <c r="FI63" s="326"/>
      <c r="FJ63" s="326"/>
      <c r="FK63" s="326"/>
      <c r="FL63" s="326"/>
      <c r="FM63" s="326"/>
      <c r="FN63" s="326"/>
      <c r="FO63" s="326"/>
      <c r="FP63" s="326"/>
      <c r="FQ63" s="326"/>
      <c r="FR63" s="326"/>
      <c r="FS63" s="326"/>
      <c r="FT63" s="326"/>
      <c r="FU63" s="326"/>
      <c r="FV63" s="326"/>
      <c r="FW63" s="326"/>
      <c r="FX63" s="326"/>
      <c r="FY63" s="326"/>
      <c r="FZ63" s="326"/>
      <c r="GA63" s="158">
        <f t="shared" si="33"/>
        <v>0</v>
      </c>
      <c r="GB63" s="95"/>
      <c r="GC63" s="375"/>
      <c r="GD63" s="319"/>
      <c r="GE63" s="319"/>
      <c r="GF63" s="319"/>
      <c r="GG63" s="319"/>
      <c r="GH63" s="319"/>
      <c r="GI63" s="271"/>
      <c r="GJ63" s="177"/>
      <c r="GK63" s="177"/>
      <c r="GL63" s="177"/>
      <c r="GM63" s="272"/>
      <c r="GN63" s="435"/>
      <c r="GO63" s="327">
        <f t="shared" si="34"/>
        <v>0</v>
      </c>
      <c r="GP63" s="445">
        <f t="shared" si="35"/>
        <v>0</v>
      </c>
      <c r="GQ63" s="605">
        <f t="shared" si="36"/>
        <v>0</v>
      </c>
      <c r="GR63" s="627">
        <f t="shared" si="37"/>
        <v>0</v>
      </c>
      <c r="GS63" s="239">
        <f t="shared" si="38"/>
        <v>0</v>
      </c>
      <c r="GT63" s="36" t="str">
        <f t="shared" si="39"/>
        <v>Карбонат калия (поташ)</v>
      </c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</row>
    <row r="64" spans="1:215" ht="15" customHeight="1" x14ac:dyDescent="0.3">
      <c r="A64" s="1129">
        <f t="shared" si="40"/>
        <v>53</v>
      </c>
      <c r="B64" s="688" t="s">
        <v>46</v>
      </c>
      <c r="C64" s="565">
        <f>'1_квартал'!G63</f>
        <v>7595.05</v>
      </c>
      <c r="D64" s="346">
        <f>3545.79+4010.18</f>
        <v>7555.9699999999993</v>
      </c>
      <c r="E64" s="1300">
        <f>989.82+1027.19</f>
        <v>2017.0100000000002</v>
      </c>
      <c r="F64" s="572"/>
      <c r="G64" s="878">
        <f t="shared" si="9"/>
        <v>4786.49</v>
      </c>
      <c r="H64" s="93">
        <v>8972.81</v>
      </c>
      <c r="I64" s="93">
        <v>8519.2099999999991</v>
      </c>
      <c r="J64" s="94"/>
      <c r="K64" s="245"/>
      <c r="L64" s="245"/>
      <c r="M64" s="319">
        <f>544.32*5</f>
        <v>2721.6000000000004</v>
      </c>
      <c r="N64" s="319"/>
      <c r="O64" s="319">
        <f>40.32*2.7</f>
        <v>108.864</v>
      </c>
      <c r="P64" s="319"/>
      <c r="Q64" s="319">
        <f>302.4*0.6</f>
        <v>181.43999999999997</v>
      </c>
      <c r="R64" s="319"/>
      <c r="S64" s="319">
        <f>40.32*7.5</f>
        <v>302.39999999999998</v>
      </c>
      <c r="T64" s="319">
        <f>302.4*3.5</f>
        <v>1058.3999999999999</v>
      </c>
      <c r="U64" s="319"/>
      <c r="V64" s="319"/>
      <c r="W64" s="319">
        <f>40.32*0.6</f>
        <v>24.192</v>
      </c>
      <c r="X64" s="319">
        <f>302.4*3</f>
        <v>907.19999999999993</v>
      </c>
      <c r="Y64" s="319"/>
      <c r="Z64" s="319">
        <v>18.143999999999998</v>
      </c>
      <c r="AA64" s="319"/>
      <c r="AB64" s="319">
        <f>40.32*3</f>
        <v>120.96000000000001</v>
      </c>
      <c r="AC64" s="245"/>
      <c r="AD64" s="319"/>
      <c r="AE64" s="319"/>
      <c r="AF64" s="245"/>
      <c r="AG64" s="319">
        <v>344.73599999999999</v>
      </c>
      <c r="AH64" s="319"/>
      <c r="AI64" s="319"/>
      <c r="AJ64" s="319"/>
      <c r="AK64" s="319"/>
      <c r="AL64" s="319"/>
      <c r="AM64" s="319"/>
      <c r="AN64" s="319"/>
      <c r="AO64" s="319">
        <v>302.39999999999998</v>
      </c>
      <c r="AP64" s="319">
        <f>544.32*0.3</f>
        <v>163.29600000000002</v>
      </c>
      <c r="AQ64" s="319"/>
      <c r="AR64" s="319">
        <v>181.44</v>
      </c>
      <c r="AS64" s="319"/>
      <c r="AT64" s="319"/>
      <c r="AU64" s="319"/>
      <c r="AV64" s="319"/>
      <c r="AW64" s="319"/>
      <c r="AX64" s="319"/>
      <c r="AY64" s="319"/>
      <c r="AZ64" s="319">
        <v>90.72</v>
      </c>
      <c r="BA64" s="319"/>
      <c r="BB64" s="319"/>
      <c r="BC64" s="319"/>
      <c r="BD64" s="319"/>
      <c r="BE64" s="319"/>
      <c r="BF64" s="319">
        <f>181.44/0.6*0.7</f>
        <v>211.68</v>
      </c>
      <c r="BG64" s="319"/>
      <c r="BH64" s="319"/>
      <c r="BI64" s="319"/>
      <c r="BJ64" s="177"/>
      <c r="BK64" s="271"/>
      <c r="BL64" s="319">
        <v>181.44</v>
      </c>
      <c r="BM64" s="245"/>
      <c r="BN64" s="319"/>
      <c r="BO64" s="245"/>
      <c r="BP64" s="177"/>
      <c r="BQ64" s="245"/>
      <c r="BR64" s="177"/>
      <c r="BS64" s="177"/>
      <c r="BT64" s="319"/>
      <c r="BU64" s="319"/>
      <c r="BV64" s="319"/>
      <c r="BW64" s="319"/>
      <c r="BX64" s="319">
        <v>483.84</v>
      </c>
      <c r="BY64" s="319">
        <f>40.32*3.8</f>
        <v>153.21599999999998</v>
      </c>
      <c r="BZ64" s="319"/>
      <c r="CA64" s="158">
        <f t="shared" si="31"/>
        <v>7555.9680000000008</v>
      </c>
      <c r="CB64" s="94"/>
      <c r="CC64" s="319"/>
      <c r="CD64" s="319"/>
      <c r="CE64" s="319">
        <f>40.32*0.6</f>
        <v>24.192</v>
      </c>
      <c r="CF64" s="319"/>
      <c r="CG64" s="319"/>
      <c r="CH64" s="319"/>
      <c r="CI64" s="319"/>
      <c r="CJ64" s="319"/>
      <c r="CK64" s="245"/>
      <c r="CL64" s="319"/>
      <c r="CM64" s="319"/>
      <c r="CN64" s="319"/>
      <c r="CO64" s="319">
        <f>40.32*6</f>
        <v>241.92000000000002</v>
      </c>
      <c r="CP64" s="319"/>
      <c r="CQ64" s="319"/>
      <c r="CR64" s="319">
        <v>181.44</v>
      </c>
      <c r="CS64" s="319"/>
      <c r="CT64" s="245"/>
      <c r="CU64" s="319"/>
      <c r="CV64" s="319"/>
      <c r="CW64" s="319"/>
      <c r="CX64" s="319"/>
      <c r="CY64" s="319"/>
      <c r="CZ64" s="319"/>
      <c r="DA64" s="319"/>
      <c r="DB64" s="319"/>
      <c r="DC64" s="319">
        <f>90.72/3*3.5</f>
        <v>105.83999999999999</v>
      </c>
      <c r="DD64" s="326"/>
      <c r="DE64" s="326"/>
      <c r="DF64" s="319"/>
      <c r="DG64" s="245"/>
      <c r="DH64" s="319"/>
      <c r="DI64" s="319"/>
      <c r="DJ64" s="245"/>
      <c r="DK64" s="319">
        <f>40.32*5</f>
        <v>201.6</v>
      </c>
      <c r="DL64" s="319"/>
      <c r="DM64" s="319">
        <f>40.32*7</f>
        <v>282.24</v>
      </c>
      <c r="DN64" s="319"/>
      <c r="DO64" s="319">
        <f>302.4*1.2</f>
        <v>362.87999999999994</v>
      </c>
      <c r="DP64" s="319">
        <f>302.4*1.5</f>
        <v>453.59999999999997</v>
      </c>
      <c r="DQ64" s="319"/>
      <c r="DR64" s="319"/>
      <c r="DS64" s="319">
        <f>544.32*0.3</f>
        <v>163.29600000000002</v>
      </c>
      <c r="DT64" s="326"/>
      <c r="DU64" s="419">
        <f t="shared" si="32"/>
        <v>2017.0079999999998</v>
      </c>
      <c r="DV64" s="57"/>
      <c r="DW64" s="319"/>
      <c r="DX64" s="319"/>
      <c r="DY64" s="319">
        <f>302.4*1.5</f>
        <v>453.59999999999997</v>
      </c>
      <c r="DZ64" s="319"/>
      <c r="EA64" s="319"/>
      <c r="EB64" s="319"/>
      <c r="EC64" s="319"/>
      <c r="ED64" s="319"/>
      <c r="EE64" s="319"/>
      <c r="EF64" s="319"/>
      <c r="EG64" s="319"/>
      <c r="EH64" s="319"/>
      <c r="EI64" s="319"/>
      <c r="EJ64" s="319"/>
      <c r="EK64" s="319"/>
      <c r="EL64" s="319"/>
      <c r="EM64" s="319"/>
      <c r="EN64" s="319"/>
      <c r="EO64" s="319"/>
      <c r="EP64" s="319"/>
      <c r="EQ64" s="319"/>
      <c r="ER64" s="319"/>
      <c r="ES64" s="319"/>
      <c r="ET64" s="319"/>
      <c r="EU64" s="319"/>
      <c r="EV64" s="319"/>
      <c r="EW64" s="319"/>
      <c r="EX64" s="319"/>
      <c r="EY64" s="319"/>
      <c r="EZ64" s="319"/>
      <c r="FA64" s="319"/>
      <c r="FB64" s="319"/>
      <c r="FC64" s="319"/>
      <c r="FD64" s="319"/>
      <c r="FE64" s="319"/>
      <c r="FF64" s="319"/>
      <c r="FG64" s="319"/>
      <c r="FH64" s="319"/>
      <c r="FI64" s="319"/>
      <c r="FJ64" s="319"/>
      <c r="FK64" s="319"/>
      <c r="FL64" s="319"/>
      <c r="FM64" s="319"/>
      <c r="FN64" s="319"/>
      <c r="FO64" s="319"/>
      <c r="FP64" s="319"/>
      <c r="FQ64" s="319"/>
      <c r="FR64" s="319"/>
      <c r="FS64" s="319"/>
      <c r="FT64" s="319"/>
      <c r="FU64" s="319"/>
      <c r="FV64" s="319"/>
      <c r="FW64" s="319"/>
      <c r="FX64" s="319"/>
      <c r="FY64" s="319"/>
      <c r="FZ64" s="319"/>
      <c r="GA64" s="158">
        <f t="shared" si="33"/>
        <v>453.59999999999997</v>
      </c>
      <c r="GB64" s="95"/>
      <c r="GC64" s="374"/>
      <c r="GD64" s="319">
        <f>383.04*0.9</f>
        <v>344.73600000000005</v>
      </c>
      <c r="GE64" s="319">
        <f>30.24*0.9</f>
        <v>27.215999999999998</v>
      </c>
      <c r="GF64" s="319"/>
      <c r="GG64" s="319"/>
      <c r="GH64" s="319"/>
      <c r="GI64" s="271"/>
      <c r="GJ64" s="271"/>
      <c r="GK64" s="271"/>
      <c r="GL64" s="271"/>
      <c r="GM64" s="272"/>
      <c r="GN64" s="435"/>
      <c r="GO64" s="327">
        <f t="shared" si="34"/>
        <v>371.95200000000006</v>
      </c>
      <c r="GP64" s="445">
        <f t="shared" si="35"/>
        <v>8147.2579999999989</v>
      </c>
      <c r="GQ64" s="605">
        <f t="shared" si="36"/>
        <v>8519.2099999999991</v>
      </c>
      <c r="GR64" s="627">
        <f t="shared" si="37"/>
        <v>7595.05</v>
      </c>
      <c r="GS64" s="239">
        <f t="shared" si="38"/>
        <v>2017.0100000000002</v>
      </c>
      <c r="GT64" s="36" t="str">
        <f t="shared" si="39"/>
        <v>кальций хлористый пищ Фудикс</v>
      </c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</row>
    <row r="65" spans="1:215" ht="15" customHeight="1" x14ac:dyDescent="0.3">
      <c r="A65" s="1129">
        <f t="shared" si="40"/>
        <v>54</v>
      </c>
      <c r="B65" s="688" t="s">
        <v>47</v>
      </c>
      <c r="C65" s="565">
        <f>'1_квартал'!G64</f>
        <v>2661.453</v>
      </c>
      <c r="D65" s="346">
        <f>2611.15</f>
        <v>2611.15</v>
      </c>
      <c r="E65" s="1300">
        <v>2580.48</v>
      </c>
      <c r="F65" s="572"/>
      <c r="G65" s="878">
        <f t="shared" si="9"/>
        <v>2595.8150000000001</v>
      </c>
      <c r="H65" s="93">
        <v>4466.29</v>
      </c>
      <c r="I65" s="93">
        <v>4322.29</v>
      </c>
      <c r="J65" s="146"/>
      <c r="K65" s="245"/>
      <c r="L65" s="245"/>
      <c r="M65" s="319"/>
      <c r="N65" s="319"/>
      <c r="O65" s="319">
        <f>100.8*2.7</f>
        <v>272.16000000000003</v>
      </c>
      <c r="P65" s="319"/>
      <c r="Q65" s="319"/>
      <c r="R65" s="319"/>
      <c r="S65" s="319">
        <f>100.8*7.5</f>
        <v>756</v>
      </c>
      <c r="T65" s="319"/>
      <c r="U65" s="319"/>
      <c r="V65" s="319"/>
      <c r="W65" s="319">
        <f>100.8*0.6</f>
        <v>60.48</v>
      </c>
      <c r="X65" s="319"/>
      <c r="Y65" s="319"/>
      <c r="Z65" s="319">
        <v>120.96</v>
      </c>
      <c r="AA65" s="319"/>
      <c r="AB65" s="319">
        <f>100.8*3</f>
        <v>302.39999999999998</v>
      </c>
      <c r="AC65" s="245"/>
      <c r="AD65" s="319"/>
      <c r="AE65" s="319"/>
      <c r="AF65" s="245"/>
      <c r="AG65" s="319"/>
      <c r="AH65" s="319"/>
      <c r="AI65" s="319"/>
      <c r="AJ65" s="319"/>
      <c r="AK65" s="319">
        <v>30.24</v>
      </c>
      <c r="AL65" s="319">
        <v>20.16</v>
      </c>
      <c r="AM65" s="319"/>
      <c r="AN65" s="319"/>
      <c r="AO65" s="319"/>
      <c r="AP65" s="319"/>
      <c r="AQ65" s="319"/>
      <c r="AR65" s="319"/>
      <c r="AS65" s="319"/>
      <c r="AT65" s="319"/>
      <c r="AU65" s="319"/>
      <c r="AV65" s="319"/>
      <c r="AW65" s="319"/>
      <c r="AX65" s="319"/>
      <c r="AY65" s="319"/>
      <c r="AZ65" s="319">
        <v>604.79999999999995</v>
      </c>
      <c r="BA65" s="319"/>
      <c r="BB65" s="319"/>
      <c r="BC65" s="319"/>
      <c r="BD65" s="319"/>
      <c r="BE65" s="319"/>
      <c r="BF65" s="319"/>
      <c r="BG65" s="319"/>
      <c r="BH65" s="319"/>
      <c r="BI65" s="319"/>
      <c r="BJ65" s="177"/>
      <c r="BK65" s="271"/>
      <c r="BL65" s="319"/>
      <c r="BM65" s="245"/>
      <c r="BN65" s="319"/>
      <c r="BO65" s="245"/>
      <c r="BP65" s="177"/>
      <c r="BQ65" s="245"/>
      <c r="BR65" s="177"/>
      <c r="BS65" s="177"/>
      <c r="BT65" s="319"/>
      <c r="BU65" s="319"/>
      <c r="BV65" s="319"/>
      <c r="BW65" s="319"/>
      <c r="BX65" s="319">
        <v>60.908000000000001</v>
      </c>
      <c r="BY65" s="319">
        <f>100.8*3.8</f>
        <v>383.03999999999996</v>
      </c>
      <c r="BZ65" s="319"/>
      <c r="CA65" s="158">
        <f t="shared" si="31"/>
        <v>2611.1479999999997</v>
      </c>
      <c r="CB65" s="146"/>
      <c r="CC65" s="319"/>
      <c r="CD65" s="319"/>
      <c r="CE65" s="319">
        <f>100.8*0.6</f>
        <v>60.48</v>
      </c>
      <c r="CF65" s="319"/>
      <c r="CG65" s="319"/>
      <c r="CH65" s="319"/>
      <c r="CI65" s="319"/>
      <c r="CJ65" s="319"/>
      <c r="CK65" s="245"/>
      <c r="CL65" s="319"/>
      <c r="CM65" s="319"/>
      <c r="CN65" s="319"/>
      <c r="CO65" s="319">
        <f>100.8*6</f>
        <v>604.79999999999995</v>
      </c>
      <c r="CP65" s="319"/>
      <c r="CQ65" s="319"/>
      <c r="CR65" s="319"/>
      <c r="CS65" s="319"/>
      <c r="CT65" s="245"/>
      <c r="CU65" s="319"/>
      <c r="CV65" s="319"/>
      <c r="CW65" s="319"/>
      <c r="CX65" s="319"/>
      <c r="CY65" s="319"/>
      <c r="CZ65" s="319"/>
      <c r="DA65" s="319"/>
      <c r="DB65" s="319"/>
      <c r="DC65" s="319">
        <f>604.8/3*3.5</f>
        <v>705.6</v>
      </c>
      <c r="DD65" s="319"/>
      <c r="DE65" s="319"/>
      <c r="DF65" s="319"/>
      <c r="DG65" s="245"/>
      <c r="DH65" s="319"/>
      <c r="DI65" s="319"/>
      <c r="DJ65" s="245"/>
      <c r="DK65" s="319">
        <f>100.8*5</f>
        <v>504</v>
      </c>
      <c r="DL65" s="319"/>
      <c r="DM65" s="319">
        <f>100.8*7</f>
        <v>705.6</v>
      </c>
      <c r="DN65" s="319"/>
      <c r="DO65" s="319"/>
      <c r="DP65" s="319"/>
      <c r="DQ65" s="319"/>
      <c r="DR65" s="319"/>
      <c r="DS65" s="319"/>
      <c r="DT65" s="319"/>
      <c r="DU65" s="419">
        <f t="shared" si="32"/>
        <v>2580.48</v>
      </c>
      <c r="DV65" s="147"/>
      <c r="DW65" s="319"/>
      <c r="DX65" s="319"/>
      <c r="DY65" s="319"/>
      <c r="DZ65" s="319"/>
      <c r="EA65" s="319"/>
      <c r="EB65" s="319">
        <f>48*3</f>
        <v>144</v>
      </c>
      <c r="EC65" s="319"/>
      <c r="ED65" s="319"/>
      <c r="EE65" s="319"/>
      <c r="EF65" s="319"/>
      <c r="EG65" s="319"/>
      <c r="EH65" s="319"/>
      <c r="EI65" s="319"/>
      <c r="EJ65" s="319"/>
      <c r="EK65" s="319"/>
      <c r="EL65" s="319"/>
      <c r="EM65" s="319"/>
      <c r="EN65" s="319"/>
      <c r="EO65" s="319"/>
      <c r="EP65" s="319"/>
      <c r="EQ65" s="319"/>
      <c r="ER65" s="319"/>
      <c r="ES65" s="319"/>
      <c r="ET65" s="319"/>
      <c r="EU65" s="319"/>
      <c r="EV65" s="319"/>
      <c r="EW65" s="319"/>
      <c r="EX65" s="319"/>
      <c r="EY65" s="319"/>
      <c r="EZ65" s="319"/>
      <c r="FA65" s="319"/>
      <c r="FB65" s="319"/>
      <c r="FC65" s="319"/>
      <c r="FD65" s="319"/>
      <c r="FE65" s="319"/>
      <c r="FF65" s="319"/>
      <c r="FG65" s="319"/>
      <c r="FH65" s="319"/>
      <c r="FI65" s="319"/>
      <c r="FJ65" s="319"/>
      <c r="FK65" s="319"/>
      <c r="FL65" s="319"/>
      <c r="FM65" s="319"/>
      <c r="FN65" s="319"/>
      <c r="FO65" s="319"/>
      <c r="FP65" s="319"/>
      <c r="FQ65" s="319"/>
      <c r="FR65" s="319"/>
      <c r="FS65" s="319"/>
      <c r="FT65" s="319"/>
      <c r="FU65" s="319"/>
      <c r="FV65" s="319"/>
      <c r="FW65" s="319"/>
      <c r="FX65" s="319"/>
      <c r="FY65" s="319"/>
      <c r="FZ65" s="319"/>
      <c r="GA65" s="158">
        <f t="shared" si="33"/>
        <v>144</v>
      </c>
      <c r="GB65" s="148"/>
      <c r="GC65" s="374"/>
      <c r="GD65" s="319"/>
      <c r="GE65" s="319">
        <f>201.6*0.9</f>
        <v>181.44</v>
      </c>
      <c r="GF65" s="319"/>
      <c r="GG65" s="319"/>
      <c r="GH65" s="319"/>
      <c r="GI65" s="271"/>
      <c r="GJ65" s="271"/>
      <c r="GK65" s="271"/>
      <c r="GL65" s="271"/>
      <c r="GM65" s="272"/>
      <c r="GN65" s="435"/>
      <c r="GO65" s="327">
        <f t="shared" si="34"/>
        <v>181.44</v>
      </c>
      <c r="GP65" s="558">
        <f t="shared" si="35"/>
        <v>4140.8500000000004</v>
      </c>
      <c r="GQ65" s="605">
        <f t="shared" si="36"/>
        <v>4322.29</v>
      </c>
      <c r="GR65" s="627">
        <f t="shared" si="37"/>
        <v>2661.453</v>
      </c>
      <c r="GS65" s="239">
        <f t="shared" si="38"/>
        <v>2580.48</v>
      </c>
      <c r="GT65" s="36" t="str">
        <f t="shared" si="39"/>
        <v>кальция пропионат</v>
      </c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2"/>
      <c r="HF65" s="22"/>
      <c r="HG65" s="22"/>
    </row>
    <row r="66" spans="1:215" ht="15" customHeight="1" x14ac:dyDescent="0.3">
      <c r="A66" s="1129">
        <f t="shared" si="40"/>
        <v>55</v>
      </c>
      <c r="B66" s="688" t="s">
        <v>505</v>
      </c>
      <c r="C66" s="565">
        <f>'1_квартал'!G65</f>
        <v>7.7569999999999997</v>
      </c>
      <c r="D66" s="593">
        <v>1.73</v>
      </c>
      <c r="E66" s="1300">
        <v>0</v>
      </c>
      <c r="F66" s="572"/>
      <c r="G66" s="878">
        <f t="shared" si="9"/>
        <v>0.86499999999999999</v>
      </c>
      <c r="H66" s="93">
        <v>0</v>
      </c>
      <c r="I66" s="93">
        <v>0</v>
      </c>
      <c r="J66" s="146"/>
      <c r="K66" s="245"/>
      <c r="L66" s="245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19"/>
      <c r="AB66" s="319"/>
      <c r="AC66" s="245"/>
      <c r="AD66" s="319"/>
      <c r="AE66" s="319"/>
      <c r="AF66" s="245"/>
      <c r="AG66" s="319"/>
      <c r="AH66" s="319"/>
      <c r="AI66" s="319"/>
      <c r="AJ66" s="319"/>
      <c r="AK66" s="319"/>
      <c r="AL66" s="319">
        <v>1.73</v>
      </c>
      <c r="AM66" s="319"/>
      <c r="AN66" s="319"/>
      <c r="AO66" s="319"/>
      <c r="AP66" s="319"/>
      <c r="AQ66" s="319"/>
      <c r="AR66" s="319"/>
      <c r="AS66" s="319"/>
      <c r="AT66" s="319"/>
      <c r="AU66" s="319"/>
      <c r="AV66" s="319"/>
      <c r="AW66" s="319"/>
      <c r="AX66" s="319"/>
      <c r="AY66" s="319"/>
      <c r="AZ66" s="319"/>
      <c r="BA66" s="319"/>
      <c r="BB66" s="319"/>
      <c r="BC66" s="319"/>
      <c r="BD66" s="319"/>
      <c r="BE66" s="319"/>
      <c r="BF66" s="319"/>
      <c r="BG66" s="319"/>
      <c r="BH66" s="319"/>
      <c r="BI66" s="319"/>
      <c r="BJ66" s="177"/>
      <c r="BK66" s="271"/>
      <c r="BL66" s="319"/>
      <c r="BM66" s="245"/>
      <c r="BN66" s="319"/>
      <c r="BO66" s="245"/>
      <c r="BP66" s="177"/>
      <c r="BQ66" s="245"/>
      <c r="BR66" s="177"/>
      <c r="BS66" s="177"/>
      <c r="BT66" s="319"/>
      <c r="BU66" s="319"/>
      <c r="BV66" s="319"/>
      <c r="BW66" s="319"/>
      <c r="BX66" s="319"/>
      <c r="BY66" s="319"/>
      <c r="BZ66" s="319"/>
      <c r="CA66" s="158">
        <f t="shared" si="31"/>
        <v>1.73</v>
      </c>
      <c r="CB66" s="146"/>
      <c r="CC66" s="319"/>
      <c r="CD66" s="319"/>
      <c r="CE66" s="319"/>
      <c r="CF66" s="319"/>
      <c r="CG66" s="319"/>
      <c r="CH66" s="319"/>
      <c r="CI66" s="319"/>
      <c r="CJ66" s="319"/>
      <c r="CK66" s="245"/>
      <c r="CL66" s="319"/>
      <c r="CM66" s="319"/>
      <c r="CN66" s="319"/>
      <c r="CO66" s="319"/>
      <c r="CP66" s="319"/>
      <c r="CQ66" s="319"/>
      <c r="CR66" s="319"/>
      <c r="CS66" s="319"/>
      <c r="CT66" s="245"/>
      <c r="CU66" s="319"/>
      <c r="CV66" s="319"/>
      <c r="CW66" s="319"/>
      <c r="CX66" s="319"/>
      <c r="CY66" s="319"/>
      <c r="CZ66" s="319"/>
      <c r="DA66" s="319"/>
      <c r="DB66" s="319"/>
      <c r="DC66" s="319"/>
      <c r="DD66" s="319"/>
      <c r="DE66" s="319"/>
      <c r="DF66" s="319"/>
      <c r="DG66" s="245"/>
      <c r="DH66" s="319"/>
      <c r="DI66" s="319"/>
      <c r="DJ66" s="245"/>
      <c r="DK66" s="319"/>
      <c r="DL66" s="319"/>
      <c r="DM66" s="319"/>
      <c r="DN66" s="319"/>
      <c r="DO66" s="319"/>
      <c r="DP66" s="319"/>
      <c r="DQ66" s="319"/>
      <c r="DR66" s="319"/>
      <c r="DS66" s="319"/>
      <c r="DT66" s="319"/>
      <c r="DU66" s="419">
        <f t="shared" si="32"/>
        <v>0</v>
      </c>
      <c r="DV66" s="147"/>
      <c r="DW66" s="319"/>
      <c r="DX66" s="319"/>
      <c r="DY66" s="319"/>
      <c r="DZ66" s="319"/>
      <c r="EA66" s="319"/>
      <c r="EB66" s="319"/>
      <c r="EC66" s="319"/>
      <c r="ED66" s="319"/>
      <c r="EE66" s="319"/>
      <c r="EF66" s="319"/>
      <c r="EG66" s="319"/>
      <c r="EH66" s="319"/>
      <c r="EI66" s="319"/>
      <c r="EJ66" s="319"/>
      <c r="EK66" s="319"/>
      <c r="EL66" s="319"/>
      <c r="EM66" s="319"/>
      <c r="EN66" s="319"/>
      <c r="EO66" s="319"/>
      <c r="EP66" s="319"/>
      <c r="EQ66" s="319"/>
      <c r="ER66" s="319"/>
      <c r="ES66" s="319"/>
      <c r="ET66" s="319"/>
      <c r="EU66" s="319"/>
      <c r="EV66" s="319"/>
      <c r="EW66" s="319"/>
      <c r="EX66" s="319"/>
      <c r="EY66" s="319"/>
      <c r="EZ66" s="319"/>
      <c r="FA66" s="319"/>
      <c r="FB66" s="319"/>
      <c r="FC66" s="319"/>
      <c r="FD66" s="319"/>
      <c r="FE66" s="319"/>
      <c r="FF66" s="319"/>
      <c r="FG66" s="319"/>
      <c r="FH66" s="319"/>
      <c r="FI66" s="319"/>
      <c r="FJ66" s="319"/>
      <c r="FK66" s="319"/>
      <c r="FL66" s="319"/>
      <c r="FM66" s="319"/>
      <c r="FN66" s="319"/>
      <c r="FO66" s="319"/>
      <c r="FP66" s="319"/>
      <c r="FQ66" s="319"/>
      <c r="FR66" s="319"/>
      <c r="FS66" s="319"/>
      <c r="FT66" s="319"/>
      <c r="FU66" s="319"/>
      <c r="FV66" s="319"/>
      <c r="FW66" s="319"/>
      <c r="FX66" s="319"/>
      <c r="FY66" s="319"/>
      <c r="FZ66" s="319"/>
      <c r="GA66" s="158">
        <f t="shared" si="33"/>
        <v>0</v>
      </c>
      <c r="GB66" s="148"/>
      <c r="GC66" s="374"/>
      <c r="GD66" s="319"/>
      <c r="GE66" s="319"/>
      <c r="GF66" s="319"/>
      <c r="GG66" s="319"/>
      <c r="GH66" s="319"/>
      <c r="GI66" s="271"/>
      <c r="GJ66" s="271"/>
      <c r="GK66" s="271"/>
      <c r="GL66" s="271"/>
      <c r="GM66" s="272"/>
      <c r="GN66" s="435"/>
      <c r="GO66" s="327">
        <f t="shared" si="34"/>
        <v>0</v>
      </c>
      <c r="GP66" s="445">
        <f t="shared" si="35"/>
        <v>0</v>
      </c>
      <c r="GQ66" s="605">
        <f t="shared" si="36"/>
        <v>0</v>
      </c>
      <c r="GR66" s="627">
        <f t="shared" si="37"/>
        <v>7.7569999999999997</v>
      </c>
      <c r="GS66" s="239">
        <f t="shared" si="38"/>
        <v>0</v>
      </c>
      <c r="GT66" s="36" t="str">
        <f t="shared" si="39"/>
        <v>Концентрат СЖК</v>
      </c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2"/>
      <c r="HF66" s="22"/>
      <c r="HG66" s="22"/>
    </row>
    <row r="67" spans="1:215" ht="15" customHeight="1" x14ac:dyDescent="0.3">
      <c r="A67" s="1129">
        <f t="shared" si="40"/>
        <v>56</v>
      </c>
      <c r="B67" s="691" t="s">
        <v>32</v>
      </c>
      <c r="C67" s="565">
        <f>'1_квартал'!G66</f>
        <v>531.54999999999995</v>
      </c>
      <c r="D67" s="346">
        <v>143.72999999999999</v>
      </c>
      <c r="E67" s="1300">
        <f>50.46+67.1</f>
        <v>117.56</v>
      </c>
      <c r="F67" s="572"/>
      <c r="G67" s="878">
        <f t="shared" si="9"/>
        <v>130.64500000000001</v>
      </c>
      <c r="H67" s="93">
        <f>57.9+200</f>
        <v>257.89999999999998</v>
      </c>
      <c r="I67" s="93">
        <f>57.9+200</f>
        <v>257.89999999999998</v>
      </c>
      <c r="J67" s="94"/>
      <c r="K67" s="245"/>
      <c r="L67" s="245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245"/>
      <c r="AD67" s="319"/>
      <c r="AE67" s="319"/>
      <c r="AF67" s="245"/>
      <c r="AG67" s="319"/>
      <c r="AH67" s="319"/>
      <c r="AI67" s="319"/>
      <c r="AJ67" s="319"/>
      <c r="AK67" s="319"/>
      <c r="AL67" s="319">
        <v>1.008</v>
      </c>
      <c r="AM67" s="319"/>
      <c r="AN67" s="319">
        <v>20.16</v>
      </c>
      <c r="AO67" s="319"/>
      <c r="AP67" s="319"/>
      <c r="AQ67" s="319">
        <v>4.032</v>
      </c>
      <c r="AR67" s="319"/>
      <c r="AS67" s="319">
        <v>5.3760000000000003</v>
      </c>
      <c r="AT67" s="319"/>
      <c r="AU67" s="319"/>
      <c r="AV67" s="319"/>
      <c r="AW67" s="319">
        <v>19.555</v>
      </c>
      <c r="AX67" s="319"/>
      <c r="AY67" s="319"/>
      <c r="AZ67" s="319"/>
      <c r="BA67" s="319"/>
      <c r="BB67" s="319"/>
      <c r="BC67" s="319">
        <f>24.192/1.2*0.3</f>
        <v>6.048</v>
      </c>
      <c r="BD67" s="319"/>
      <c r="BE67" s="319">
        <v>3.024</v>
      </c>
      <c r="BF67" s="319"/>
      <c r="BG67" s="319"/>
      <c r="BH67" s="319"/>
      <c r="BI67" s="319"/>
      <c r="BJ67" s="177"/>
      <c r="BK67" s="271"/>
      <c r="BL67" s="319"/>
      <c r="BM67" s="245"/>
      <c r="BN67" s="319"/>
      <c r="BO67" s="245"/>
      <c r="BP67" s="177"/>
      <c r="BQ67" s="245">
        <v>56.7</v>
      </c>
      <c r="BR67" s="177"/>
      <c r="BS67" s="177"/>
      <c r="BT67" s="319"/>
      <c r="BU67" s="319"/>
      <c r="BV67" s="319"/>
      <c r="BW67" s="319"/>
      <c r="BX67" s="319">
        <v>27.821000000000002</v>
      </c>
      <c r="BY67" s="319"/>
      <c r="BZ67" s="319"/>
      <c r="CA67" s="158">
        <f t="shared" si="31"/>
        <v>143.72400000000002</v>
      </c>
      <c r="CB67" s="94"/>
      <c r="CC67" s="319"/>
      <c r="CD67" s="319"/>
      <c r="CE67" s="319"/>
      <c r="CF67" s="319"/>
      <c r="CG67" s="319"/>
      <c r="CH67" s="319"/>
      <c r="CI67" s="319"/>
      <c r="CJ67" s="319"/>
      <c r="CK67" s="245"/>
      <c r="CL67" s="319"/>
      <c r="CM67" s="319"/>
      <c r="CN67" s="319">
        <v>60.48</v>
      </c>
      <c r="CO67" s="319"/>
      <c r="CP67" s="319"/>
      <c r="CQ67" s="319"/>
      <c r="CR67" s="319"/>
      <c r="CS67" s="319"/>
      <c r="CT67" s="245"/>
      <c r="CU67" s="319"/>
      <c r="CV67" s="319"/>
      <c r="CW67" s="319"/>
      <c r="CX67" s="319"/>
      <c r="CY67" s="319"/>
      <c r="CZ67" s="319"/>
      <c r="DA67" s="319"/>
      <c r="DB67" s="319"/>
      <c r="DC67" s="319"/>
      <c r="DD67" s="319"/>
      <c r="DE67" s="319"/>
      <c r="DF67" s="319">
        <f>0.252*1.5</f>
        <v>0.378</v>
      </c>
      <c r="DG67" s="245">
        <v>56.7</v>
      </c>
      <c r="DH67" s="319"/>
      <c r="DI67" s="319"/>
      <c r="DJ67" s="245"/>
      <c r="DK67" s="319"/>
      <c r="DL67" s="319"/>
      <c r="DM67" s="319"/>
      <c r="DN67" s="319"/>
      <c r="DO67" s="319"/>
      <c r="DP67" s="319"/>
      <c r="DQ67" s="319"/>
      <c r="DR67" s="319"/>
      <c r="DS67" s="319"/>
      <c r="DT67" s="319"/>
      <c r="DU67" s="419">
        <f t="shared" si="32"/>
        <v>117.55799999999999</v>
      </c>
      <c r="DV67" s="57"/>
      <c r="DW67" s="319"/>
      <c r="DX67" s="319"/>
      <c r="DY67" s="319"/>
      <c r="DZ67" s="319"/>
      <c r="EA67" s="319"/>
      <c r="EB67" s="319"/>
      <c r="EC67" s="319"/>
      <c r="ED67" s="319"/>
      <c r="EE67" s="319"/>
      <c r="EF67" s="319"/>
      <c r="EG67" s="319"/>
      <c r="EH67" s="319"/>
      <c r="EI67" s="319"/>
      <c r="EJ67" s="319"/>
      <c r="EK67" s="319"/>
      <c r="EL67" s="319"/>
      <c r="EM67" s="319"/>
      <c r="EN67" s="319"/>
      <c r="EO67" s="319"/>
      <c r="EP67" s="319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319"/>
      <c r="FD67" s="319"/>
      <c r="FE67" s="319"/>
      <c r="FF67" s="319"/>
      <c r="FG67" s="319"/>
      <c r="FH67" s="319"/>
      <c r="FI67" s="319"/>
      <c r="FJ67" s="319"/>
      <c r="FK67" s="319"/>
      <c r="FL67" s="319"/>
      <c r="FM67" s="319"/>
      <c r="FN67" s="319"/>
      <c r="FO67" s="319"/>
      <c r="FP67" s="319"/>
      <c r="FQ67" s="319"/>
      <c r="FR67" s="319"/>
      <c r="FS67" s="319"/>
      <c r="FT67" s="319"/>
      <c r="FU67" s="319"/>
      <c r="FV67" s="319"/>
      <c r="FW67" s="319"/>
      <c r="FX67" s="319"/>
      <c r="FY67" s="319"/>
      <c r="FZ67" s="319"/>
      <c r="GA67" s="158">
        <f t="shared" si="33"/>
        <v>0</v>
      </c>
      <c r="GB67" s="95"/>
      <c r="GC67" s="374"/>
      <c r="GD67" s="319"/>
      <c r="GE67" s="319"/>
      <c r="GF67" s="319"/>
      <c r="GG67" s="319"/>
      <c r="GH67" s="319"/>
      <c r="GI67" s="271"/>
      <c r="GJ67" s="271"/>
      <c r="GK67" s="271"/>
      <c r="GL67" s="271"/>
      <c r="GM67" s="272"/>
      <c r="GN67" s="435"/>
      <c r="GO67" s="327">
        <f t="shared" si="34"/>
        <v>0</v>
      </c>
      <c r="GP67" s="625">
        <f t="shared" si="35"/>
        <v>257.89999999999998</v>
      </c>
      <c r="GQ67" s="605">
        <f t="shared" si="36"/>
        <v>257.89999999999998</v>
      </c>
      <c r="GR67" s="627">
        <f t="shared" si="37"/>
        <v>531.54999999999995</v>
      </c>
      <c r="GS67" s="239">
        <f t="shared" si="38"/>
        <v>117.56</v>
      </c>
      <c r="GT67" s="36" t="str">
        <f t="shared" si="39"/>
        <v>и-сак</v>
      </c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6"/>
      <c r="HF67" s="26"/>
      <c r="HG67" s="26"/>
    </row>
    <row r="68" spans="1:215" ht="15" customHeight="1" x14ac:dyDescent="0.3">
      <c r="A68" s="1131">
        <f t="shared" si="40"/>
        <v>57</v>
      </c>
      <c r="B68" s="691" t="s">
        <v>159</v>
      </c>
      <c r="C68" s="565">
        <f>'1_квартал'!G67</f>
        <v>30.503</v>
      </c>
      <c r="D68" s="346">
        <f>12.61+22.95</f>
        <v>35.56</v>
      </c>
      <c r="E68" s="1300">
        <f>0.31+27.05+6.05</f>
        <v>33.409999999999997</v>
      </c>
      <c r="F68" s="572"/>
      <c r="G68" s="878">
        <f t="shared" si="9"/>
        <v>34.484999999999999</v>
      </c>
      <c r="H68" s="93">
        <v>43.95</v>
      </c>
      <c r="I68" s="93">
        <v>42.74</v>
      </c>
      <c r="J68" s="94"/>
      <c r="K68" s="245"/>
      <c r="L68" s="245"/>
      <c r="M68" s="319"/>
      <c r="N68" s="319"/>
      <c r="O68" s="319"/>
      <c r="P68" s="319"/>
      <c r="Q68" s="319"/>
      <c r="R68" s="319"/>
      <c r="S68" s="319"/>
      <c r="T68" s="319"/>
      <c r="U68" s="319"/>
      <c r="V68" s="319">
        <f>7.826*1.6</f>
        <v>12.521599999999999</v>
      </c>
      <c r="W68" s="319"/>
      <c r="X68" s="319"/>
      <c r="Y68" s="319"/>
      <c r="Z68" s="319"/>
      <c r="AA68" s="319"/>
      <c r="AB68" s="319"/>
      <c r="AC68" s="245"/>
      <c r="AD68" s="319"/>
      <c r="AE68" s="319"/>
      <c r="AF68" s="245"/>
      <c r="AG68" s="319"/>
      <c r="AH68" s="319"/>
      <c r="AI68" s="319"/>
      <c r="AJ68" s="319"/>
      <c r="AK68" s="319"/>
      <c r="AL68" s="319"/>
      <c r="AM68" s="319"/>
      <c r="AN68" s="319"/>
      <c r="AO68" s="319"/>
      <c r="AP68" s="319"/>
      <c r="AQ68" s="319"/>
      <c r="AR68" s="319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>
        <f>4.838/1.2*0.3</f>
        <v>1.2095</v>
      </c>
      <c r="BD68" s="319">
        <f>0.282/0.3*0.1</f>
        <v>9.4E-2</v>
      </c>
      <c r="BE68" s="319"/>
      <c r="BF68" s="319"/>
      <c r="BG68" s="319"/>
      <c r="BH68" s="319"/>
      <c r="BI68" s="319"/>
      <c r="BJ68" s="326">
        <f>10.752/8*1.8</f>
        <v>2.4192</v>
      </c>
      <c r="BK68" s="355">
        <f>10.752/8*1.5</f>
        <v>2.016</v>
      </c>
      <c r="BL68" s="319"/>
      <c r="BM68" s="245"/>
      <c r="BN68" s="319">
        <f>0.672*0.6</f>
        <v>0.4032</v>
      </c>
      <c r="BO68" s="245"/>
      <c r="BP68" s="326">
        <f>10.752/8*4.7</f>
        <v>6.3168000000000006</v>
      </c>
      <c r="BQ68" s="245">
        <v>10.584</v>
      </c>
      <c r="BR68" s="326"/>
      <c r="BS68" s="326"/>
      <c r="BT68" s="319"/>
      <c r="BU68" s="319"/>
      <c r="BV68" s="319"/>
      <c r="BW68" s="319"/>
      <c r="BX68" s="319"/>
      <c r="BY68" s="319"/>
      <c r="BZ68" s="319"/>
      <c r="CA68" s="158">
        <f t="shared" si="31"/>
        <v>35.564300000000003</v>
      </c>
      <c r="CB68" s="94"/>
      <c r="CC68" s="319"/>
      <c r="CD68" s="319"/>
      <c r="CE68" s="319"/>
      <c r="CF68" s="319"/>
      <c r="CG68" s="319"/>
      <c r="CH68" s="319"/>
      <c r="CI68" s="319"/>
      <c r="CJ68" s="319"/>
      <c r="CK68" s="245"/>
      <c r="CL68" s="319"/>
      <c r="CM68" s="319"/>
      <c r="CN68" s="319"/>
      <c r="CO68" s="319"/>
      <c r="CP68" s="319"/>
      <c r="CQ68" s="319"/>
      <c r="CR68" s="319"/>
      <c r="CS68" s="319"/>
      <c r="CT68" s="245"/>
      <c r="CU68" s="319"/>
      <c r="CV68" s="319"/>
      <c r="CW68" s="319"/>
      <c r="CX68" s="319"/>
      <c r="CY68" s="319"/>
      <c r="CZ68" s="319"/>
      <c r="DA68" s="319"/>
      <c r="DB68" s="319">
        <f>20.16</f>
        <v>20.16</v>
      </c>
      <c r="DC68" s="319"/>
      <c r="DD68" s="319"/>
      <c r="DE68" s="319"/>
      <c r="DF68" s="319">
        <f>1.344*1.5</f>
        <v>2.016</v>
      </c>
      <c r="DG68" s="245">
        <v>10.584</v>
      </c>
      <c r="DH68" s="319"/>
      <c r="DI68" s="319"/>
      <c r="DJ68" s="245"/>
      <c r="DK68" s="319"/>
      <c r="DL68" s="319">
        <f>0.31+0.339</f>
        <v>0.64900000000000002</v>
      </c>
      <c r="DM68" s="319"/>
      <c r="DN68" s="319"/>
      <c r="DO68" s="319"/>
      <c r="DP68" s="319"/>
      <c r="DQ68" s="319"/>
      <c r="DR68" s="319"/>
      <c r="DS68" s="319"/>
      <c r="DT68" s="319"/>
      <c r="DU68" s="419">
        <f t="shared" si="32"/>
        <v>33.409000000000006</v>
      </c>
      <c r="DV68" s="57"/>
      <c r="DW68" s="319"/>
      <c r="DX68" s="319"/>
      <c r="DY68" s="319"/>
      <c r="DZ68" s="319"/>
      <c r="EA68" s="319"/>
      <c r="EB68" s="319"/>
      <c r="EC68" s="319"/>
      <c r="ED68" s="319"/>
      <c r="EE68" s="319">
        <f>0.672*1.8</f>
        <v>1.2096</v>
      </c>
      <c r="EF68" s="319"/>
      <c r="EG68" s="319"/>
      <c r="EH68" s="319"/>
      <c r="EI68" s="319"/>
      <c r="EJ68" s="319"/>
      <c r="EK68" s="319"/>
      <c r="EL68" s="319"/>
      <c r="EM68" s="319"/>
      <c r="EN68" s="319"/>
      <c r="EO68" s="319"/>
      <c r="EP68" s="319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319"/>
      <c r="FD68" s="319"/>
      <c r="FE68" s="319"/>
      <c r="FF68" s="319"/>
      <c r="FG68" s="319"/>
      <c r="FH68" s="319"/>
      <c r="FI68" s="319"/>
      <c r="FJ68" s="319"/>
      <c r="FK68" s="319"/>
      <c r="FL68" s="319"/>
      <c r="FM68" s="319"/>
      <c r="FN68" s="319"/>
      <c r="FO68" s="319"/>
      <c r="FP68" s="319"/>
      <c r="FQ68" s="319"/>
      <c r="FR68" s="319"/>
      <c r="FS68" s="319"/>
      <c r="FT68" s="319"/>
      <c r="FU68" s="319"/>
      <c r="FV68" s="319"/>
      <c r="FW68" s="319"/>
      <c r="FX68" s="319"/>
      <c r="FY68" s="319"/>
      <c r="FZ68" s="319"/>
      <c r="GA68" s="158">
        <f t="shared" si="33"/>
        <v>1.2096</v>
      </c>
      <c r="GB68" s="95"/>
      <c r="GC68" s="374"/>
      <c r="GD68" s="319"/>
      <c r="GE68" s="319"/>
      <c r="GF68" s="319">
        <f>6.72*3</f>
        <v>20.16</v>
      </c>
      <c r="GG68" s="319"/>
      <c r="GH68" s="319"/>
      <c r="GI68" s="355"/>
      <c r="GJ68" s="355"/>
      <c r="GK68" s="355"/>
      <c r="GL68" s="355"/>
      <c r="GM68" s="325"/>
      <c r="GN68" s="435"/>
      <c r="GO68" s="376">
        <f t="shared" si="34"/>
        <v>20.16</v>
      </c>
      <c r="GP68" s="445">
        <f t="shared" si="35"/>
        <v>22.580000000000002</v>
      </c>
      <c r="GQ68" s="605">
        <f t="shared" si="36"/>
        <v>42.74</v>
      </c>
      <c r="GR68" s="627">
        <f t="shared" si="37"/>
        <v>30.503</v>
      </c>
      <c r="GS68" s="239">
        <f t="shared" si="38"/>
        <v>33.409999999999997</v>
      </c>
      <c r="GT68" s="36" t="str">
        <f t="shared" si="39"/>
        <v>Селениум Ист 3000</v>
      </c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6"/>
      <c r="HF68" s="26"/>
      <c r="HG68" s="26"/>
    </row>
    <row r="69" spans="1:215" ht="15" customHeight="1" x14ac:dyDescent="0.3">
      <c r="A69" s="1131">
        <f t="shared" si="40"/>
        <v>58</v>
      </c>
      <c r="B69" s="691" t="s">
        <v>113</v>
      </c>
      <c r="C69" s="565">
        <f>'1_квартал'!G68</f>
        <v>873.88699999999994</v>
      </c>
      <c r="D69" s="346">
        <f>350.47+447.57</f>
        <v>798.04</v>
      </c>
      <c r="E69" s="1300">
        <f>551.43+181.03</f>
        <v>732.45999999999992</v>
      </c>
      <c r="F69" s="572"/>
      <c r="G69" s="878">
        <f t="shared" si="9"/>
        <v>765.25</v>
      </c>
      <c r="H69" s="93">
        <v>817.97</v>
      </c>
      <c r="I69" s="93">
        <v>602.22</v>
      </c>
      <c r="J69" s="94"/>
      <c r="K69" s="245">
        <f>21.913*3</f>
        <v>65.739000000000004</v>
      </c>
      <c r="L69" s="245"/>
      <c r="M69" s="319"/>
      <c r="N69" s="319">
        <f>4.383*5</f>
        <v>21.914999999999999</v>
      </c>
      <c r="O69" s="319">
        <f>4.383*2.7</f>
        <v>11.834100000000001</v>
      </c>
      <c r="P69" s="319">
        <f>21.913*2.4</f>
        <v>52.591200000000001</v>
      </c>
      <c r="Q69" s="319">
        <f>3.506*0.6</f>
        <v>2.1035999999999997</v>
      </c>
      <c r="R69" s="319">
        <v>118.33</v>
      </c>
      <c r="S69" s="319">
        <f>4.383*7.5</f>
        <v>32.872500000000002</v>
      </c>
      <c r="T69" s="319">
        <f>3.506*3.5</f>
        <v>12.270999999999999</v>
      </c>
      <c r="U69" s="319">
        <f>9.203*0.6</f>
        <v>5.5217999999999998</v>
      </c>
      <c r="V69" s="319"/>
      <c r="W69" s="319">
        <f>4.383*0.6</f>
        <v>2.6297999999999999</v>
      </c>
      <c r="X69" s="319">
        <f>3.506*3</f>
        <v>10.517999999999999</v>
      </c>
      <c r="Y69" s="319">
        <f>9.203</f>
        <v>9.2029999999999994</v>
      </c>
      <c r="Z69" s="319">
        <v>2.63</v>
      </c>
      <c r="AA69" s="319">
        <f>3.068*0.9</f>
        <v>2.7612000000000001</v>
      </c>
      <c r="AB69" s="319">
        <f>4.383*3</f>
        <v>13.149000000000001</v>
      </c>
      <c r="AC69" s="245">
        <f>21.913*2</f>
        <v>43.826000000000001</v>
      </c>
      <c r="AD69" s="319">
        <f>3.725*5</f>
        <v>18.625</v>
      </c>
      <c r="AE69" s="319">
        <f>9.203*1.3</f>
        <v>11.963899999999999</v>
      </c>
      <c r="AF69" s="245">
        <f>4.602*0.6</f>
        <v>2.7612000000000001</v>
      </c>
      <c r="AG69" s="319">
        <v>3.1549999999999998</v>
      </c>
      <c r="AH69" s="319">
        <f>7.67*2</f>
        <v>15.34</v>
      </c>
      <c r="AI69" s="319">
        <f>7.67*8</f>
        <v>61.36</v>
      </c>
      <c r="AJ69" s="319">
        <f>6.574*1.4</f>
        <v>9.2035999999999998</v>
      </c>
      <c r="AK69" s="319">
        <v>3.944</v>
      </c>
      <c r="AL69" s="319">
        <v>8.3000000000000004E-2</v>
      </c>
      <c r="AM69" s="319">
        <f>10.957*3</f>
        <v>32.871000000000002</v>
      </c>
      <c r="AN69" s="319">
        <v>4.383</v>
      </c>
      <c r="AO69" s="319">
        <v>3.5059999999999998</v>
      </c>
      <c r="AP69" s="319"/>
      <c r="AQ69" s="319">
        <v>0.52600000000000002</v>
      </c>
      <c r="AR69" s="319">
        <v>1.3149999999999999</v>
      </c>
      <c r="AS69" s="319">
        <v>8.7999999999999995E-2</v>
      </c>
      <c r="AT69" s="319"/>
      <c r="AU69" s="319"/>
      <c r="AV69" s="319"/>
      <c r="AW69" s="319"/>
      <c r="AX69" s="319">
        <f>21.913*5</f>
        <v>109.565</v>
      </c>
      <c r="AY69" s="319">
        <f>3.068</f>
        <v>3.0680000000000001</v>
      </c>
      <c r="AZ69" s="319">
        <v>13.148</v>
      </c>
      <c r="BA69" s="319">
        <f>3.068</f>
        <v>3.0680000000000001</v>
      </c>
      <c r="BB69" s="245">
        <f>9.203*1.5</f>
        <v>13.804499999999999</v>
      </c>
      <c r="BC69" s="319"/>
      <c r="BD69" s="319"/>
      <c r="BE69" s="319">
        <v>0.52600000000000002</v>
      </c>
      <c r="BF69" s="319">
        <f>1.315/0.6*0.7</f>
        <v>1.5341666666666667</v>
      </c>
      <c r="BG69" s="319"/>
      <c r="BH69" s="319"/>
      <c r="BI69" s="319">
        <v>9.2029999999999994</v>
      </c>
      <c r="BJ69" s="177"/>
      <c r="BK69" s="271"/>
      <c r="BL69" s="319">
        <v>1.3149999999999999</v>
      </c>
      <c r="BM69" s="245">
        <f>4.602*0.6</f>
        <v>2.7612000000000001</v>
      </c>
      <c r="BN69" s="319"/>
      <c r="BO69" s="245"/>
      <c r="BP69" s="177"/>
      <c r="BQ69" s="245"/>
      <c r="BR69" s="177">
        <f>1.183/0.9*0.8</f>
        <v>1.0515555555555556</v>
      </c>
      <c r="BS69" s="177"/>
      <c r="BT69" s="319"/>
      <c r="BU69" s="319"/>
      <c r="BV69" s="319">
        <v>3.681</v>
      </c>
      <c r="BW69" s="319">
        <f>10.957*3</f>
        <v>32.871000000000002</v>
      </c>
      <c r="BX69" s="319">
        <v>4.2069999999999999</v>
      </c>
      <c r="BY69" s="319">
        <f>4.383*3.8</f>
        <v>16.6554</v>
      </c>
      <c r="BZ69" s="319">
        <f>9.203*0.5</f>
        <v>4.6014999999999997</v>
      </c>
      <c r="CA69" s="158">
        <f t="shared" si="31"/>
        <v>798.08022222222201</v>
      </c>
      <c r="CB69" s="94"/>
      <c r="CC69" s="319">
        <f>21.913*2.4</f>
        <v>52.591200000000001</v>
      </c>
      <c r="CD69" s="319"/>
      <c r="CE69" s="319">
        <f>4.383*0.6</f>
        <v>2.6297999999999999</v>
      </c>
      <c r="CF69" s="319">
        <f>6.574*1.8</f>
        <v>11.8332</v>
      </c>
      <c r="CG69" s="319">
        <f>10.957*1.3</f>
        <v>14.244100000000001</v>
      </c>
      <c r="CH69" s="319">
        <v>9.2029999999999994</v>
      </c>
      <c r="CI69" s="319">
        <f>3.068*0.9</f>
        <v>2.7612000000000001</v>
      </c>
      <c r="CJ69" s="319">
        <f>9.203*1.3</f>
        <v>11.963899999999999</v>
      </c>
      <c r="CK69" s="245">
        <f>21.913*5</f>
        <v>109.565</v>
      </c>
      <c r="CL69" s="319">
        <f>1.381/0.3*0.2</f>
        <v>0.92066666666666674</v>
      </c>
      <c r="CM69" s="319">
        <f>10.957*5</f>
        <v>54.785000000000004</v>
      </c>
      <c r="CN69" s="319">
        <v>3.944</v>
      </c>
      <c r="CO69" s="319">
        <f>4.383*6</f>
        <v>26.298000000000002</v>
      </c>
      <c r="CP69" s="319">
        <f>5.522/1.2*0.6</f>
        <v>2.7610000000000006</v>
      </c>
      <c r="CQ69" s="319">
        <f>9.203*2</f>
        <v>18.405999999999999</v>
      </c>
      <c r="CR69" s="319">
        <v>1.3149999999999999</v>
      </c>
      <c r="CS69" s="319">
        <f>4.383*5</f>
        <v>21.914999999999999</v>
      </c>
      <c r="CT69" s="245"/>
      <c r="CU69" s="319">
        <f>3.068*1.5</f>
        <v>4.6020000000000003</v>
      </c>
      <c r="CV69" s="319">
        <f>21.913*4</f>
        <v>87.652000000000001</v>
      </c>
      <c r="CW69" s="319">
        <f>3.068</f>
        <v>3.0680000000000001</v>
      </c>
      <c r="CX69" s="319"/>
      <c r="CY69" s="245">
        <f>13.805/1.5*0.5</f>
        <v>4.6016666666666666</v>
      </c>
      <c r="CZ69" s="245">
        <f>9.203*1.5</f>
        <v>13.804499999999999</v>
      </c>
      <c r="DA69" s="319">
        <v>9.2029999999999994</v>
      </c>
      <c r="DB69" s="319"/>
      <c r="DC69" s="319">
        <f>13.148/3*3.5</f>
        <v>15.339333333333332</v>
      </c>
      <c r="DD69" s="319">
        <f>7.67*7</f>
        <v>53.69</v>
      </c>
      <c r="DE69" s="319">
        <f>7.67*3</f>
        <v>23.009999999999998</v>
      </c>
      <c r="DF69" s="319"/>
      <c r="DG69" s="245"/>
      <c r="DH69" s="319">
        <v>1.841</v>
      </c>
      <c r="DI69" s="319"/>
      <c r="DJ69" s="245">
        <v>59.164999999999999</v>
      </c>
      <c r="DK69" s="319">
        <f>4.383*5</f>
        <v>21.914999999999999</v>
      </c>
      <c r="DL69" s="319"/>
      <c r="DM69" s="319">
        <f>4.383*7</f>
        <v>30.681000000000001</v>
      </c>
      <c r="DN69" s="319"/>
      <c r="DO69" s="319">
        <f>2.191*1.2</f>
        <v>2.6291999999999995</v>
      </c>
      <c r="DP69" s="319">
        <f>3.506*1.5</f>
        <v>5.2589999999999995</v>
      </c>
      <c r="DQ69" s="319">
        <f>6.574*1.7</f>
        <v>11.175799999999999</v>
      </c>
      <c r="DR69" s="319">
        <f>4.602*0.3</f>
        <v>1.3806</v>
      </c>
      <c r="DS69" s="319"/>
      <c r="DT69" s="319">
        <f>7.67*5</f>
        <v>38.35</v>
      </c>
      <c r="DU69" s="419">
        <f t="shared" si="32"/>
        <v>732.50316666666663</v>
      </c>
      <c r="DV69" s="57"/>
      <c r="DW69" s="319">
        <f>21.913*2.4</f>
        <v>52.591200000000001</v>
      </c>
      <c r="DX69" s="319">
        <f>9.203*1.3</f>
        <v>11.963899999999999</v>
      </c>
      <c r="DY69" s="319">
        <f>3.506*1.5</f>
        <v>5.2589999999999995</v>
      </c>
      <c r="DZ69" s="319">
        <v>9.2029999999999994</v>
      </c>
      <c r="EA69" s="319">
        <f>21.913*5</f>
        <v>109.565</v>
      </c>
      <c r="EB69" s="319">
        <f>2.923*3</f>
        <v>8.7690000000000001</v>
      </c>
      <c r="EC69" s="319">
        <f>9.203*2</f>
        <v>18.405999999999999</v>
      </c>
      <c r="ED69" s="319"/>
      <c r="EE69" s="319"/>
      <c r="EF69" s="319"/>
      <c r="EG69" s="319"/>
      <c r="EH69" s="319"/>
      <c r="EI69" s="319"/>
      <c r="EJ69" s="319"/>
      <c r="EK69" s="319"/>
      <c r="EL69" s="319"/>
      <c r="EM69" s="319"/>
      <c r="EN69" s="319"/>
      <c r="EO69" s="319"/>
      <c r="EP69" s="319"/>
      <c r="EQ69" s="319"/>
      <c r="ER69" s="319"/>
      <c r="ES69" s="319"/>
      <c r="ET69" s="319"/>
      <c r="EU69" s="319"/>
      <c r="EV69" s="319"/>
      <c r="EW69" s="319"/>
      <c r="EX69" s="319"/>
      <c r="EY69" s="319"/>
      <c r="EZ69" s="319"/>
      <c r="FA69" s="319"/>
      <c r="FB69" s="319"/>
      <c r="FC69" s="319"/>
      <c r="FD69" s="319"/>
      <c r="FE69" s="319"/>
      <c r="FF69" s="319"/>
      <c r="FG69" s="319"/>
      <c r="FH69" s="319"/>
      <c r="FI69" s="319"/>
      <c r="FJ69" s="319"/>
      <c r="FK69" s="319"/>
      <c r="FL69" s="319"/>
      <c r="FM69" s="319"/>
      <c r="FN69" s="319"/>
      <c r="FO69" s="319"/>
      <c r="FP69" s="319"/>
      <c r="FQ69" s="319"/>
      <c r="FR69" s="319"/>
      <c r="FS69" s="319"/>
      <c r="FT69" s="319"/>
      <c r="FU69" s="319"/>
      <c r="FV69" s="319"/>
      <c r="FW69" s="319"/>
      <c r="FX69" s="319"/>
      <c r="FY69" s="319"/>
      <c r="FZ69" s="319"/>
      <c r="GA69" s="158">
        <f t="shared" si="33"/>
        <v>215.75710000000001</v>
      </c>
      <c r="GB69" s="95"/>
      <c r="GC69" s="374"/>
      <c r="GD69" s="319">
        <f>3.506*0.9</f>
        <v>3.1553999999999998</v>
      </c>
      <c r="GE69" s="319">
        <f>4.383*0.9</f>
        <v>3.9447000000000001</v>
      </c>
      <c r="GF69" s="319"/>
      <c r="GG69" s="319">
        <f>4.602*1.2</f>
        <v>5.5224000000000002</v>
      </c>
      <c r="GH69" s="319">
        <f>10.957*3</f>
        <v>32.871000000000002</v>
      </c>
      <c r="GI69" s="271"/>
      <c r="GJ69" s="271"/>
      <c r="GK69" s="271"/>
      <c r="GL69" s="271"/>
      <c r="GM69" s="272"/>
      <c r="GN69" s="435"/>
      <c r="GO69" s="327">
        <f t="shared" si="34"/>
        <v>45.493499999999997</v>
      </c>
      <c r="GP69" s="625">
        <f t="shared" si="35"/>
        <v>556.72649999999999</v>
      </c>
      <c r="GQ69" s="605">
        <f t="shared" si="36"/>
        <v>602.22</v>
      </c>
      <c r="GR69" s="627">
        <f t="shared" si="37"/>
        <v>873.88699999999994</v>
      </c>
      <c r="GS69" s="239">
        <f t="shared" si="38"/>
        <v>732.45999999999992</v>
      </c>
      <c r="GT69" s="36" t="str">
        <f t="shared" si="39"/>
        <v>Сел-плекс 2300 (Сел-плекс )</v>
      </c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</row>
    <row r="70" spans="1:215" ht="15" customHeight="1" x14ac:dyDescent="0.3">
      <c r="A70" s="1131">
        <f t="shared" si="40"/>
        <v>59</v>
      </c>
      <c r="B70" s="694" t="s">
        <v>504</v>
      </c>
      <c r="C70" s="565">
        <f>'1_квартал'!G69</f>
        <v>106.84699999999999</v>
      </c>
      <c r="D70" s="346">
        <v>322.95</v>
      </c>
      <c r="E70" s="1300">
        <f>6.51+295.89</f>
        <v>302.39999999999998</v>
      </c>
      <c r="F70" s="572"/>
      <c r="G70" s="878">
        <f t="shared" si="9"/>
        <v>312.67500000000001</v>
      </c>
      <c r="H70" s="93">
        <v>4.1100000000000003</v>
      </c>
      <c r="I70" s="93">
        <v>4.1100000000000003</v>
      </c>
      <c r="J70" s="94"/>
      <c r="K70" s="245"/>
      <c r="L70" s="245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  <c r="AA70" s="319"/>
      <c r="AB70" s="319"/>
      <c r="AC70" s="245"/>
      <c r="AD70" s="319"/>
      <c r="AE70" s="319"/>
      <c r="AF70" s="245"/>
      <c r="AG70" s="319"/>
      <c r="AH70" s="319"/>
      <c r="AI70" s="319"/>
      <c r="AJ70" s="319"/>
      <c r="AK70" s="319"/>
      <c r="AL70" s="319">
        <v>20.547999999999998</v>
      </c>
      <c r="AM70" s="319"/>
      <c r="AN70" s="319"/>
      <c r="AO70" s="319"/>
      <c r="AP70" s="319"/>
      <c r="AQ70" s="319"/>
      <c r="AR70" s="319"/>
      <c r="AS70" s="319"/>
      <c r="AT70" s="319"/>
      <c r="AU70" s="319"/>
      <c r="AV70" s="319"/>
      <c r="AW70" s="319"/>
      <c r="AX70" s="319"/>
      <c r="AY70" s="319"/>
      <c r="AZ70" s="319"/>
      <c r="BA70" s="319"/>
      <c r="BB70" s="319"/>
      <c r="BC70" s="319"/>
      <c r="BD70" s="319"/>
      <c r="BE70" s="319"/>
      <c r="BF70" s="319"/>
      <c r="BG70" s="319"/>
      <c r="BH70" s="319"/>
      <c r="BI70" s="319"/>
      <c r="BJ70" s="24"/>
      <c r="BK70" s="33"/>
      <c r="BL70" s="319"/>
      <c r="BM70" s="245"/>
      <c r="BN70" s="319"/>
      <c r="BO70" s="245"/>
      <c r="BP70" s="24"/>
      <c r="BQ70" s="245">
        <v>302.39999999999998</v>
      </c>
      <c r="BR70" s="24"/>
      <c r="BS70" s="24"/>
      <c r="BT70" s="319"/>
      <c r="BU70" s="319"/>
      <c r="BV70" s="319"/>
      <c r="BW70" s="319"/>
      <c r="BX70" s="319"/>
      <c r="BY70" s="319"/>
      <c r="BZ70" s="319"/>
      <c r="CA70" s="158">
        <f t="shared" si="31"/>
        <v>322.94799999999998</v>
      </c>
      <c r="CB70" s="94"/>
      <c r="CC70" s="319"/>
      <c r="CD70" s="319"/>
      <c r="CE70" s="319"/>
      <c r="CF70" s="319"/>
      <c r="CG70" s="319"/>
      <c r="CH70" s="319"/>
      <c r="CI70" s="319"/>
      <c r="CJ70" s="319"/>
      <c r="CK70" s="245"/>
      <c r="CL70" s="319"/>
      <c r="CM70" s="319"/>
      <c r="CN70" s="319"/>
      <c r="CO70" s="319"/>
      <c r="CP70" s="319"/>
      <c r="CQ70" s="319"/>
      <c r="CR70" s="319"/>
      <c r="CS70" s="319"/>
      <c r="CT70" s="245"/>
      <c r="CU70" s="319"/>
      <c r="CV70" s="319"/>
      <c r="CW70" s="319"/>
      <c r="CX70" s="319"/>
      <c r="CY70" s="319"/>
      <c r="CZ70" s="319"/>
      <c r="DA70" s="319"/>
      <c r="DB70" s="319"/>
      <c r="DC70" s="319"/>
      <c r="DD70" s="319"/>
      <c r="DE70" s="319"/>
      <c r="DF70" s="319"/>
      <c r="DG70" s="245">
        <f>6.51+295.89</f>
        <v>302.39999999999998</v>
      </c>
      <c r="DH70" s="319"/>
      <c r="DI70" s="319"/>
      <c r="DJ70" s="245"/>
      <c r="DK70" s="319"/>
      <c r="DL70" s="319"/>
      <c r="DM70" s="319"/>
      <c r="DN70" s="319"/>
      <c r="DO70" s="319"/>
      <c r="DP70" s="319"/>
      <c r="DQ70" s="319"/>
      <c r="DR70" s="319"/>
      <c r="DS70" s="319"/>
      <c r="DT70" s="319"/>
      <c r="DU70" s="419">
        <f t="shared" si="32"/>
        <v>302.39999999999998</v>
      </c>
      <c r="DV70" s="57"/>
      <c r="DW70" s="319"/>
      <c r="DX70" s="319"/>
      <c r="DY70" s="319"/>
      <c r="DZ70" s="319"/>
      <c r="EA70" s="319"/>
      <c r="EB70" s="319"/>
      <c r="EC70" s="319"/>
      <c r="ED70" s="319"/>
      <c r="EE70" s="319"/>
      <c r="EF70" s="319"/>
      <c r="EG70" s="319"/>
      <c r="EH70" s="319"/>
      <c r="EI70" s="319"/>
      <c r="EJ70" s="319"/>
      <c r="EK70" s="319"/>
      <c r="EL70" s="319"/>
      <c r="EM70" s="319"/>
      <c r="EN70" s="319"/>
      <c r="EO70" s="319"/>
      <c r="EP70" s="319"/>
      <c r="EQ70" s="319"/>
      <c r="ER70" s="319"/>
      <c r="ES70" s="319"/>
      <c r="ET70" s="319"/>
      <c r="EU70" s="319"/>
      <c r="EV70" s="319"/>
      <c r="EW70" s="319"/>
      <c r="EX70" s="319"/>
      <c r="EY70" s="319"/>
      <c r="EZ70" s="319"/>
      <c r="FA70" s="319"/>
      <c r="FB70" s="319"/>
      <c r="FC70" s="319"/>
      <c r="FD70" s="319"/>
      <c r="FE70" s="319"/>
      <c r="FF70" s="319"/>
      <c r="FG70" s="319"/>
      <c r="FH70" s="319"/>
      <c r="FI70" s="319"/>
      <c r="FJ70" s="319"/>
      <c r="FK70" s="319"/>
      <c r="FL70" s="319"/>
      <c r="FM70" s="319"/>
      <c r="FN70" s="319"/>
      <c r="FO70" s="319"/>
      <c r="FP70" s="319"/>
      <c r="FQ70" s="319"/>
      <c r="FR70" s="319"/>
      <c r="FS70" s="319"/>
      <c r="FT70" s="319"/>
      <c r="FU70" s="319"/>
      <c r="FV70" s="319"/>
      <c r="FW70" s="319"/>
      <c r="FX70" s="319"/>
      <c r="FY70" s="319"/>
      <c r="FZ70" s="319"/>
      <c r="GA70" s="158">
        <f t="shared" si="33"/>
        <v>0</v>
      </c>
      <c r="GB70" s="95"/>
      <c r="GC70" s="374"/>
      <c r="GD70" s="319"/>
      <c r="GE70" s="319"/>
      <c r="GF70" s="319"/>
      <c r="GG70" s="319"/>
      <c r="GH70" s="319"/>
      <c r="GI70" s="33"/>
      <c r="GJ70" s="33"/>
      <c r="GK70" s="33"/>
      <c r="GL70" s="33"/>
      <c r="GM70" s="32"/>
      <c r="GN70" s="472"/>
      <c r="GO70" s="51">
        <f t="shared" si="34"/>
        <v>0</v>
      </c>
      <c r="GP70" s="1237">
        <f t="shared" si="35"/>
        <v>4.1100000000000003</v>
      </c>
      <c r="GQ70" s="605">
        <f t="shared" si="36"/>
        <v>4.1100000000000003</v>
      </c>
      <c r="GR70" s="627">
        <f t="shared" si="37"/>
        <v>106.84699999999999</v>
      </c>
      <c r="GS70" s="239">
        <f t="shared" si="38"/>
        <v>302.39999999999998</v>
      </c>
      <c r="GT70" s="363" t="str">
        <f t="shared" si="39"/>
        <v>Сыворотка</v>
      </c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</row>
    <row r="71" spans="1:215" ht="15" customHeight="1" x14ac:dyDescent="0.3">
      <c r="A71" s="1131">
        <f t="shared" si="40"/>
        <v>60</v>
      </c>
      <c r="B71" s="688" t="s">
        <v>23</v>
      </c>
      <c r="C71" s="565">
        <f>'1_квартал'!G70</f>
        <v>83.287000000000006</v>
      </c>
      <c r="D71" s="328">
        <v>103.06</v>
      </c>
      <c r="E71" s="1301">
        <v>57.37</v>
      </c>
      <c r="F71" s="572"/>
      <c r="G71" s="878">
        <f t="shared" ref="G71:G82" si="41">ROUND(AVERAGE(D71:F71),3)</f>
        <v>80.215000000000003</v>
      </c>
      <c r="H71" s="93">
        <f>27.52+100</f>
        <v>127.52</v>
      </c>
      <c r="I71" s="93">
        <f>25.12+100</f>
        <v>125.12</v>
      </c>
      <c r="J71" s="94"/>
      <c r="K71" s="245"/>
      <c r="L71" s="245">
        <v>4.8380000000000001</v>
      </c>
      <c r="M71" s="319"/>
      <c r="N71" s="319"/>
      <c r="O71" s="319">
        <f>2.084*2.7</f>
        <v>5.6268000000000002</v>
      </c>
      <c r="P71" s="319"/>
      <c r="Q71" s="319">
        <f>1.599*0.6</f>
        <v>0.95939999999999992</v>
      </c>
      <c r="R71" s="319"/>
      <c r="S71" s="319">
        <f>2.084*7.5</f>
        <v>15.63</v>
      </c>
      <c r="T71" s="319">
        <f>1.599*3.5</f>
        <v>5.5964999999999998</v>
      </c>
      <c r="U71" s="319"/>
      <c r="V71" s="319"/>
      <c r="W71" s="319">
        <f>2.084*0.6</f>
        <v>1.2504</v>
      </c>
      <c r="X71" s="319">
        <f>1.599*3</f>
        <v>4.7969999999999997</v>
      </c>
      <c r="Y71" s="319"/>
      <c r="Z71" s="319">
        <v>1.25</v>
      </c>
      <c r="AA71" s="319"/>
      <c r="AB71" s="319">
        <f>2.084*3</f>
        <v>6.2520000000000007</v>
      </c>
      <c r="AC71" s="245"/>
      <c r="AD71" s="319"/>
      <c r="AE71" s="319"/>
      <c r="AF71" s="245"/>
      <c r="AG71" s="319">
        <v>1.4390000000000001</v>
      </c>
      <c r="AH71" s="319"/>
      <c r="AI71" s="319"/>
      <c r="AJ71" s="319"/>
      <c r="AK71" s="319"/>
      <c r="AL71" s="319"/>
      <c r="AM71" s="319"/>
      <c r="AN71" s="319"/>
      <c r="AO71" s="319">
        <v>1.599</v>
      </c>
      <c r="AP71" s="319"/>
      <c r="AQ71" s="319"/>
      <c r="AR71" s="319">
        <v>0.96</v>
      </c>
      <c r="AS71" s="319"/>
      <c r="AT71" s="319"/>
      <c r="AU71" s="319"/>
      <c r="AV71" s="319"/>
      <c r="AW71" s="319"/>
      <c r="AX71" s="319"/>
      <c r="AY71" s="319"/>
      <c r="AZ71" s="319">
        <v>6.2519999999999998</v>
      </c>
      <c r="BA71" s="319"/>
      <c r="BB71" s="319"/>
      <c r="BC71" s="319"/>
      <c r="BD71" s="319">
        <f>0.302/0.3*0.1</f>
        <v>0.10066666666666667</v>
      </c>
      <c r="BE71" s="319"/>
      <c r="BF71" s="319">
        <f>0.96/0.6*0.7</f>
        <v>1.1199999999999999</v>
      </c>
      <c r="BG71" s="319"/>
      <c r="BH71" s="319"/>
      <c r="BI71" s="319"/>
      <c r="BJ71" s="24"/>
      <c r="BK71" s="33"/>
      <c r="BL71" s="319">
        <v>0.96</v>
      </c>
      <c r="BM71" s="245"/>
      <c r="BN71" s="319"/>
      <c r="BO71" s="245"/>
      <c r="BP71" s="24"/>
      <c r="BQ71" s="245"/>
      <c r="BR71" s="24">
        <f>1.814/0.9*0.8</f>
        <v>1.6124444444444448</v>
      </c>
      <c r="BS71" s="24">
        <f>8.723*4</f>
        <v>34.892000000000003</v>
      </c>
      <c r="BT71" s="319"/>
      <c r="BU71" s="319"/>
      <c r="BV71" s="319"/>
      <c r="BW71" s="319"/>
      <c r="BX71" s="319"/>
      <c r="BY71" s="319">
        <f>2.084*3.8</f>
        <v>7.9192</v>
      </c>
      <c r="BZ71" s="319"/>
      <c r="CA71" s="158">
        <f t="shared" si="31"/>
        <v>103.05441111111112</v>
      </c>
      <c r="CB71" s="94"/>
      <c r="CC71" s="319"/>
      <c r="CD71" s="319"/>
      <c r="CE71" s="319">
        <f>2.084*0.6</f>
        <v>1.2504</v>
      </c>
      <c r="CF71" s="319"/>
      <c r="CG71" s="319"/>
      <c r="CH71" s="319"/>
      <c r="CI71" s="319"/>
      <c r="CJ71" s="319"/>
      <c r="CK71" s="245"/>
      <c r="CL71" s="319"/>
      <c r="CM71" s="319"/>
      <c r="CN71" s="319">
        <v>6.048</v>
      </c>
      <c r="CO71" s="319">
        <f>2.084*6</f>
        <v>12.504000000000001</v>
      </c>
      <c r="CP71" s="319"/>
      <c r="CQ71" s="319"/>
      <c r="CR71" s="319">
        <v>0.96</v>
      </c>
      <c r="CS71" s="319"/>
      <c r="CT71" s="245"/>
      <c r="CU71" s="319"/>
      <c r="CV71" s="319"/>
      <c r="CW71" s="319"/>
      <c r="CX71" s="319"/>
      <c r="CY71" s="319"/>
      <c r="CZ71" s="319"/>
      <c r="DA71" s="319"/>
      <c r="DB71" s="319"/>
      <c r="DC71" s="319">
        <f>6.252/3*3.5</f>
        <v>7.2940000000000005</v>
      </c>
      <c r="DD71" s="319"/>
      <c r="DE71" s="319"/>
      <c r="DF71" s="319"/>
      <c r="DG71" s="245"/>
      <c r="DH71" s="319"/>
      <c r="DI71" s="319"/>
      <c r="DJ71" s="245"/>
      <c r="DK71" s="319">
        <f>2.084*5</f>
        <v>10.42</v>
      </c>
      <c r="DL71" s="319"/>
      <c r="DM71" s="319">
        <f>2.084*7</f>
        <v>14.588000000000001</v>
      </c>
      <c r="DN71" s="319"/>
      <c r="DO71" s="319">
        <f>1.599*1.2</f>
        <v>1.9187999999999998</v>
      </c>
      <c r="DP71" s="319">
        <f>1.599*1.5</f>
        <v>2.3984999999999999</v>
      </c>
      <c r="DQ71" s="319"/>
      <c r="DR71" s="319"/>
      <c r="DS71" s="319"/>
      <c r="DT71" s="319"/>
      <c r="DU71" s="275">
        <f t="shared" si="32"/>
        <v>57.381700000000002</v>
      </c>
      <c r="DV71" s="57"/>
      <c r="DW71" s="319"/>
      <c r="DX71" s="319"/>
      <c r="DY71" s="319">
        <f>1.599*1.5</f>
        <v>2.3984999999999999</v>
      </c>
      <c r="DZ71" s="319"/>
      <c r="EA71" s="319"/>
      <c r="EB71" s="319"/>
      <c r="EC71" s="319"/>
      <c r="ED71" s="319"/>
      <c r="EE71" s="319"/>
      <c r="EF71" s="319"/>
      <c r="EG71" s="319"/>
      <c r="EH71" s="319"/>
      <c r="EI71" s="319"/>
      <c r="EJ71" s="319"/>
      <c r="EK71" s="319"/>
      <c r="EL71" s="319"/>
      <c r="EM71" s="319"/>
      <c r="EN71" s="319"/>
      <c r="EO71" s="319"/>
      <c r="EP71" s="319"/>
      <c r="EQ71" s="319"/>
      <c r="ER71" s="319"/>
      <c r="ES71" s="319"/>
      <c r="ET71" s="319"/>
      <c r="EU71" s="319"/>
      <c r="EV71" s="319"/>
      <c r="EW71" s="319"/>
      <c r="EX71" s="319"/>
      <c r="EY71" s="319"/>
      <c r="EZ71" s="319"/>
      <c r="FA71" s="319"/>
      <c r="FB71" s="319"/>
      <c r="FC71" s="319"/>
      <c r="FD71" s="319"/>
      <c r="FE71" s="319"/>
      <c r="FF71" s="319"/>
      <c r="FG71" s="319"/>
      <c r="FH71" s="319"/>
      <c r="FI71" s="319"/>
      <c r="FJ71" s="319"/>
      <c r="FK71" s="319"/>
      <c r="FL71" s="319"/>
      <c r="FM71" s="319"/>
      <c r="FN71" s="319"/>
      <c r="FO71" s="319"/>
      <c r="FP71" s="319"/>
      <c r="FQ71" s="319"/>
      <c r="FR71" s="319"/>
      <c r="FS71" s="319"/>
      <c r="FT71" s="319"/>
      <c r="FU71" s="319"/>
      <c r="FV71" s="319"/>
      <c r="FW71" s="319"/>
      <c r="FX71" s="319"/>
      <c r="FY71" s="319"/>
      <c r="FZ71" s="319"/>
      <c r="GA71" s="158">
        <f t="shared" si="33"/>
        <v>2.3984999999999999</v>
      </c>
      <c r="GB71" s="95"/>
      <c r="GC71" s="374"/>
      <c r="GD71" s="319">
        <f>1.599*0.9</f>
        <v>1.4391</v>
      </c>
      <c r="GE71" s="319">
        <f>2.084*0.9</f>
        <v>1.8756000000000002</v>
      </c>
      <c r="GF71" s="319"/>
      <c r="GG71" s="319"/>
      <c r="GH71" s="319"/>
      <c r="GI71" s="33"/>
      <c r="GJ71" s="33"/>
      <c r="GK71" s="33"/>
      <c r="GL71" s="33"/>
      <c r="GM71" s="32"/>
      <c r="GN71" s="472"/>
      <c r="GO71" s="585">
        <f t="shared" si="34"/>
        <v>3.3147000000000002</v>
      </c>
      <c r="GP71" s="500">
        <f t="shared" si="35"/>
        <v>121.8053</v>
      </c>
      <c r="GQ71" s="605">
        <f t="shared" si="36"/>
        <v>125.12</v>
      </c>
      <c r="GR71" s="627">
        <f t="shared" si="37"/>
        <v>83.287000000000006</v>
      </c>
      <c r="GS71" s="239">
        <f t="shared" si="38"/>
        <v>57.37</v>
      </c>
      <c r="GT71" s="36" t="str">
        <f t="shared" si="39"/>
        <v>Пулкокс С</v>
      </c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</row>
    <row r="72" spans="1:215" ht="15" customHeight="1" x14ac:dyDescent="0.3">
      <c r="A72" s="1131">
        <f t="shared" si="40"/>
        <v>61</v>
      </c>
      <c r="B72" s="701" t="s">
        <v>115</v>
      </c>
      <c r="C72" s="565">
        <f>'1_квартал'!G71</f>
        <v>176.143</v>
      </c>
      <c r="D72" s="346">
        <f>96.01+63.24</f>
        <v>159.25</v>
      </c>
      <c r="E72" s="1303">
        <f>11.76+193.5</f>
        <v>205.26</v>
      </c>
      <c r="F72" s="572"/>
      <c r="G72" s="878">
        <f t="shared" si="41"/>
        <v>182.255</v>
      </c>
      <c r="H72" s="93">
        <v>81.5</v>
      </c>
      <c r="I72" s="93">
        <v>73.94</v>
      </c>
      <c r="J72" s="94"/>
      <c r="K72" s="245"/>
      <c r="L72" s="245"/>
      <c r="M72" s="319">
        <f>0.403*5</f>
        <v>2.0150000000000001</v>
      </c>
      <c r="N72" s="319"/>
      <c r="O72" s="319">
        <f>5.04*2.7</f>
        <v>13.608000000000001</v>
      </c>
      <c r="P72" s="319"/>
      <c r="Q72" s="319">
        <f>5.04*0.6</f>
        <v>3.024</v>
      </c>
      <c r="R72" s="319"/>
      <c r="S72" s="319">
        <f>5.04*7.5</f>
        <v>37.799999999999997</v>
      </c>
      <c r="T72" s="319">
        <f>5.04*3.5</f>
        <v>17.64</v>
      </c>
      <c r="U72" s="319"/>
      <c r="V72" s="319"/>
      <c r="W72" s="319">
        <f>5.04*0.6</f>
        <v>3.024</v>
      </c>
      <c r="X72" s="319">
        <f>5.04*3</f>
        <v>15.120000000000001</v>
      </c>
      <c r="Y72" s="319"/>
      <c r="Z72" s="319">
        <v>3.024</v>
      </c>
      <c r="AA72" s="319"/>
      <c r="AB72" s="319">
        <f>5.04*3</f>
        <v>15.120000000000001</v>
      </c>
      <c r="AC72" s="245"/>
      <c r="AD72" s="319"/>
      <c r="AE72" s="319"/>
      <c r="AF72" s="245"/>
      <c r="AG72" s="319">
        <v>4.5359999999999996</v>
      </c>
      <c r="AH72" s="319"/>
      <c r="AI72" s="319"/>
      <c r="AJ72" s="319"/>
      <c r="AK72" s="319"/>
      <c r="AL72" s="319"/>
      <c r="AM72" s="319"/>
      <c r="AN72" s="319"/>
      <c r="AO72" s="319">
        <v>5.04</v>
      </c>
      <c r="AP72" s="319">
        <f>0.403*0.3</f>
        <v>0.12090000000000001</v>
      </c>
      <c r="AQ72" s="319"/>
      <c r="AR72" s="319">
        <v>0.121</v>
      </c>
      <c r="AS72" s="319"/>
      <c r="AT72" s="319"/>
      <c r="AU72" s="319"/>
      <c r="AV72" s="319"/>
      <c r="AW72" s="319"/>
      <c r="AX72" s="319"/>
      <c r="AY72" s="319"/>
      <c r="AZ72" s="319">
        <v>15.12</v>
      </c>
      <c r="BA72" s="319"/>
      <c r="BB72" s="319"/>
      <c r="BC72" s="319"/>
      <c r="BD72" s="319">
        <f>1.512/0.3*0.1</f>
        <v>0.504</v>
      </c>
      <c r="BE72" s="319"/>
      <c r="BF72" s="319">
        <f>0.121/0.6*0.7</f>
        <v>0.14116666666666666</v>
      </c>
      <c r="BG72" s="319"/>
      <c r="BH72" s="319"/>
      <c r="BI72" s="319"/>
      <c r="BJ72" s="24"/>
      <c r="BK72" s="33"/>
      <c r="BL72" s="319">
        <v>0.121</v>
      </c>
      <c r="BM72" s="245"/>
      <c r="BN72" s="319"/>
      <c r="BO72" s="245"/>
      <c r="BP72" s="24"/>
      <c r="BQ72" s="245"/>
      <c r="BR72" s="24">
        <f>4.536/0.9*0.8</f>
        <v>4.0319999999999991</v>
      </c>
      <c r="BS72" s="24"/>
      <c r="BT72" s="319"/>
      <c r="BU72" s="319"/>
      <c r="BV72" s="319"/>
      <c r="BW72" s="319"/>
      <c r="BX72" s="319"/>
      <c r="BY72" s="319">
        <f>5.04*3.8</f>
        <v>19.151999999999997</v>
      </c>
      <c r="BZ72" s="319"/>
      <c r="CA72" s="158">
        <f t="shared" si="31"/>
        <v>159.26306666666667</v>
      </c>
      <c r="CB72" s="94"/>
      <c r="CC72" s="319"/>
      <c r="CD72" s="319"/>
      <c r="CE72" s="319">
        <f>5.04*0.6</f>
        <v>3.024</v>
      </c>
      <c r="CF72" s="319"/>
      <c r="CG72" s="319"/>
      <c r="CH72" s="319"/>
      <c r="CI72" s="319"/>
      <c r="CJ72" s="319"/>
      <c r="CK72" s="245"/>
      <c r="CL72" s="319"/>
      <c r="CM72" s="319"/>
      <c r="CN72" s="319">
        <v>10.24</v>
      </c>
      <c r="CO72" s="319">
        <f>5.04*6</f>
        <v>30.240000000000002</v>
      </c>
      <c r="CP72" s="319"/>
      <c r="CQ72" s="319"/>
      <c r="CR72" s="319">
        <v>0.121</v>
      </c>
      <c r="CS72" s="319"/>
      <c r="CT72" s="245"/>
      <c r="CU72" s="319"/>
      <c r="CV72" s="319"/>
      <c r="CW72" s="319"/>
      <c r="CX72" s="319"/>
      <c r="CY72" s="319"/>
      <c r="CZ72" s="319"/>
      <c r="DA72" s="319"/>
      <c r="DB72" s="319"/>
      <c r="DC72" s="319">
        <f>15.12/3*3.5</f>
        <v>17.64</v>
      </c>
      <c r="DD72" s="319">
        <f>5.04*7</f>
        <v>35.28</v>
      </c>
      <c r="DE72" s="319">
        <f>5.04*3</f>
        <v>15.120000000000001</v>
      </c>
      <c r="DF72" s="319"/>
      <c r="DG72" s="245"/>
      <c r="DH72" s="319"/>
      <c r="DI72" s="319"/>
      <c r="DJ72" s="245"/>
      <c r="DK72" s="319">
        <f>5.04*5</f>
        <v>25.2</v>
      </c>
      <c r="DL72" s="319"/>
      <c r="DM72" s="319">
        <f>5.04*7</f>
        <v>35.28</v>
      </c>
      <c r="DN72" s="319"/>
      <c r="DO72" s="319">
        <f>0.202*1.2</f>
        <v>0.2424</v>
      </c>
      <c r="DP72" s="319">
        <f>5.04*1.5</f>
        <v>7.5600000000000005</v>
      </c>
      <c r="DQ72" s="319"/>
      <c r="DR72" s="319"/>
      <c r="DS72" s="319">
        <f>0.403*0.3</f>
        <v>0.12090000000000001</v>
      </c>
      <c r="DT72" s="319">
        <f>5.04*5</f>
        <v>25.2</v>
      </c>
      <c r="DU72" s="275">
        <f t="shared" si="32"/>
        <v>205.26830000000001</v>
      </c>
      <c r="DV72" s="57"/>
      <c r="DW72" s="319"/>
      <c r="DX72" s="319"/>
      <c r="DY72" s="319">
        <f>5.04*1.5</f>
        <v>7.5600000000000005</v>
      </c>
      <c r="DZ72" s="319"/>
      <c r="EA72" s="319"/>
      <c r="EB72" s="319"/>
      <c r="EC72" s="319"/>
      <c r="ED72" s="319"/>
      <c r="EE72" s="319"/>
      <c r="EF72" s="319"/>
      <c r="EG72" s="319"/>
      <c r="EH72" s="319"/>
      <c r="EI72" s="319"/>
      <c r="EJ72" s="319"/>
      <c r="EK72" s="319"/>
      <c r="EL72" s="319"/>
      <c r="EM72" s="319"/>
      <c r="EN72" s="319"/>
      <c r="EO72" s="319"/>
      <c r="EP72" s="319"/>
      <c r="EQ72" s="319"/>
      <c r="ER72" s="319"/>
      <c r="ES72" s="319"/>
      <c r="ET72" s="319"/>
      <c r="EU72" s="319"/>
      <c r="EV72" s="460"/>
      <c r="EW72" s="319"/>
      <c r="EX72" s="460"/>
      <c r="EY72" s="460"/>
      <c r="EZ72" s="460"/>
      <c r="FA72" s="319"/>
      <c r="FB72" s="460"/>
      <c r="FC72" s="319"/>
      <c r="FD72" s="319"/>
      <c r="FE72" s="460"/>
      <c r="FF72" s="319"/>
      <c r="FG72" s="460"/>
      <c r="FH72" s="460"/>
      <c r="FI72" s="319"/>
      <c r="FJ72" s="319"/>
      <c r="FK72" s="319"/>
      <c r="FL72" s="460"/>
      <c r="FM72" s="460"/>
      <c r="FN72" s="460"/>
      <c r="FO72" s="460"/>
      <c r="FP72" s="319"/>
      <c r="FQ72" s="460"/>
      <c r="FR72" s="460"/>
      <c r="FS72" s="319"/>
      <c r="FT72" s="460"/>
      <c r="FU72" s="460"/>
      <c r="FV72" s="460"/>
      <c r="FW72" s="319"/>
      <c r="FX72" s="319"/>
      <c r="FY72" s="319"/>
      <c r="FZ72" s="319"/>
      <c r="GA72" s="158">
        <f t="shared" si="33"/>
        <v>7.5600000000000005</v>
      </c>
      <c r="GB72" s="95"/>
      <c r="GC72" s="374"/>
      <c r="GD72" s="319">
        <f>5.04*0.9</f>
        <v>4.5360000000000005</v>
      </c>
      <c r="GE72" s="319">
        <f>5.04*0.9</f>
        <v>4.5360000000000005</v>
      </c>
      <c r="GF72" s="319"/>
      <c r="GG72" s="319"/>
      <c r="GH72" s="319"/>
      <c r="GI72" s="33"/>
      <c r="GJ72" s="33"/>
      <c r="GK72" s="33"/>
      <c r="GL72" s="33"/>
      <c r="GM72" s="32"/>
      <c r="GN72" s="472"/>
      <c r="GO72" s="585">
        <f t="shared" si="34"/>
        <v>9.072000000000001</v>
      </c>
      <c r="GP72" s="663">
        <f t="shared" si="35"/>
        <v>64.867999999999995</v>
      </c>
      <c r="GQ72" s="605">
        <f t="shared" si="36"/>
        <v>73.94</v>
      </c>
      <c r="GR72" s="627">
        <f t="shared" si="37"/>
        <v>176.143</v>
      </c>
      <c r="GS72" s="239">
        <f t="shared" si="38"/>
        <v>205.26</v>
      </c>
      <c r="GT72" s="36" t="str">
        <f t="shared" si="39"/>
        <v>Луктаром Молочно-Ванильный</v>
      </c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</row>
    <row r="73" spans="1:215" ht="15" customHeight="1" x14ac:dyDescent="0.3">
      <c r="A73" s="1131">
        <f t="shared" si="40"/>
        <v>62</v>
      </c>
      <c r="B73" s="767" t="s">
        <v>395</v>
      </c>
      <c r="C73" s="565">
        <f>'1_квартал'!G72</f>
        <v>365.41</v>
      </c>
      <c r="D73" s="511">
        <f>23.81+150</f>
        <v>173.81</v>
      </c>
      <c r="E73" s="757">
        <v>0</v>
      </c>
      <c r="F73" s="573"/>
      <c r="G73" s="878">
        <f t="shared" ref="G73" si="42">ROUND(AVERAGE(D73:F73),3)</f>
        <v>86.905000000000001</v>
      </c>
      <c r="H73" s="93">
        <v>0</v>
      </c>
      <c r="I73" s="93">
        <v>0</v>
      </c>
      <c r="J73" s="94"/>
      <c r="K73" s="245"/>
      <c r="L73" s="245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245"/>
      <c r="AD73" s="319"/>
      <c r="AE73" s="319"/>
      <c r="AF73" s="245"/>
      <c r="AG73" s="319"/>
      <c r="AH73" s="319"/>
      <c r="AI73" s="319"/>
      <c r="AJ73" s="319"/>
      <c r="AK73" s="319"/>
      <c r="AL73" s="319"/>
      <c r="AM73" s="319"/>
      <c r="AN73" s="319"/>
      <c r="AO73" s="319"/>
      <c r="AP73" s="319"/>
      <c r="AQ73" s="319">
        <v>19.454000000000001</v>
      </c>
      <c r="AR73" s="319"/>
      <c r="AS73" s="319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  <c r="BH73" s="319"/>
      <c r="BI73" s="319"/>
      <c r="BJ73" s="24">
        <f>154.36/8*1.8</f>
        <v>34.731000000000002</v>
      </c>
      <c r="BK73" s="33">
        <f>154.36/8*1.5</f>
        <v>28.942500000000003</v>
      </c>
      <c r="BL73" s="319"/>
      <c r="BM73" s="245"/>
      <c r="BN73" s="319"/>
      <c r="BO73" s="245"/>
      <c r="BP73" s="24">
        <f>154.36/8*4.7</f>
        <v>90.686500000000009</v>
      </c>
      <c r="BQ73" s="245"/>
      <c r="BR73" s="24"/>
      <c r="BS73" s="24"/>
      <c r="BT73" s="319"/>
      <c r="BU73" s="319"/>
      <c r="BV73" s="319"/>
      <c r="BW73" s="319"/>
      <c r="BX73" s="319"/>
      <c r="BY73" s="319"/>
      <c r="BZ73" s="319"/>
      <c r="CA73" s="158">
        <f t="shared" si="31"/>
        <v>173.81400000000002</v>
      </c>
      <c r="CB73" s="94"/>
      <c r="CC73" s="319"/>
      <c r="CD73" s="319"/>
      <c r="CE73" s="319"/>
      <c r="CF73" s="319"/>
      <c r="CG73" s="319"/>
      <c r="CH73" s="319"/>
      <c r="CI73" s="319"/>
      <c r="CJ73" s="319"/>
      <c r="CK73" s="245"/>
      <c r="CL73" s="319"/>
      <c r="CM73" s="319"/>
      <c r="CN73" s="319"/>
      <c r="CO73" s="319"/>
      <c r="CP73" s="319"/>
      <c r="CQ73" s="319"/>
      <c r="CR73" s="319"/>
      <c r="CS73" s="319"/>
      <c r="CT73" s="245"/>
      <c r="CU73" s="319"/>
      <c r="CV73" s="319"/>
      <c r="CW73" s="319"/>
      <c r="CX73" s="319"/>
      <c r="CY73" s="319"/>
      <c r="CZ73" s="319"/>
      <c r="DA73" s="319"/>
      <c r="DB73" s="319"/>
      <c r="DC73" s="319"/>
      <c r="DD73" s="319"/>
      <c r="DE73" s="319"/>
      <c r="DF73" s="319"/>
      <c r="DG73" s="245"/>
      <c r="DH73" s="319"/>
      <c r="DI73" s="319"/>
      <c r="DJ73" s="245"/>
      <c r="DK73" s="319"/>
      <c r="DL73" s="319"/>
      <c r="DM73" s="319"/>
      <c r="DN73" s="319"/>
      <c r="DO73" s="319"/>
      <c r="DP73" s="319"/>
      <c r="DQ73" s="319"/>
      <c r="DR73" s="319"/>
      <c r="DS73" s="319"/>
      <c r="DT73" s="319"/>
      <c r="DU73" s="275">
        <f t="shared" si="32"/>
        <v>0</v>
      </c>
      <c r="DV73" s="57"/>
      <c r="DW73" s="319"/>
      <c r="DX73" s="319"/>
      <c r="DY73" s="319"/>
      <c r="DZ73" s="319"/>
      <c r="EA73" s="319"/>
      <c r="EB73" s="319"/>
      <c r="EC73" s="319"/>
      <c r="ED73" s="319"/>
      <c r="EE73" s="319"/>
      <c r="EF73" s="319"/>
      <c r="EG73" s="319"/>
      <c r="EH73" s="319"/>
      <c r="EI73" s="319"/>
      <c r="EJ73" s="319"/>
      <c r="EK73" s="319"/>
      <c r="EL73" s="319"/>
      <c r="EM73" s="319"/>
      <c r="EN73" s="319"/>
      <c r="EO73" s="319"/>
      <c r="EP73" s="319"/>
      <c r="EQ73" s="319"/>
      <c r="ER73" s="319"/>
      <c r="ES73" s="319"/>
      <c r="ET73" s="319"/>
      <c r="EU73" s="319"/>
      <c r="EV73" s="319"/>
      <c r="EW73" s="319"/>
      <c r="EX73" s="319"/>
      <c r="EY73" s="319"/>
      <c r="EZ73" s="319"/>
      <c r="FA73" s="319"/>
      <c r="FB73" s="319"/>
      <c r="FC73" s="319"/>
      <c r="FD73" s="319"/>
      <c r="FE73" s="319"/>
      <c r="FF73" s="319"/>
      <c r="FG73" s="319"/>
      <c r="FH73" s="319"/>
      <c r="FI73" s="319"/>
      <c r="FJ73" s="319"/>
      <c r="FK73" s="319"/>
      <c r="FL73" s="319"/>
      <c r="FM73" s="319"/>
      <c r="FN73" s="319"/>
      <c r="FO73" s="319"/>
      <c r="FP73" s="319"/>
      <c r="FQ73" s="319"/>
      <c r="FR73" s="319"/>
      <c r="FS73" s="319"/>
      <c r="FT73" s="319"/>
      <c r="FU73" s="319"/>
      <c r="FV73" s="319"/>
      <c r="FW73" s="319"/>
      <c r="FX73" s="319"/>
      <c r="FY73" s="319"/>
      <c r="FZ73" s="319"/>
      <c r="GA73" s="158">
        <f t="shared" si="33"/>
        <v>0</v>
      </c>
      <c r="GB73" s="95"/>
      <c r="GC73" s="374"/>
      <c r="GD73" s="319"/>
      <c r="GE73" s="319"/>
      <c r="GF73" s="319"/>
      <c r="GG73" s="319"/>
      <c r="GH73" s="319"/>
      <c r="GI73" s="33"/>
      <c r="GJ73" s="33"/>
      <c r="GK73" s="33"/>
      <c r="GL73" s="33"/>
      <c r="GM73" s="32"/>
      <c r="GN73" s="472"/>
      <c r="GO73" s="51">
        <f t="shared" si="34"/>
        <v>0</v>
      </c>
      <c r="GP73" s="500">
        <f t="shared" si="35"/>
        <v>0</v>
      </c>
      <c r="GQ73" s="605">
        <f t="shared" si="36"/>
        <v>0</v>
      </c>
      <c r="GR73" s="627">
        <f t="shared" si="37"/>
        <v>365.41</v>
      </c>
      <c r="GS73" s="239">
        <f t="shared" si="38"/>
        <v>0</v>
      </c>
      <c r="GT73" s="36" t="str">
        <f t="shared" si="39"/>
        <v>Липро</v>
      </c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</row>
    <row r="74" spans="1:215" ht="15" customHeight="1" x14ac:dyDescent="0.3">
      <c r="A74" s="1131">
        <f t="shared" si="40"/>
        <v>63</v>
      </c>
      <c r="B74" s="904" t="s">
        <v>592</v>
      </c>
      <c r="C74" s="565"/>
      <c r="D74" s="346">
        <v>269.07</v>
      </c>
      <c r="E74" s="1300">
        <v>318.67</v>
      </c>
      <c r="F74" s="572"/>
      <c r="G74" s="878">
        <f>ROUND(AVERAGE(D74:F74),3)</f>
        <v>293.87</v>
      </c>
      <c r="H74" s="93">
        <v>112.26</v>
      </c>
      <c r="I74" s="93">
        <v>80.92</v>
      </c>
      <c r="J74" s="94"/>
      <c r="K74" s="245"/>
      <c r="L74" s="245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  <c r="AC74" s="245"/>
      <c r="AD74" s="319"/>
      <c r="AE74" s="319"/>
      <c r="AF74" s="245"/>
      <c r="AG74" s="319"/>
      <c r="AH74" s="319"/>
      <c r="AI74" s="319"/>
      <c r="AJ74" s="319"/>
      <c r="AK74" s="319"/>
      <c r="AL74" s="319"/>
      <c r="AM74" s="319"/>
      <c r="AN74" s="319"/>
      <c r="AO74" s="319"/>
      <c r="AP74" s="319"/>
      <c r="AQ74" s="319"/>
      <c r="AR74" s="319"/>
      <c r="AS74" s="319"/>
      <c r="AT74" s="319"/>
      <c r="AU74" s="319"/>
      <c r="AV74" s="319"/>
      <c r="AW74" s="319"/>
      <c r="AX74" s="319"/>
      <c r="AY74" s="319"/>
      <c r="AZ74" s="319"/>
      <c r="BA74" s="319"/>
      <c r="BB74" s="319"/>
      <c r="BC74" s="319"/>
      <c r="BD74" s="319"/>
      <c r="BE74" s="319"/>
      <c r="BF74" s="319"/>
      <c r="BG74" s="319"/>
      <c r="BH74" s="319"/>
      <c r="BI74" s="319"/>
      <c r="BJ74" s="177">
        <f>223.107/8*1.8</f>
        <v>50.199075000000001</v>
      </c>
      <c r="BK74" s="271">
        <f>223.107/8*1.5</f>
        <v>41.832562500000002</v>
      </c>
      <c r="BL74" s="319"/>
      <c r="BM74" s="245"/>
      <c r="BN74" s="319"/>
      <c r="BO74" s="245"/>
      <c r="BP74" s="271">
        <f>223.107/8*4.7</f>
        <v>131.07536250000001</v>
      </c>
      <c r="BQ74" s="245"/>
      <c r="BR74" s="177">
        <f>1.814/0.9*0.8</f>
        <v>1.6124444444444448</v>
      </c>
      <c r="BS74" s="177">
        <f>1.008*4</f>
        <v>4.032</v>
      </c>
      <c r="BT74" s="319"/>
      <c r="BU74" s="319">
        <f>100.8*0.4</f>
        <v>40.32</v>
      </c>
      <c r="BV74" s="319"/>
      <c r="BW74" s="319"/>
      <c r="BX74" s="319"/>
      <c r="BY74" s="319"/>
      <c r="BZ74" s="319"/>
      <c r="CA74" s="158">
        <f>SUM(K74:BZ74)</f>
        <v>269.07144444444447</v>
      </c>
      <c r="CB74" s="94"/>
      <c r="CC74" s="319"/>
      <c r="CD74" s="319">
        <v>8.0839999999999996</v>
      </c>
      <c r="CE74" s="319"/>
      <c r="CF74" s="319"/>
      <c r="CG74" s="319">
        <f>11.491*1.3</f>
        <v>14.9383</v>
      </c>
      <c r="CH74" s="319"/>
      <c r="CI74" s="319"/>
      <c r="CJ74" s="319">
        <f>16.43*1.3</f>
        <v>21.359000000000002</v>
      </c>
      <c r="CK74" s="245"/>
      <c r="CL74" s="319"/>
      <c r="CM74" s="319"/>
      <c r="CN74" s="319">
        <v>148.17599999999999</v>
      </c>
      <c r="CO74" s="319"/>
      <c r="CP74" s="319"/>
      <c r="CQ74" s="319">
        <f>6.048*2</f>
        <v>12.096</v>
      </c>
      <c r="CR74" s="319"/>
      <c r="CS74" s="319"/>
      <c r="CT74" s="245"/>
      <c r="CU74" s="319"/>
      <c r="CV74" s="319"/>
      <c r="CW74" s="319"/>
      <c r="CX74" s="319">
        <f>1.008*1.2</f>
        <v>1.2096</v>
      </c>
      <c r="CY74" s="319"/>
      <c r="CZ74" s="319"/>
      <c r="DA74" s="319"/>
      <c r="DB74" s="319"/>
      <c r="DC74" s="319"/>
      <c r="DD74" s="319">
        <f>5.746*7</f>
        <v>40.222000000000001</v>
      </c>
      <c r="DE74" s="319">
        <f>5.746*3</f>
        <v>17.238</v>
      </c>
      <c r="DF74" s="319"/>
      <c r="DG74" s="245">
        <v>3.3260000000000001</v>
      </c>
      <c r="DH74" s="319"/>
      <c r="DI74" s="319">
        <v>21.228000000000002</v>
      </c>
      <c r="DJ74" s="245"/>
      <c r="DK74" s="319"/>
      <c r="DL74" s="319"/>
      <c r="DM74" s="319"/>
      <c r="DN74" s="319">
        <f>1.21*1.5</f>
        <v>1.8149999999999999</v>
      </c>
      <c r="DO74" s="319">
        <f>0.202*1.2</f>
        <v>0.2424</v>
      </c>
      <c r="DP74" s="319"/>
      <c r="DQ74" s="319"/>
      <c r="DR74" s="319"/>
      <c r="DS74" s="319"/>
      <c r="DT74" s="319">
        <f>5.746*5</f>
        <v>28.730000000000004</v>
      </c>
      <c r="DU74" s="275">
        <f t="shared" si="32"/>
        <v>318.66430000000003</v>
      </c>
      <c r="DV74" s="57"/>
      <c r="DW74" s="319"/>
      <c r="DX74" s="319">
        <f>15.422*1.3</f>
        <v>20.0486</v>
      </c>
      <c r="DY74" s="319"/>
      <c r="DZ74" s="319"/>
      <c r="EA74" s="319"/>
      <c r="EB74" s="319"/>
      <c r="EC74" s="319">
        <f>5.645*2</f>
        <v>11.29</v>
      </c>
      <c r="ED74" s="319"/>
      <c r="EE74" s="319"/>
      <c r="EF74" s="319"/>
      <c r="EG74" s="319"/>
      <c r="EH74" s="319"/>
      <c r="EI74" s="319"/>
      <c r="EJ74" s="319"/>
      <c r="EK74" s="319"/>
      <c r="EL74" s="319"/>
      <c r="EM74" s="319"/>
      <c r="EN74" s="319"/>
      <c r="EO74" s="319"/>
      <c r="EP74" s="319"/>
      <c r="EQ74" s="319"/>
      <c r="ER74" s="319"/>
      <c r="ES74" s="319"/>
      <c r="ET74" s="319"/>
      <c r="EU74" s="319"/>
      <c r="EV74" s="319"/>
      <c r="EW74" s="319"/>
      <c r="EX74" s="319"/>
      <c r="EY74" s="319"/>
      <c r="EZ74" s="319"/>
      <c r="FA74" s="319"/>
      <c r="FB74" s="319"/>
      <c r="FC74" s="319"/>
      <c r="FD74" s="319"/>
      <c r="FE74" s="319"/>
      <c r="FF74" s="319"/>
      <c r="FG74" s="319"/>
      <c r="FH74" s="319"/>
      <c r="FI74" s="319"/>
      <c r="FJ74" s="319"/>
      <c r="FK74" s="319"/>
      <c r="FL74" s="319"/>
      <c r="FM74" s="319"/>
      <c r="FN74" s="319"/>
      <c r="FO74" s="319"/>
      <c r="FP74" s="319"/>
      <c r="FQ74" s="319"/>
      <c r="FR74" s="319"/>
      <c r="FS74" s="319"/>
      <c r="FT74" s="319"/>
      <c r="FU74" s="319"/>
      <c r="FV74" s="319"/>
      <c r="FW74" s="319"/>
      <c r="FX74" s="319"/>
      <c r="FY74" s="319"/>
      <c r="FZ74" s="319"/>
      <c r="GA74" s="158">
        <f t="shared" si="33"/>
        <v>31.3386</v>
      </c>
      <c r="GB74" s="95"/>
      <c r="GC74" s="374"/>
      <c r="GD74" s="319"/>
      <c r="GE74" s="319"/>
      <c r="GF74" s="319"/>
      <c r="GG74" s="319"/>
      <c r="GH74" s="319"/>
      <c r="GI74" s="271"/>
      <c r="GJ74" s="271"/>
      <c r="GK74" s="271"/>
      <c r="GL74" s="271"/>
      <c r="GM74" s="272"/>
      <c r="GN74" s="435"/>
      <c r="GO74" s="327">
        <f t="shared" si="34"/>
        <v>0</v>
      </c>
      <c r="GP74" s="454">
        <f t="shared" si="35"/>
        <v>80.92</v>
      </c>
      <c r="GQ74" s="605">
        <f t="shared" si="36"/>
        <v>80.92</v>
      </c>
      <c r="GR74" s="627"/>
      <c r="GS74" s="239">
        <f t="shared" si="38"/>
        <v>318.67</v>
      </c>
      <c r="GT74" s="36" t="str">
        <f t="shared" si="39"/>
        <v>Миалакто</v>
      </c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</row>
    <row r="75" spans="1:215" ht="15" customHeight="1" x14ac:dyDescent="0.3">
      <c r="A75" s="1131">
        <f t="shared" si="40"/>
        <v>64</v>
      </c>
      <c r="B75" s="762" t="s">
        <v>102</v>
      </c>
      <c r="C75" s="565">
        <f>'1_квартал'!G73</f>
        <v>1.1870000000000001</v>
      </c>
      <c r="D75" s="511">
        <v>0</v>
      </c>
      <c r="E75" s="757">
        <v>0</v>
      </c>
      <c r="F75" s="573"/>
      <c r="G75" s="878">
        <f t="shared" si="41"/>
        <v>0</v>
      </c>
      <c r="H75" s="93">
        <v>0</v>
      </c>
      <c r="I75" s="93">
        <v>0</v>
      </c>
      <c r="J75" s="94"/>
      <c r="K75" s="245"/>
      <c r="L75" s="245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245"/>
      <c r="AD75" s="319"/>
      <c r="AE75" s="319"/>
      <c r="AF75" s="245"/>
      <c r="AG75" s="319"/>
      <c r="AH75" s="319"/>
      <c r="AI75" s="319"/>
      <c r="AJ75" s="319"/>
      <c r="AK75" s="319"/>
      <c r="AL75" s="319"/>
      <c r="AM75" s="319"/>
      <c r="AN75" s="319"/>
      <c r="AO75" s="319"/>
      <c r="AP75" s="319"/>
      <c r="AQ75" s="319"/>
      <c r="AR75" s="319"/>
      <c r="AS75" s="319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319"/>
      <c r="BH75" s="319"/>
      <c r="BI75" s="319"/>
      <c r="BJ75" s="177"/>
      <c r="BK75" s="271"/>
      <c r="BL75" s="319"/>
      <c r="BM75" s="245"/>
      <c r="BN75" s="319"/>
      <c r="BO75" s="245"/>
      <c r="BP75" s="177"/>
      <c r="BQ75" s="245"/>
      <c r="BR75" s="177"/>
      <c r="BS75" s="177"/>
      <c r="BT75" s="319"/>
      <c r="BU75" s="319"/>
      <c r="BV75" s="319"/>
      <c r="BW75" s="319"/>
      <c r="BX75" s="319"/>
      <c r="BY75" s="319"/>
      <c r="BZ75" s="319"/>
      <c r="CA75" s="158">
        <f t="shared" si="31"/>
        <v>0</v>
      </c>
      <c r="CB75" s="94"/>
      <c r="CC75" s="319"/>
      <c r="CD75" s="319"/>
      <c r="CE75" s="319"/>
      <c r="CF75" s="319"/>
      <c r="CG75" s="319"/>
      <c r="CH75" s="319"/>
      <c r="CI75" s="319"/>
      <c r="CJ75" s="319"/>
      <c r="CK75" s="245"/>
      <c r="CL75" s="319"/>
      <c r="CM75" s="319"/>
      <c r="CN75" s="319"/>
      <c r="CO75" s="319"/>
      <c r="CP75" s="319"/>
      <c r="CQ75" s="319"/>
      <c r="CR75" s="319"/>
      <c r="CS75" s="319"/>
      <c r="CT75" s="245"/>
      <c r="CU75" s="319"/>
      <c r="CV75" s="319"/>
      <c r="CW75" s="319"/>
      <c r="CX75" s="319"/>
      <c r="CY75" s="319"/>
      <c r="CZ75" s="319"/>
      <c r="DA75" s="319"/>
      <c r="DB75" s="319"/>
      <c r="DC75" s="319"/>
      <c r="DD75" s="319"/>
      <c r="DE75" s="319"/>
      <c r="DF75" s="319"/>
      <c r="DG75" s="245"/>
      <c r="DH75" s="319"/>
      <c r="DI75" s="319"/>
      <c r="DJ75" s="245"/>
      <c r="DK75" s="319"/>
      <c r="DL75" s="319"/>
      <c r="DM75" s="319"/>
      <c r="DN75" s="319"/>
      <c r="DO75" s="319"/>
      <c r="DP75" s="319"/>
      <c r="DQ75" s="319"/>
      <c r="DR75" s="319"/>
      <c r="DS75" s="319"/>
      <c r="DT75" s="319"/>
      <c r="DU75" s="275">
        <f t="shared" si="32"/>
        <v>0</v>
      </c>
      <c r="DV75" s="57"/>
      <c r="DW75" s="319"/>
      <c r="DX75" s="319"/>
      <c r="DY75" s="319"/>
      <c r="DZ75" s="319"/>
      <c r="EA75" s="319"/>
      <c r="EB75" s="319"/>
      <c r="EC75" s="319"/>
      <c r="ED75" s="319"/>
      <c r="EE75" s="319"/>
      <c r="EF75" s="319"/>
      <c r="EG75" s="319"/>
      <c r="EH75" s="319"/>
      <c r="EI75" s="319"/>
      <c r="EJ75" s="319"/>
      <c r="EK75" s="319"/>
      <c r="EL75" s="319"/>
      <c r="EM75" s="319"/>
      <c r="EN75" s="319"/>
      <c r="EO75" s="319"/>
      <c r="EP75" s="319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319"/>
      <c r="FD75" s="319"/>
      <c r="FE75" s="319"/>
      <c r="FF75" s="319"/>
      <c r="FG75" s="319"/>
      <c r="FH75" s="319"/>
      <c r="FI75" s="319"/>
      <c r="FJ75" s="319"/>
      <c r="FK75" s="319"/>
      <c r="FL75" s="319"/>
      <c r="FM75" s="319"/>
      <c r="FN75" s="319"/>
      <c r="FO75" s="319"/>
      <c r="FP75" s="319"/>
      <c r="FQ75" s="319"/>
      <c r="FR75" s="319"/>
      <c r="FS75" s="319"/>
      <c r="FT75" s="319"/>
      <c r="FU75" s="319"/>
      <c r="FV75" s="319"/>
      <c r="FW75" s="319"/>
      <c r="FX75" s="319"/>
      <c r="FY75" s="319"/>
      <c r="FZ75" s="319"/>
      <c r="GA75" s="158">
        <f t="shared" si="33"/>
        <v>0</v>
      </c>
      <c r="GB75" s="95"/>
      <c r="GC75" s="374"/>
      <c r="GD75" s="319"/>
      <c r="GE75" s="319"/>
      <c r="GF75" s="319"/>
      <c r="GG75" s="319"/>
      <c r="GH75" s="319"/>
      <c r="GI75" s="271"/>
      <c r="GJ75" s="271"/>
      <c r="GK75" s="271"/>
      <c r="GL75" s="271"/>
      <c r="GM75" s="272"/>
      <c r="GN75" s="435"/>
      <c r="GO75" s="585">
        <f t="shared" si="34"/>
        <v>0</v>
      </c>
      <c r="GP75" s="500">
        <f t="shared" si="35"/>
        <v>0</v>
      </c>
      <c r="GQ75" s="605">
        <f t="shared" si="36"/>
        <v>0</v>
      </c>
      <c r="GR75" s="627">
        <f>C75</f>
        <v>1.1870000000000001</v>
      </c>
      <c r="GS75" s="239">
        <f t="shared" si="38"/>
        <v>0</v>
      </c>
      <c r="GT75" s="36" t="str">
        <f t="shared" si="39"/>
        <v>Фекорд -2012-Ф гр.2</v>
      </c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</row>
    <row r="76" spans="1:215" ht="15" customHeight="1" x14ac:dyDescent="0.3">
      <c r="A76" s="1131">
        <f t="shared" si="40"/>
        <v>65</v>
      </c>
      <c r="B76" s="767" t="s">
        <v>172</v>
      </c>
      <c r="C76" s="565">
        <f>'1_квартал'!G74</f>
        <v>150</v>
      </c>
      <c r="D76" s="511">
        <v>0</v>
      </c>
      <c r="E76" s="757">
        <v>0</v>
      </c>
      <c r="F76" s="573"/>
      <c r="G76" s="878">
        <f t="shared" si="41"/>
        <v>0</v>
      </c>
      <c r="H76" s="93">
        <v>0</v>
      </c>
      <c r="I76" s="93">
        <v>0</v>
      </c>
      <c r="J76" s="94"/>
      <c r="K76" s="245"/>
      <c r="L76" s="245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245"/>
      <c r="AD76" s="319"/>
      <c r="AE76" s="319"/>
      <c r="AF76" s="245"/>
      <c r="AG76" s="319"/>
      <c r="AH76" s="319"/>
      <c r="AI76" s="319"/>
      <c r="AJ76" s="319"/>
      <c r="AK76" s="319"/>
      <c r="AL76" s="319"/>
      <c r="AM76" s="319"/>
      <c r="AN76" s="319"/>
      <c r="AO76" s="319"/>
      <c r="AP76" s="319"/>
      <c r="AQ76" s="319"/>
      <c r="AR76" s="319"/>
      <c r="AS76" s="319"/>
      <c r="AT76" s="319"/>
      <c r="AU76" s="319"/>
      <c r="AV76" s="319"/>
      <c r="AW76" s="319"/>
      <c r="AX76" s="319"/>
      <c r="AY76" s="319"/>
      <c r="AZ76" s="319"/>
      <c r="BA76" s="319"/>
      <c r="BB76" s="319"/>
      <c r="BC76" s="319"/>
      <c r="BD76" s="319"/>
      <c r="BE76" s="319"/>
      <c r="BF76" s="319"/>
      <c r="BG76" s="319"/>
      <c r="BH76" s="319"/>
      <c r="BI76" s="319"/>
      <c r="BJ76" s="177"/>
      <c r="BK76" s="271"/>
      <c r="BL76" s="319"/>
      <c r="BM76" s="245"/>
      <c r="BN76" s="319"/>
      <c r="BO76" s="245"/>
      <c r="BP76" s="177"/>
      <c r="BQ76" s="245"/>
      <c r="BR76" s="177"/>
      <c r="BS76" s="177"/>
      <c r="BT76" s="319"/>
      <c r="BU76" s="319"/>
      <c r="BV76" s="319"/>
      <c r="BW76" s="319"/>
      <c r="BX76" s="319"/>
      <c r="BY76" s="319"/>
      <c r="BZ76" s="319"/>
      <c r="CA76" s="158">
        <f t="shared" si="31"/>
        <v>0</v>
      </c>
      <c r="CB76" s="94"/>
      <c r="CC76" s="319"/>
      <c r="CD76" s="319"/>
      <c r="CE76" s="319"/>
      <c r="CF76" s="319"/>
      <c r="CG76" s="319"/>
      <c r="CH76" s="319"/>
      <c r="CI76" s="319"/>
      <c r="CJ76" s="319"/>
      <c r="CK76" s="245"/>
      <c r="CL76" s="319"/>
      <c r="CM76" s="319"/>
      <c r="CN76" s="319"/>
      <c r="CO76" s="319"/>
      <c r="CP76" s="319"/>
      <c r="CQ76" s="319"/>
      <c r="CR76" s="319"/>
      <c r="CS76" s="319"/>
      <c r="CT76" s="245"/>
      <c r="CU76" s="319"/>
      <c r="CV76" s="319"/>
      <c r="CW76" s="319"/>
      <c r="CX76" s="319"/>
      <c r="CY76" s="319"/>
      <c r="CZ76" s="319"/>
      <c r="DA76" s="319"/>
      <c r="DB76" s="319"/>
      <c r="DC76" s="319"/>
      <c r="DD76" s="319"/>
      <c r="DE76" s="319"/>
      <c r="DF76" s="319"/>
      <c r="DG76" s="245"/>
      <c r="DH76" s="319"/>
      <c r="DI76" s="319"/>
      <c r="DJ76" s="245"/>
      <c r="DK76" s="319"/>
      <c r="DL76" s="319"/>
      <c r="DM76" s="319"/>
      <c r="DN76" s="319"/>
      <c r="DO76" s="319"/>
      <c r="DP76" s="319"/>
      <c r="DQ76" s="319"/>
      <c r="DR76" s="319"/>
      <c r="DS76" s="319"/>
      <c r="DT76" s="319"/>
      <c r="DU76" s="275">
        <f t="shared" si="32"/>
        <v>0</v>
      </c>
      <c r="DV76" s="57"/>
      <c r="DW76" s="319"/>
      <c r="DX76" s="319"/>
      <c r="DY76" s="319"/>
      <c r="DZ76" s="319"/>
      <c r="EA76" s="319"/>
      <c r="EB76" s="319"/>
      <c r="EC76" s="319"/>
      <c r="ED76" s="319"/>
      <c r="EE76" s="319"/>
      <c r="EF76" s="325"/>
      <c r="EG76" s="325"/>
      <c r="EH76" s="325"/>
      <c r="EI76" s="325"/>
      <c r="EJ76" s="325"/>
      <c r="EK76" s="325"/>
      <c r="EL76" s="325"/>
      <c r="EM76" s="325"/>
      <c r="EN76" s="325"/>
      <c r="EO76" s="325"/>
      <c r="EP76" s="325"/>
      <c r="EQ76" s="325"/>
      <c r="ER76" s="325"/>
      <c r="ES76" s="325"/>
      <c r="ET76" s="325"/>
      <c r="EU76" s="325"/>
      <c r="EV76" s="325"/>
      <c r="EW76" s="325"/>
      <c r="EX76" s="325"/>
      <c r="EY76" s="325"/>
      <c r="EZ76" s="325"/>
      <c r="FA76" s="325"/>
      <c r="FB76" s="325"/>
      <c r="FC76" s="325"/>
      <c r="FD76" s="325"/>
      <c r="FE76" s="325"/>
      <c r="FF76" s="325"/>
      <c r="FG76" s="325"/>
      <c r="FH76" s="325"/>
      <c r="FI76" s="325"/>
      <c r="FJ76" s="325"/>
      <c r="FK76" s="325"/>
      <c r="FL76" s="325"/>
      <c r="FM76" s="325"/>
      <c r="FN76" s="325"/>
      <c r="FO76" s="325"/>
      <c r="FP76" s="325"/>
      <c r="FQ76" s="325"/>
      <c r="FR76" s="325"/>
      <c r="FS76" s="325"/>
      <c r="FT76" s="325"/>
      <c r="FU76" s="325"/>
      <c r="FV76" s="325"/>
      <c r="FW76" s="325"/>
      <c r="FX76" s="325"/>
      <c r="FY76" s="325"/>
      <c r="FZ76" s="325"/>
      <c r="GA76" s="158">
        <f t="shared" si="33"/>
        <v>0</v>
      </c>
      <c r="GB76" s="95"/>
      <c r="GC76" s="375"/>
      <c r="GD76" s="319"/>
      <c r="GE76" s="319"/>
      <c r="GF76" s="319"/>
      <c r="GG76" s="319"/>
      <c r="GH76" s="319"/>
      <c r="GI76" s="271"/>
      <c r="GJ76" s="271"/>
      <c r="GK76" s="271"/>
      <c r="GL76" s="271"/>
      <c r="GM76" s="272"/>
      <c r="GN76" s="435"/>
      <c r="GO76" s="51">
        <f t="shared" si="34"/>
        <v>0</v>
      </c>
      <c r="GP76" s="500">
        <f t="shared" si="35"/>
        <v>0</v>
      </c>
      <c r="GQ76" s="605">
        <f t="shared" si="36"/>
        <v>0</v>
      </c>
      <c r="GR76" s="627">
        <f>C76</f>
        <v>150</v>
      </c>
      <c r="GS76" s="239">
        <f t="shared" si="38"/>
        <v>0</v>
      </c>
      <c r="GT76" s="36" t="str">
        <f t="shared" si="39"/>
        <v>Файбрамакс</v>
      </c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</row>
    <row r="77" spans="1:215" ht="15" customHeight="1" x14ac:dyDescent="0.3">
      <c r="A77" s="1131">
        <f t="shared" si="40"/>
        <v>66</v>
      </c>
      <c r="B77" s="904" t="s">
        <v>582</v>
      </c>
      <c r="C77" s="565"/>
      <c r="D77" s="511">
        <v>209.73</v>
      </c>
      <c r="E77" s="757">
        <f>15.27+278.73</f>
        <v>294</v>
      </c>
      <c r="F77" s="573"/>
      <c r="G77" s="878">
        <f t="shared" si="41"/>
        <v>251.86500000000001</v>
      </c>
      <c r="H77" s="93">
        <v>21.27</v>
      </c>
      <c r="I77" s="93">
        <f>21.27+300</f>
        <v>321.27</v>
      </c>
      <c r="J77" s="94"/>
      <c r="K77" s="245"/>
      <c r="L77" s="245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245"/>
      <c r="AD77" s="319"/>
      <c r="AE77" s="319"/>
      <c r="AF77" s="245"/>
      <c r="AG77" s="319"/>
      <c r="AH77" s="319"/>
      <c r="AI77" s="319"/>
      <c r="AJ77" s="319"/>
      <c r="AK77" s="319"/>
      <c r="AL77" s="319"/>
      <c r="AM77" s="319"/>
      <c r="AN77" s="319"/>
      <c r="AO77" s="319"/>
      <c r="AP77" s="319"/>
      <c r="AQ77" s="319"/>
      <c r="AR77" s="319"/>
      <c r="AS77" s="319"/>
      <c r="AT77" s="319"/>
      <c r="AU77" s="319"/>
      <c r="AV77" s="319"/>
      <c r="AW77" s="319"/>
      <c r="AX77" s="237"/>
      <c r="AY77" s="319"/>
      <c r="AZ77" s="319">
        <v>208.78200000000001</v>
      </c>
      <c r="BA77" s="319"/>
      <c r="BB77" s="319"/>
      <c r="BC77" s="319"/>
      <c r="BD77" s="319"/>
      <c r="BE77" s="319"/>
      <c r="BF77" s="319"/>
      <c r="BG77" s="319"/>
      <c r="BH77" s="319"/>
      <c r="BI77" s="319"/>
      <c r="BJ77" s="24"/>
      <c r="BK77" s="33"/>
      <c r="BL77" s="319"/>
      <c r="BM77" s="245"/>
      <c r="BN77" s="319"/>
      <c r="BO77" s="245"/>
      <c r="BP77" s="24"/>
      <c r="BQ77" s="245"/>
      <c r="BR77" s="24"/>
      <c r="BS77" s="24"/>
      <c r="BT77" s="319"/>
      <c r="BU77" s="319"/>
      <c r="BV77" s="319"/>
      <c r="BW77" s="319"/>
      <c r="BX77" s="319">
        <v>0.95099999999999996</v>
      </c>
      <c r="BY77" s="319"/>
      <c r="BZ77" s="319"/>
      <c r="CA77" s="158">
        <f t="shared" si="31"/>
        <v>209.733</v>
      </c>
      <c r="CB77" s="94"/>
      <c r="CC77" s="319"/>
      <c r="CD77" s="319"/>
      <c r="CE77" s="319"/>
      <c r="CF77" s="319"/>
      <c r="CG77" s="319"/>
      <c r="CH77" s="319"/>
      <c r="CI77" s="319"/>
      <c r="CJ77" s="319"/>
      <c r="CK77" s="245"/>
      <c r="CL77" s="319"/>
      <c r="CM77" s="319"/>
      <c r="CN77" s="319"/>
      <c r="CO77" s="319"/>
      <c r="CP77" s="319"/>
      <c r="CQ77" s="319"/>
      <c r="CR77" s="319"/>
      <c r="CS77" s="319"/>
      <c r="CT77" s="245"/>
      <c r="CU77" s="319"/>
      <c r="CV77" s="237"/>
      <c r="CW77" s="319"/>
      <c r="CX77" s="319"/>
      <c r="CY77" s="319"/>
      <c r="CZ77" s="319"/>
      <c r="DA77" s="319"/>
      <c r="DB77" s="319"/>
      <c r="DC77" s="319">
        <v>294</v>
      </c>
      <c r="DD77" s="319"/>
      <c r="DE77" s="319"/>
      <c r="DF77" s="319"/>
      <c r="DG77" s="245"/>
      <c r="DH77" s="319"/>
      <c r="DI77" s="319"/>
      <c r="DJ77" s="245"/>
      <c r="DK77" s="319"/>
      <c r="DL77" s="319"/>
      <c r="DM77" s="319"/>
      <c r="DN77" s="319"/>
      <c r="DO77" s="319"/>
      <c r="DP77" s="319"/>
      <c r="DQ77" s="319"/>
      <c r="DR77" s="319"/>
      <c r="DS77" s="319"/>
      <c r="DT77" s="319"/>
      <c r="DU77" s="275">
        <f t="shared" si="32"/>
        <v>294</v>
      </c>
      <c r="DV77" s="57"/>
      <c r="DW77" s="319"/>
      <c r="DX77" s="319"/>
      <c r="DY77" s="319"/>
      <c r="DZ77" s="319"/>
      <c r="EA77" s="319"/>
      <c r="EB77" s="319"/>
      <c r="EC77" s="319"/>
      <c r="ED77" s="319"/>
      <c r="EE77" s="319"/>
      <c r="EF77" s="319"/>
      <c r="EG77" s="319"/>
      <c r="EH77" s="319"/>
      <c r="EI77" s="319"/>
      <c r="EJ77" s="319"/>
      <c r="EK77" s="319"/>
      <c r="EL77" s="319"/>
      <c r="EM77" s="319"/>
      <c r="EN77" s="319"/>
      <c r="EO77" s="319"/>
      <c r="EP77" s="319"/>
      <c r="EQ77" s="319"/>
      <c r="ER77" s="319"/>
      <c r="ES77" s="319"/>
      <c r="ET77" s="319"/>
      <c r="EU77" s="319"/>
      <c r="EV77" s="319"/>
      <c r="EW77" s="319"/>
      <c r="EX77" s="319"/>
      <c r="EY77" s="319"/>
      <c r="EZ77" s="319"/>
      <c r="FA77" s="319"/>
      <c r="FB77" s="319"/>
      <c r="FC77" s="319"/>
      <c r="FD77" s="319"/>
      <c r="FE77" s="319"/>
      <c r="FF77" s="319"/>
      <c r="FG77" s="319"/>
      <c r="FH77" s="319"/>
      <c r="FI77" s="319"/>
      <c r="FJ77" s="319"/>
      <c r="FK77" s="319"/>
      <c r="FL77" s="319"/>
      <c r="FM77" s="319"/>
      <c r="FN77" s="319"/>
      <c r="FO77" s="319"/>
      <c r="FP77" s="319"/>
      <c r="FQ77" s="319"/>
      <c r="FR77" s="319"/>
      <c r="FS77" s="319"/>
      <c r="FT77" s="319"/>
      <c r="FU77" s="319"/>
      <c r="FV77" s="319"/>
      <c r="FW77" s="319"/>
      <c r="FX77" s="319"/>
      <c r="FY77" s="319"/>
      <c r="FZ77" s="319"/>
      <c r="GA77" s="158">
        <f t="shared" si="33"/>
        <v>0</v>
      </c>
      <c r="GB77" s="95"/>
      <c r="GC77" s="374"/>
      <c r="GD77" s="319">
        <f>14.868*0.9</f>
        <v>13.3812</v>
      </c>
      <c r="GE77" s="319">
        <f>45.36*0.9</f>
        <v>40.823999999999998</v>
      </c>
      <c r="GF77" s="319"/>
      <c r="GG77" s="319"/>
      <c r="GH77" s="319"/>
      <c r="GI77" s="33"/>
      <c r="GJ77" s="33"/>
      <c r="GK77" s="33"/>
      <c r="GL77" s="33"/>
      <c r="GM77" s="32"/>
      <c r="GN77" s="472"/>
      <c r="GO77" s="51">
        <f t="shared" si="34"/>
        <v>54.205199999999998</v>
      </c>
      <c r="GP77" s="500">
        <f t="shared" si="35"/>
        <v>267.06479999999999</v>
      </c>
      <c r="GQ77" s="605">
        <f t="shared" si="36"/>
        <v>321.27</v>
      </c>
      <c r="GR77" s="627"/>
      <c r="GS77" s="239">
        <f t="shared" si="38"/>
        <v>294</v>
      </c>
      <c r="GT77" s="36" t="str">
        <f t="shared" si="39"/>
        <v>ХолиТаргет</v>
      </c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</row>
    <row r="78" spans="1:215" ht="15" customHeight="1" x14ac:dyDescent="0.3">
      <c r="A78" s="1131">
        <f t="shared" si="40"/>
        <v>67</v>
      </c>
      <c r="B78" s="702" t="s">
        <v>183</v>
      </c>
      <c r="C78" s="565">
        <f>'1_квартал'!G75</f>
        <v>366.21</v>
      </c>
      <c r="D78" s="511">
        <v>400.65</v>
      </c>
      <c r="E78" s="757">
        <v>577.41</v>
      </c>
      <c r="F78" s="573"/>
      <c r="G78" s="878">
        <f t="shared" si="41"/>
        <v>489.03</v>
      </c>
      <c r="H78" s="93">
        <v>907.14</v>
      </c>
      <c r="I78" s="93">
        <v>868.96</v>
      </c>
      <c r="J78" s="94"/>
      <c r="K78" s="245"/>
      <c r="L78" s="245"/>
      <c r="M78" s="319"/>
      <c r="N78" s="319"/>
      <c r="O78" s="319">
        <f>4.536*2.7</f>
        <v>12.247199999999999</v>
      </c>
      <c r="P78" s="319"/>
      <c r="Q78" s="319">
        <f>3.024*0.6</f>
        <v>1.8144</v>
      </c>
      <c r="R78" s="319">
        <v>126</v>
      </c>
      <c r="S78" s="319">
        <f>4.536*7.5</f>
        <v>34.019999999999996</v>
      </c>
      <c r="T78" s="319">
        <f>4.032*3.5</f>
        <v>14.112</v>
      </c>
      <c r="U78" s="319"/>
      <c r="V78" s="319"/>
      <c r="W78" s="319">
        <f>4.536*0.6</f>
        <v>2.7215999999999996</v>
      </c>
      <c r="X78" s="319">
        <f>4.032*3</f>
        <v>12.096</v>
      </c>
      <c r="Y78" s="319"/>
      <c r="Z78" s="319">
        <v>3.024</v>
      </c>
      <c r="AA78" s="319"/>
      <c r="AB78" s="319">
        <f>4.536*3</f>
        <v>13.607999999999999</v>
      </c>
      <c r="AC78" s="245"/>
      <c r="AD78" s="319"/>
      <c r="AE78" s="319"/>
      <c r="AF78" s="245"/>
      <c r="AG78" s="319">
        <v>3.629</v>
      </c>
      <c r="AH78" s="319"/>
      <c r="AI78" s="319"/>
      <c r="AJ78" s="319"/>
      <c r="AK78" s="319">
        <v>6.048</v>
      </c>
      <c r="AL78" s="319"/>
      <c r="AM78" s="319"/>
      <c r="AN78" s="319"/>
      <c r="AO78" s="319">
        <v>3.024</v>
      </c>
      <c r="AP78" s="319"/>
      <c r="AQ78" s="319">
        <v>1.21</v>
      </c>
      <c r="AR78" s="319"/>
      <c r="AS78" s="319">
        <v>0.80600000000000005</v>
      </c>
      <c r="AT78" s="319"/>
      <c r="AU78" s="319"/>
      <c r="AV78" s="319"/>
      <c r="AW78" s="319"/>
      <c r="AX78" s="326">
        <f>14.364*5</f>
        <v>71.820000000000007</v>
      </c>
      <c r="AY78" s="237"/>
      <c r="AZ78" s="319">
        <v>15.12</v>
      </c>
      <c r="BA78" s="319"/>
      <c r="BB78" s="319"/>
      <c r="BC78" s="319"/>
      <c r="BD78" s="319"/>
      <c r="BE78" s="319">
        <v>0.378</v>
      </c>
      <c r="BF78" s="319"/>
      <c r="BG78" s="319">
        <v>20.16</v>
      </c>
      <c r="BH78" s="319">
        <f>21.42*0.6</f>
        <v>12.852</v>
      </c>
      <c r="BI78" s="319"/>
      <c r="BJ78" s="24"/>
      <c r="BK78" s="33"/>
      <c r="BL78" s="319"/>
      <c r="BM78" s="245"/>
      <c r="BN78" s="319"/>
      <c r="BO78" s="245"/>
      <c r="BP78" s="24"/>
      <c r="BQ78" s="245"/>
      <c r="BR78" s="24">
        <f>3.402/0.9*0.8</f>
        <v>3.0240000000000005</v>
      </c>
      <c r="BS78" s="24"/>
      <c r="BT78" s="319">
        <f>21.42*1.2</f>
        <v>25.704000000000001</v>
      </c>
      <c r="BU78" s="319"/>
      <c r="BV78" s="319"/>
      <c r="BW78" s="319"/>
      <c r="BX78" s="319"/>
      <c r="BY78" s="319">
        <f>4.536*3.8</f>
        <v>17.236799999999999</v>
      </c>
      <c r="BZ78" s="319"/>
      <c r="CA78" s="158">
        <f t="shared" si="31"/>
        <v>400.65500000000003</v>
      </c>
      <c r="CB78" s="94"/>
      <c r="CC78" s="319"/>
      <c r="CD78" s="319">
        <v>20.16</v>
      </c>
      <c r="CE78" s="319">
        <f>4.536*0.6</f>
        <v>2.7215999999999996</v>
      </c>
      <c r="CF78" s="319"/>
      <c r="CG78" s="319"/>
      <c r="CH78" s="319"/>
      <c r="CI78" s="319"/>
      <c r="CJ78" s="319"/>
      <c r="CK78" s="245"/>
      <c r="CL78" s="319"/>
      <c r="CM78" s="319"/>
      <c r="CN78" s="319">
        <v>11.34</v>
      </c>
      <c r="CO78" s="319">
        <f>4.536*6</f>
        <v>27.215999999999998</v>
      </c>
      <c r="CP78" s="319"/>
      <c r="CQ78" s="319"/>
      <c r="CR78" s="319"/>
      <c r="CS78" s="319"/>
      <c r="CT78" s="245"/>
      <c r="CU78" s="319"/>
      <c r="CV78" s="326">
        <f>14.364*4</f>
        <v>57.456000000000003</v>
      </c>
      <c r="CW78" s="237"/>
      <c r="CX78" s="319">
        <f>21.42*1.2</f>
        <v>25.704000000000001</v>
      </c>
      <c r="CY78" s="319"/>
      <c r="CZ78" s="319"/>
      <c r="DA78" s="319">
        <f>5.04*2</f>
        <v>10.08</v>
      </c>
      <c r="DB78" s="319"/>
      <c r="DC78" s="319">
        <f>15.12/3*3.5</f>
        <v>17.64</v>
      </c>
      <c r="DD78" s="319">
        <f>12.6*7</f>
        <v>88.2</v>
      </c>
      <c r="DE78" s="319">
        <f>12.6*3</f>
        <v>37.799999999999997</v>
      </c>
      <c r="DF78" s="319"/>
      <c r="DG78" s="245"/>
      <c r="DH78" s="319"/>
      <c r="DI78" s="319">
        <v>60.48</v>
      </c>
      <c r="DJ78" s="245">
        <v>63</v>
      </c>
      <c r="DK78" s="319">
        <f>4.536*5</f>
        <v>22.68</v>
      </c>
      <c r="DL78" s="319"/>
      <c r="DM78" s="319">
        <f>4.536*7</f>
        <v>31.751999999999995</v>
      </c>
      <c r="DN78" s="319">
        <f>21.42*1.5</f>
        <v>32.130000000000003</v>
      </c>
      <c r="DO78" s="319"/>
      <c r="DP78" s="319">
        <f>4.032*1.5</f>
        <v>6.048</v>
      </c>
      <c r="DQ78" s="319"/>
      <c r="DR78" s="319"/>
      <c r="DS78" s="319"/>
      <c r="DT78" s="319">
        <f>12.6*5</f>
        <v>63</v>
      </c>
      <c r="DU78" s="275">
        <f t="shared" si="32"/>
        <v>577.4076</v>
      </c>
      <c r="DV78" s="57"/>
      <c r="DW78" s="319"/>
      <c r="DX78" s="319"/>
      <c r="DY78" s="319">
        <f>4.032*1.5</f>
        <v>6.048</v>
      </c>
      <c r="DZ78" s="319"/>
      <c r="EA78" s="319"/>
      <c r="EB78" s="319"/>
      <c r="EC78" s="319"/>
      <c r="ED78" s="319">
        <f>21.42*1.5</f>
        <v>32.130000000000003</v>
      </c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319"/>
      <c r="EQ78" s="319"/>
      <c r="ER78" s="319"/>
      <c r="ES78" s="319"/>
      <c r="ET78" s="319"/>
      <c r="EU78" s="319"/>
      <c r="EV78" s="319"/>
      <c r="EW78" s="319"/>
      <c r="EX78" s="319"/>
      <c r="EY78" s="319"/>
      <c r="EZ78" s="319"/>
      <c r="FA78" s="319"/>
      <c r="FB78" s="319"/>
      <c r="FC78" s="319"/>
      <c r="FD78" s="319"/>
      <c r="FE78" s="319"/>
      <c r="FF78" s="319"/>
      <c r="FG78" s="319"/>
      <c r="FH78" s="319"/>
      <c r="FI78" s="319"/>
      <c r="FJ78" s="319"/>
      <c r="FK78" s="319"/>
      <c r="FL78" s="319"/>
      <c r="FM78" s="319"/>
      <c r="FN78" s="319"/>
      <c r="FO78" s="319"/>
      <c r="FP78" s="319"/>
      <c r="FQ78" s="319"/>
      <c r="FR78" s="319"/>
      <c r="FS78" s="319"/>
      <c r="FT78" s="319"/>
      <c r="FU78" s="319"/>
      <c r="FV78" s="319"/>
      <c r="FW78" s="319"/>
      <c r="FX78" s="319"/>
      <c r="FY78" s="319"/>
      <c r="FZ78" s="319"/>
      <c r="GA78" s="158">
        <f t="shared" si="33"/>
        <v>38.178000000000004</v>
      </c>
      <c r="GB78" s="95"/>
      <c r="GC78" s="374"/>
      <c r="GD78" s="319">
        <f>4.032*0.9</f>
        <v>3.6288</v>
      </c>
      <c r="GE78" s="319">
        <f>5.04*0.9</f>
        <v>4.5360000000000005</v>
      </c>
      <c r="GF78" s="319"/>
      <c r="GG78" s="319"/>
      <c r="GH78" s="319"/>
      <c r="GI78" s="33"/>
      <c r="GJ78" s="33"/>
      <c r="GK78" s="33"/>
      <c r="GL78" s="33"/>
      <c r="GM78" s="32"/>
      <c r="GN78" s="472"/>
      <c r="GO78" s="51">
        <f t="shared" si="34"/>
        <v>8.1647999999999996</v>
      </c>
      <c r="GP78" s="500">
        <f t="shared" si="35"/>
        <v>860.79520000000002</v>
      </c>
      <c r="GQ78" s="605">
        <f t="shared" si="36"/>
        <v>868.96</v>
      </c>
      <c r="GR78" s="627">
        <f>C78</f>
        <v>366.21</v>
      </c>
      <c r="GS78" s="239">
        <f t="shared" si="38"/>
        <v>577.41</v>
      </c>
      <c r="GT78" s="36" t="str">
        <f t="shared" si="39"/>
        <v>Хромсодержащие дрожжи</v>
      </c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</row>
    <row r="79" spans="1:215" ht="15" customHeight="1" x14ac:dyDescent="0.3">
      <c r="A79" s="1131">
        <f>A78+1</f>
        <v>68</v>
      </c>
      <c r="B79" s="703" t="s">
        <v>140</v>
      </c>
      <c r="C79" s="565">
        <f>'1_квартал'!G76</f>
        <v>1556.3869999999999</v>
      </c>
      <c r="D79" s="511">
        <v>3026.11</v>
      </c>
      <c r="E79" s="757">
        <v>2810.71</v>
      </c>
      <c r="F79" s="573"/>
      <c r="G79" s="878">
        <f t="shared" si="41"/>
        <v>2918.41</v>
      </c>
      <c r="H79" s="93">
        <f>11925.01+8900</f>
        <v>20825.010000000002</v>
      </c>
      <c r="I79" s="93">
        <f>10264.83+8900</f>
        <v>19164.830000000002</v>
      </c>
      <c r="J79" s="94"/>
      <c r="K79" s="245"/>
      <c r="L79" s="245">
        <v>8.4670000000000005</v>
      </c>
      <c r="M79" s="319"/>
      <c r="N79" s="319"/>
      <c r="O79" s="319">
        <f>13.104*2.7</f>
        <v>35.380800000000001</v>
      </c>
      <c r="P79" s="319"/>
      <c r="Q79" s="319">
        <f>26.208*0.6</f>
        <v>15.724799999999998</v>
      </c>
      <c r="R79" s="319"/>
      <c r="S79" s="319"/>
      <c r="T79" s="319"/>
      <c r="U79" s="319"/>
      <c r="V79" s="319"/>
      <c r="W79" s="319">
        <f>64.512*0.6</f>
        <v>38.7072</v>
      </c>
      <c r="X79" s="319"/>
      <c r="Y79" s="319"/>
      <c r="Z79" s="319"/>
      <c r="AA79" s="319"/>
      <c r="AB79" s="319"/>
      <c r="AC79" s="245"/>
      <c r="AD79" s="319"/>
      <c r="AE79" s="319"/>
      <c r="AF79" s="245"/>
      <c r="AG79" s="319"/>
      <c r="AH79" s="319"/>
      <c r="AI79" s="319"/>
      <c r="AJ79" s="319"/>
      <c r="AK79" s="319"/>
      <c r="AL79" s="319"/>
      <c r="AM79" s="319"/>
      <c r="AN79" s="319"/>
      <c r="AO79" s="319"/>
      <c r="AP79" s="319"/>
      <c r="AQ79" s="319">
        <v>40.98</v>
      </c>
      <c r="AR79" s="319"/>
      <c r="AS79" s="319"/>
      <c r="AT79" s="319"/>
      <c r="AU79" s="319"/>
      <c r="AV79" s="319"/>
      <c r="AW79" s="319"/>
      <c r="AX79" s="326"/>
      <c r="AY79" s="326"/>
      <c r="AZ79" s="319"/>
      <c r="BA79" s="319"/>
      <c r="BB79" s="319"/>
      <c r="BC79" s="319">
        <f>120.96/1.2*0.3</f>
        <v>30.24</v>
      </c>
      <c r="BD79" s="319">
        <f>6.048/0.3*0.1</f>
        <v>2.016</v>
      </c>
      <c r="BE79" s="319">
        <v>13.103999999999999</v>
      </c>
      <c r="BF79" s="319"/>
      <c r="BG79" s="319"/>
      <c r="BH79" s="319"/>
      <c r="BI79" s="319"/>
      <c r="BJ79" s="177">
        <f>5.379/8*1.8</f>
        <v>1.210275</v>
      </c>
      <c r="BK79" s="271">
        <f>5.379/8*1.5</f>
        <v>1.0085625</v>
      </c>
      <c r="BL79" s="319"/>
      <c r="BM79" s="245"/>
      <c r="BN79" s="319"/>
      <c r="BO79" s="245">
        <f>403.2*5</f>
        <v>2016</v>
      </c>
      <c r="BP79" s="177">
        <f>5.379/8*4.7</f>
        <v>3.1601624999999998</v>
      </c>
      <c r="BQ79" s="245">
        <v>756</v>
      </c>
      <c r="BR79" s="177"/>
      <c r="BS79" s="177"/>
      <c r="BT79" s="319"/>
      <c r="BU79" s="319"/>
      <c r="BV79" s="319">
        <v>39.917000000000002</v>
      </c>
      <c r="BW79" s="319">
        <f>8.064*3</f>
        <v>24.192</v>
      </c>
      <c r="BX79" s="319"/>
      <c r="BY79" s="319"/>
      <c r="BZ79" s="319"/>
      <c r="CA79" s="158">
        <f t="shared" si="31"/>
        <v>3026.1077999999998</v>
      </c>
      <c r="CB79" s="94"/>
      <c r="CC79" s="319"/>
      <c r="CD79" s="319"/>
      <c r="CE79" s="319">
        <f>64.512*0.6</f>
        <v>38.7072</v>
      </c>
      <c r="CF79" s="319"/>
      <c r="CG79" s="319"/>
      <c r="CH79" s="319"/>
      <c r="CI79" s="319"/>
      <c r="CJ79" s="319"/>
      <c r="CK79" s="245"/>
      <c r="CL79" s="319"/>
      <c r="CM79" s="319"/>
      <c r="CN79" s="319"/>
      <c r="CO79" s="319"/>
      <c r="CP79" s="319"/>
      <c r="CQ79" s="319"/>
      <c r="CR79" s="319"/>
      <c r="CS79" s="319"/>
      <c r="CT79" s="245">
        <f>403.2*5</f>
        <v>2016</v>
      </c>
      <c r="CU79" s="319"/>
      <c r="CV79" s="326"/>
      <c r="CW79" s="326"/>
      <c r="CX79" s="319"/>
      <c r="CY79" s="319"/>
      <c r="CZ79" s="319"/>
      <c r="DA79" s="319"/>
      <c r="DB79" s="319"/>
      <c r="DC79" s="319"/>
      <c r="DD79" s="319"/>
      <c r="DE79" s="319"/>
      <c r="DF79" s="319"/>
      <c r="DG79" s="245">
        <v>756</v>
      </c>
      <c r="DH79" s="319"/>
      <c r="DI79" s="319"/>
      <c r="DJ79" s="245"/>
      <c r="DK79" s="319"/>
      <c r="DL79" s="319"/>
      <c r="DM79" s="319"/>
      <c r="DN79" s="319"/>
      <c r="DO79" s="319"/>
      <c r="DP79" s="319"/>
      <c r="DQ79" s="319"/>
      <c r="DR79" s="319"/>
      <c r="DS79" s="319"/>
      <c r="DT79" s="319"/>
      <c r="DU79" s="419">
        <f t="shared" si="32"/>
        <v>2810.7071999999998</v>
      </c>
      <c r="DV79" s="57"/>
      <c r="DW79" s="319"/>
      <c r="DX79" s="319"/>
      <c r="DY79" s="319"/>
      <c r="DZ79" s="319"/>
      <c r="EA79" s="319"/>
      <c r="EB79" s="319">
        <f>553.392*3</f>
        <v>1660.1760000000002</v>
      </c>
      <c r="EC79" s="319"/>
      <c r="ED79" s="319"/>
      <c r="EE79" s="319"/>
      <c r="EF79" s="319"/>
      <c r="EG79" s="319"/>
      <c r="EH79" s="319"/>
      <c r="EI79" s="319"/>
      <c r="EJ79" s="319"/>
      <c r="EK79" s="319"/>
      <c r="EL79" s="319"/>
      <c r="EM79" s="319"/>
      <c r="EN79" s="319"/>
      <c r="EO79" s="319"/>
      <c r="EP79" s="319"/>
      <c r="EQ79" s="319"/>
      <c r="ER79" s="319"/>
      <c r="ES79" s="319"/>
      <c r="ET79" s="319"/>
      <c r="EU79" s="319"/>
      <c r="EV79" s="319"/>
      <c r="EW79" s="319"/>
      <c r="EX79" s="319"/>
      <c r="EY79" s="319"/>
      <c r="EZ79" s="319"/>
      <c r="FA79" s="319"/>
      <c r="FB79" s="319"/>
      <c r="FC79" s="319"/>
      <c r="FD79" s="319"/>
      <c r="FE79" s="319"/>
      <c r="FF79" s="319"/>
      <c r="FG79" s="319"/>
      <c r="FH79" s="319"/>
      <c r="FI79" s="319"/>
      <c r="FJ79" s="319"/>
      <c r="FK79" s="319"/>
      <c r="FL79" s="319"/>
      <c r="FM79" s="319"/>
      <c r="FN79" s="319"/>
      <c r="FO79" s="319"/>
      <c r="FP79" s="319"/>
      <c r="FQ79" s="319"/>
      <c r="FR79" s="319"/>
      <c r="FS79" s="319"/>
      <c r="FT79" s="319"/>
      <c r="FU79" s="319"/>
      <c r="FV79" s="319"/>
      <c r="FW79" s="319"/>
      <c r="FX79" s="319"/>
      <c r="FY79" s="319"/>
      <c r="FZ79" s="319"/>
      <c r="GA79" s="158">
        <f t="shared" si="33"/>
        <v>1660.1760000000002</v>
      </c>
      <c r="GB79" s="95"/>
      <c r="GC79" s="374"/>
      <c r="GD79" s="319"/>
      <c r="GE79" s="319"/>
      <c r="GF79" s="319"/>
      <c r="GG79" s="319"/>
      <c r="GH79" s="319">
        <f>5.04*3</f>
        <v>15.120000000000001</v>
      </c>
      <c r="GI79" s="271"/>
      <c r="GJ79" s="271"/>
      <c r="GK79" s="271"/>
      <c r="GL79" s="271"/>
      <c r="GM79" s="272"/>
      <c r="GN79" s="435"/>
      <c r="GO79" s="327">
        <f t="shared" si="34"/>
        <v>15.120000000000001</v>
      </c>
      <c r="GP79" s="500">
        <f t="shared" si="35"/>
        <v>19149.710000000003</v>
      </c>
      <c r="GQ79" s="605">
        <f t="shared" si="36"/>
        <v>19164.830000000002</v>
      </c>
      <c r="GR79" s="627">
        <f>C79</f>
        <v>1556.3869999999999</v>
      </c>
      <c r="GS79" s="239">
        <f t="shared" si="38"/>
        <v>2810.71</v>
      </c>
      <c r="GT79" s="36" t="str">
        <f t="shared" si="39"/>
        <v>Энерфат</v>
      </c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</row>
    <row r="80" spans="1:215" ht="15" customHeight="1" x14ac:dyDescent="0.3">
      <c r="A80" s="1131">
        <f>A79+1</f>
        <v>69</v>
      </c>
      <c r="B80" s="703" t="s">
        <v>270</v>
      </c>
      <c r="C80" s="565">
        <f>'1_квартал'!G77</f>
        <v>4.03</v>
      </c>
      <c r="D80" s="346"/>
      <c r="E80" s="1300"/>
      <c r="F80" s="572"/>
      <c r="G80" s="878" t="e">
        <f t="shared" si="41"/>
        <v>#DIV/0!</v>
      </c>
      <c r="H80" s="93">
        <v>0</v>
      </c>
      <c r="I80" s="93">
        <v>0</v>
      </c>
      <c r="J80" s="94"/>
      <c r="K80" s="245"/>
      <c r="L80" s="245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245"/>
      <c r="AD80" s="319"/>
      <c r="AE80" s="319"/>
      <c r="AF80" s="245"/>
      <c r="AG80" s="319"/>
      <c r="AH80" s="319"/>
      <c r="AI80" s="319"/>
      <c r="AJ80" s="319"/>
      <c r="AK80" s="319"/>
      <c r="AL80" s="319"/>
      <c r="AM80" s="319"/>
      <c r="AN80" s="319"/>
      <c r="AO80" s="319"/>
      <c r="AP80" s="319"/>
      <c r="AQ80" s="319"/>
      <c r="AR80" s="319"/>
      <c r="AS80" s="319"/>
      <c r="AT80" s="319"/>
      <c r="AU80" s="319"/>
      <c r="AV80" s="319"/>
      <c r="AW80" s="319"/>
      <c r="AX80" s="319"/>
      <c r="AY80" s="319"/>
      <c r="AZ80" s="319"/>
      <c r="BA80" s="326"/>
      <c r="BB80" s="326"/>
      <c r="BC80" s="319"/>
      <c r="BD80" s="319"/>
      <c r="BE80" s="319"/>
      <c r="BF80" s="319"/>
      <c r="BG80" s="319"/>
      <c r="BH80" s="319"/>
      <c r="BI80" s="319"/>
      <c r="BJ80" s="177"/>
      <c r="BK80" s="271"/>
      <c r="BL80" s="319"/>
      <c r="BM80" s="245"/>
      <c r="BN80" s="319"/>
      <c r="BO80" s="245"/>
      <c r="BP80" s="177"/>
      <c r="BQ80" s="245"/>
      <c r="BR80" s="177"/>
      <c r="BS80" s="177"/>
      <c r="BT80" s="319"/>
      <c r="BU80" s="319"/>
      <c r="BV80" s="319"/>
      <c r="BW80" s="319"/>
      <c r="BX80" s="319"/>
      <c r="BY80" s="319"/>
      <c r="BZ80" s="319"/>
      <c r="CA80" s="158">
        <f t="shared" si="31"/>
        <v>0</v>
      </c>
      <c r="CB80" s="94"/>
      <c r="CC80" s="319"/>
      <c r="CD80" s="319"/>
      <c r="CE80" s="319"/>
      <c r="CF80" s="319"/>
      <c r="CG80" s="319"/>
      <c r="CH80" s="319"/>
      <c r="CI80" s="319"/>
      <c r="CJ80" s="319"/>
      <c r="CK80" s="245"/>
      <c r="CL80" s="319"/>
      <c r="CM80" s="319"/>
      <c r="CN80" s="319"/>
      <c r="CO80" s="319"/>
      <c r="CP80" s="319"/>
      <c r="CQ80" s="319"/>
      <c r="CR80" s="319"/>
      <c r="CS80" s="319"/>
      <c r="CT80" s="245"/>
      <c r="CU80" s="326"/>
      <c r="CV80" s="319"/>
      <c r="CW80" s="319"/>
      <c r="CX80" s="319"/>
      <c r="CY80" s="326"/>
      <c r="CZ80" s="326"/>
      <c r="DA80" s="319"/>
      <c r="DB80" s="319"/>
      <c r="DC80" s="319"/>
      <c r="DD80" s="319"/>
      <c r="DE80" s="319"/>
      <c r="DF80" s="319"/>
      <c r="DG80" s="245"/>
      <c r="DH80" s="319"/>
      <c r="DI80" s="319"/>
      <c r="DJ80" s="245"/>
      <c r="DK80" s="319"/>
      <c r="DL80" s="319"/>
      <c r="DM80" s="319"/>
      <c r="DN80" s="319"/>
      <c r="DO80" s="319"/>
      <c r="DP80" s="319"/>
      <c r="DQ80" s="319"/>
      <c r="DR80" s="319"/>
      <c r="DS80" s="319"/>
      <c r="DT80" s="319"/>
      <c r="DU80" s="419">
        <f t="shared" si="32"/>
        <v>0</v>
      </c>
      <c r="DV80" s="57"/>
      <c r="DW80" s="319"/>
      <c r="DX80" s="319"/>
      <c r="DY80" s="319"/>
      <c r="DZ80" s="319"/>
      <c r="EA80" s="319"/>
      <c r="EB80" s="319"/>
      <c r="EC80" s="319"/>
      <c r="ED80" s="319"/>
      <c r="EE80" s="319"/>
      <c r="EF80" s="319"/>
      <c r="EG80" s="319"/>
      <c r="EH80" s="319"/>
      <c r="EI80" s="319"/>
      <c r="EJ80" s="319"/>
      <c r="EK80" s="319"/>
      <c r="EL80" s="319"/>
      <c r="EM80" s="319"/>
      <c r="EN80" s="319"/>
      <c r="EO80" s="319"/>
      <c r="EP80" s="319"/>
      <c r="EQ80" s="319"/>
      <c r="ER80" s="319"/>
      <c r="ES80" s="319"/>
      <c r="ET80" s="319"/>
      <c r="EU80" s="319"/>
      <c r="EV80" s="319"/>
      <c r="EW80" s="319"/>
      <c r="EX80" s="319"/>
      <c r="EY80" s="319"/>
      <c r="EZ80" s="319"/>
      <c r="FA80" s="319"/>
      <c r="FB80" s="319"/>
      <c r="FC80" s="319"/>
      <c r="FD80" s="319"/>
      <c r="FE80" s="319"/>
      <c r="FF80" s="319"/>
      <c r="FG80" s="319"/>
      <c r="FH80" s="319"/>
      <c r="FI80" s="319"/>
      <c r="FJ80" s="319"/>
      <c r="FK80" s="319"/>
      <c r="FL80" s="319"/>
      <c r="FM80" s="319"/>
      <c r="FN80" s="319"/>
      <c r="FO80" s="319"/>
      <c r="FP80" s="319"/>
      <c r="FQ80" s="319"/>
      <c r="FR80" s="319"/>
      <c r="FS80" s="319"/>
      <c r="FT80" s="319"/>
      <c r="FU80" s="319"/>
      <c r="FV80" s="319"/>
      <c r="FW80" s="319"/>
      <c r="FX80" s="319"/>
      <c r="FY80" s="319"/>
      <c r="FZ80" s="319"/>
      <c r="GA80" s="158">
        <f t="shared" si="33"/>
        <v>0</v>
      </c>
      <c r="GB80" s="95"/>
      <c r="GC80" s="374"/>
      <c r="GD80" s="319"/>
      <c r="GE80" s="319"/>
      <c r="GF80" s="319"/>
      <c r="GG80" s="319"/>
      <c r="GH80" s="319"/>
      <c r="GI80" s="271"/>
      <c r="GJ80" s="271"/>
      <c r="GK80" s="271"/>
      <c r="GL80" s="271"/>
      <c r="GM80" s="272"/>
      <c r="GN80" s="435"/>
      <c r="GO80" s="327">
        <f t="shared" si="34"/>
        <v>0</v>
      </c>
      <c r="GP80" s="500">
        <f t="shared" si="35"/>
        <v>0</v>
      </c>
      <c r="GQ80" s="605">
        <f t="shared" si="36"/>
        <v>0</v>
      </c>
      <c r="GR80" s="627">
        <f>C80</f>
        <v>4.03</v>
      </c>
      <c r="GS80" s="239">
        <f t="shared" si="38"/>
        <v>0</v>
      </c>
      <c r="GT80" s="36" t="str">
        <f t="shared" si="39"/>
        <v>Эсид-Пак</v>
      </c>
      <c r="GU80" s="560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</row>
    <row r="81" spans="1:215" s="169" customFormat="1" ht="15" customHeight="1" x14ac:dyDescent="0.3">
      <c r="A81" s="1132">
        <f>A80+1</f>
        <v>70</v>
      </c>
      <c r="B81" s="690" t="s">
        <v>379</v>
      </c>
      <c r="C81" s="565" t="e">
        <f>'1_квартал'!G78</f>
        <v>#DIV/0!</v>
      </c>
      <c r="D81" s="346"/>
      <c r="E81" s="1300"/>
      <c r="F81" s="572"/>
      <c r="G81" s="878" t="e">
        <f t="shared" ref="G81" si="43">ROUND(AVERAGE(D81:F81),3)</f>
        <v>#DIV/0!</v>
      </c>
      <c r="H81" s="93"/>
      <c r="I81" s="93"/>
      <c r="J81" s="94"/>
      <c r="K81" s="245"/>
      <c r="L81" s="245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  <c r="AC81" s="245"/>
      <c r="AD81" s="319"/>
      <c r="AE81" s="319"/>
      <c r="AF81" s="245"/>
      <c r="AG81" s="319"/>
      <c r="AH81" s="319"/>
      <c r="AI81" s="319"/>
      <c r="AJ81" s="319"/>
      <c r="AK81" s="319"/>
      <c r="AL81" s="319"/>
      <c r="AM81" s="319"/>
      <c r="AN81" s="319"/>
      <c r="AO81" s="319"/>
      <c r="AP81" s="319"/>
      <c r="AQ81" s="319"/>
      <c r="AR81" s="319"/>
      <c r="AS81" s="319"/>
      <c r="AT81" s="319"/>
      <c r="AU81" s="319"/>
      <c r="AV81" s="319"/>
      <c r="AW81" s="319"/>
      <c r="AX81" s="319"/>
      <c r="AY81" s="319"/>
      <c r="AZ81" s="319"/>
      <c r="BA81" s="326"/>
      <c r="BB81" s="1224"/>
      <c r="BC81" s="1226"/>
      <c r="BD81" s="1226"/>
      <c r="BE81" s="1226"/>
      <c r="BF81" s="319"/>
      <c r="BG81" s="319"/>
      <c r="BH81" s="319"/>
      <c r="BI81" s="319"/>
      <c r="BJ81" s="177"/>
      <c r="BK81" s="271"/>
      <c r="BL81" s="319"/>
      <c r="BM81" s="245"/>
      <c r="BN81" s="1226"/>
      <c r="BO81" s="1255"/>
      <c r="BP81" s="177"/>
      <c r="BQ81" s="245"/>
      <c r="BR81" s="177"/>
      <c r="BS81" s="177"/>
      <c r="BT81" s="319"/>
      <c r="BU81" s="319"/>
      <c r="BV81" s="319"/>
      <c r="BW81" s="319"/>
      <c r="BX81" s="319"/>
      <c r="BY81" s="319"/>
      <c r="BZ81" s="319"/>
      <c r="CA81" s="158">
        <f t="shared" si="31"/>
        <v>0</v>
      </c>
      <c r="CB81" s="94"/>
      <c r="CC81" s="319"/>
      <c r="CD81" s="319"/>
      <c r="CE81" s="319"/>
      <c r="CF81" s="319"/>
      <c r="CG81" s="319"/>
      <c r="CH81" s="319"/>
      <c r="CI81" s="319"/>
      <c r="CJ81" s="319"/>
      <c r="CK81" s="245"/>
      <c r="CL81" s="319"/>
      <c r="CM81" s="319"/>
      <c r="CN81" s="319"/>
      <c r="CO81" s="319"/>
      <c r="CP81" s="319"/>
      <c r="CQ81" s="319"/>
      <c r="CR81" s="319"/>
      <c r="CS81" s="319"/>
      <c r="CT81" s="1255"/>
      <c r="CU81" s="326"/>
      <c r="CV81" s="319"/>
      <c r="CW81" s="319"/>
      <c r="CX81" s="1226"/>
      <c r="CY81" s="1224"/>
      <c r="CZ81" s="1224"/>
      <c r="DA81" s="1226"/>
      <c r="DB81" s="1226"/>
      <c r="DC81" s="319"/>
      <c r="DD81" s="319"/>
      <c r="DE81" s="319"/>
      <c r="DF81" s="319"/>
      <c r="DG81" s="245"/>
      <c r="DH81" s="319"/>
      <c r="DI81" s="319"/>
      <c r="DJ81" s="245"/>
      <c r="DK81" s="319"/>
      <c r="DL81" s="319"/>
      <c r="DM81" s="319"/>
      <c r="DN81" s="319"/>
      <c r="DO81" s="319"/>
      <c r="DP81" s="319"/>
      <c r="DQ81" s="319"/>
      <c r="DR81" s="319"/>
      <c r="DS81" s="319"/>
      <c r="DT81" s="319"/>
      <c r="DU81" s="419">
        <f t="shared" si="32"/>
        <v>0</v>
      </c>
      <c r="DV81" s="57"/>
      <c r="DW81" s="319"/>
      <c r="DX81" s="319"/>
      <c r="DY81" s="319"/>
      <c r="DZ81" s="319"/>
      <c r="EA81" s="1226"/>
      <c r="EB81" s="319"/>
      <c r="EC81" s="319"/>
      <c r="ED81" s="319"/>
      <c r="EE81" s="319"/>
      <c r="EF81" s="319"/>
      <c r="EG81" s="319"/>
      <c r="EH81" s="319"/>
      <c r="EI81" s="319"/>
      <c r="EJ81" s="319"/>
      <c r="EK81" s="319"/>
      <c r="EL81" s="319"/>
      <c r="EM81" s="319"/>
      <c r="EN81" s="319"/>
      <c r="EO81" s="319"/>
      <c r="EP81" s="319"/>
      <c r="EQ81" s="319"/>
      <c r="ER81" s="319"/>
      <c r="ES81" s="319"/>
      <c r="ET81" s="319"/>
      <c r="EU81" s="319"/>
      <c r="EV81" s="319"/>
      <c r="EW81" s="319"/>
      <c r="EX81" s="319"/>
      <c r="EY81" s="319"/>
      <c r="EZ81" s="319"/>
      <c r="FA81" s="319"/>
      <c r="FB81" s="319"/>
      <c r="FC81" s="319"/>
      <c r="FD81" s="319"/>
      <c r="FE81" s="319"/>
      <c r="FF81" s="319"/>
      <c r="FG81" s="319"/>
      <c r="FH81" s="319"/>
      <c r="FI81" s="319"/>
      <c r="FJ81" s="319"/>
      <c r="FK81" s="319"/>
      <c r="FL81" s="319"/>
      <c r="FM81" s="319"/>
      <c r="FN81" s="319"/>
      <c r="FO81" s="319"/>
      <c r="FP81" s="319"/>
      <c r="FQ81" s="319"/>
      <c r="FR81" s="319"/>
      <c r="FS81" s="319"/>
      <c r="FT81" s="319"/>
      <c r="FU81" s="319"/>
      <c r="FV81" s="319"/>
      <c r="FW81" s="319"/>
      <c r="FX81" s="319"/>
      <c r="FY81" s="319"/>
      <c r="FZ81" s="319"/>
      <c r="GA81" s="158">
        <f t="shared" si="33"/>
        <v>0</v>
      </c>
      <c r="GB81" s="95"/>
      <c r="GC81" s="374"/>
      <c r="GD81" s="1226"/>
      <c r="GE81" s="319"/>
      <c r="GF81" s="319"/>
      <c r="GG81" s="319"/>
      <c r="GH81" s="1226"/>
      <c r="GI81" s="271"/>
      <c r="GJ81" s="271"/>
      <c r="GK81" s="271"/>
      <c r="GL81" s="271"/>
      <c r="GM81" s="272"/>
      <c r="GN81" s="435"/>
      <c r="GO81" s="327">
        <f t="shared" si="34"/>
        <v>0</v>
      </c>
      <c r="GP81" s="500">
        <f t="shared" si="35"/>
        <v>0</v>
      </c>
      <c r="GQ81" s="605">
        <f t="shared" si="36"/>
        <v>0</v>
      </c>
      <c r="GR81" s="627" t="e">
        <f>C81</f>
        <v>#DIV/0!</v>
      </c>
      <c r="GS81" s="239">
        <f t="shared" si="38"/>
        <v>0</v>
      </c>
      <c r="GT81" s="36" t="str">
        <f t="shared" si="39"/>
        <v>ДП60-3/40/плц-127</v>
      </c>
      <c r="GU81" s="631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</row>
    <row r="82" spans="1:215" ht="15" customHeight="1" thickBot="1" x14ac:dyDescent="0.35">
      <c r="A82" s="1133">
        <f>A81+1</f>
        <v>71</v>
      </c>
      <c r="B82" s="706" t="s">
        <v>150</v>
      </c>
      <c r="C82" s="305" t="e">
        <f>'1_квартал'!G79</f>
        <v>#DIV/0!</v>
      </c>
      <c r="D82" s="346"/>
      <c r="E82" s="757"/>
      <c r="F82" s="572"/>
      <c r="G82" s="1138" t="e">
        <f t="shared" si="41"/>
        <v>#DIV/0!</v>
      </c>
      <c r="H82" s="93"/>
      <c r="I82" s="93"/>
      <c r="J82" s="136"/>
      <c r="K82" s="375"/>
      <c r="L82" s="326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  <c r="AA82" s="319"/>
      <c r="AB82" s="319"/>
      <c r="AC82" s="319"/>
      <c r="AD82" s="319"/>
      <c r="AE82" s="319"/>
      <c r="AF82" s="245"/>
      <c r="AG82" s="319"/>
      <c r="AH82" s="319"/>
      <c r="AI82" s="319"/>
      <c r="AJ82" s="319"/>
      <c r="AK82" s="319"/>
      <c r="AL82" s="319"/>
      <c r="AM82" s="319"/>
      <c r="AN82" s="319"/>
      <c r="AO82" s="319"/>
      <c r="AP82" s="319"/>
      <c r="AQ82" s="319"/>
      <c r="AR82" s="319"/>
      <c r="AS82" s="319"/>
      <c r="AT82" s="319"/>
      <c r="AU82" s="319"/>
      <c r="AV82" s="319"/>
      <c r="AW82" s="319"/>
      <c r="AX82" s="319"/>
      <c r="AY82" s="319"/>
      <c r="AZ82" s="319"/>
      <c r="BA82" s="319"/>
      <c r="BB82" s="319"/>
      <c r="BC82" s="319"/>
      <c r="BD82" s="319"/>
      <c r="BE82" s="319"/>
      <c r="BF82" s="319"/>
      <c r="BG82" s="319"/>
      <c r="BH82" s="319"/>
      <c r="BI82" s="319"/>
      <c r="BJ82" s="177"/>
      <c r="BK82" s="177"/>
      <c r="BL82" s="319"/>
      <c r="BM82" s="245"/>
      <c r="BN82" s="319"/>
      <c r="BO82" s="245"/>
      <c r="BP82" s="177"/>
      <c r="BQ82" s="245"/>
      <c r="BR82" s="177"/>
      <c r="BS82" s="177"/>
      <c r="BT82" s="319"/>
      <c r="BU82" s="319"/>
      <c r="BV82" s="319"/>
      <c r="BW82" s="319"/>
      <c r="BX82" s="319"/>
      <c r="BY82" s="319"/>
      <c r="BZ82" s="319"/>
      <c r="CA82" s="185">
        <f t="shared" si="31"/>
        <v>0</v>
      </c>
      <c r="CB82" s="136"/>
      <c r="CC82" s="319"/>
      <c r="CD82" s="319"/>
      <c r="CE82" s="319"/>
      <c r="CF82" s="319"/>
      <c r="CG82" s="319"/>
      <c r="CH82" s="319"/>
      <c r="CI82" s="319"/>
      <c r="CJ82" s="326"/>
      <c r="CK82" s="326"/>
      <c r="CL82" s="319"/>
      <c r="CM82" s="319"/>
      <c r="CN82" s="319"/>
      <c r="CO82" s="319"/>
      <c r="CP82" s="319"/>
      <c r="CQ82" s="319"/>
      <c r="CR82" s="319"/>
      <c r="CS82" s="319"/>
      <c r="CT82" s="245"/>
      <c r="CU82" s="319"/>
      <c r="CV82" s="319"/>
      <c r="CW82" s="319"/>
      <c r="CX82" s="319"/>
      <c r="CY82" s="319"/>
      <c r="CZ82" s="319"/>
      <c r="DA82" s="319"/>
      <c r="DB82" s="319"/>
      <c r="DC82" s="319"/>
      <c r="DD82" s="319"/>
      <c r="DE82" s="319"/>
      <c r="DF82" s="319"/>
      <c r="DG82" s="245"/>
      <c r="DH82" s="319"/>
      <c r="DI82" s="319"/>
      <c r="DJ82" s="245"/>
      <c r="DK82" s="319"/>
      <c r="DL82" s="319"/>
      <c r="DM82" s="319"/>
      <c r="DN82" s="319"/>
      <c r="DO82" s="319"/>
      <c r="DP82" s="319"/>
      <c r="DQ82" s="319"/>
      <c r="DR82" s="319"/>
      <c r="DS82" s="319"/>
      <c r="DT82" s="319"/>
      <c r="DU82" s="420">
        <f t="shared" si="32"/>
        <v>0</v>
      </c>
      <c r="DV82" s="139"/>
      <c r="DW82" s="319"/>
      <c r="DX82" s="326"/>
      <c r="DY82" s="319"/>
      <c r="DZ82" s="319"/>
      <c r="EA82" s="319"/>
      <c r="EB82" s="319"/>
      <c r="EC82" s="319"/>
      <c r="ED82" s="319"/>
      <c r="EE82" s="319"/>
      <c r="EF82" s="345"/>
      <c r="EG82" s="345"/>
      <c r="EH82" s="345"/>
      <c r="EI82" s="345"/>
      <c r="EJ82" s="345"/>
      <c r="EK82" s="345"/>
      <c r="EL82" s="345"/>
      <c r="EM82" s="345"/>
      <c r="EN82" s="345"/>
      <c r="EO82" s="345"/>
      <c r="EP82" s="345"/>
      <c r="EQ82" s="345"/>
      <c r="ER82" s="345"/>
      <c r="ES82" s="345"/>
      <c r="ET82" s="345"/>
      <c r="EU82" s="345"/>
      <c r="EV82" s="345"/>
      <c r="EW82" s="345"/>
      <c r="EX82" s="345"/>
      <c r="EY82" s="345"/>
      <c r="EZ82" s="345"/>
      <c r="FA82" s="345"/>
      <c r="FB82" s="345"/>
      <c r="FC82" s="345"/>
      <c r="FD82" s="345"/>
      <c r="FE82" s="345"/>
      <c r="FF82" s="345"/>
      <c r="FG82" s="345"/>
      <c r="FH82" s="345"/>
      <c r="FI82" s="345"/>
      <c r="FJ82" s="345"/>
      <c r="FK82" s="345"/>
      <c r="FL82" s="345"/>
      <c r="FM82" s="345"/>
      <c r="FN82" s="345"/>
      <c r="FO82" s="345"/>
      <c r="FP82" s="345"/>
      <c r="FQ82" s="345"/>
      <c r="FR82" s="345"/>
      <c r="FS82" s="345"/>
      <c r="FT82" s="345"/>
      <c r="FU82" s="345"/>
      <c r="FV82" s="345"/>
      <c r="FW82" s="345"/>
      <c r="FX82" s="345"/>
      <c r="FY82" s="345"/>
      <c r="FZ82" s="345"/>
      <c r="GA82" s="158">
        <f t="shared" si="33"/>
        <v>0</v>
      </c>
      <c r="GB82" s="116"/>
      <c r="GC82" s="319"/>
      <c r="GD82" s="319"/>
      <c r="GE82" s="319"/>
      <c r="GF82" s="319"/>
      <c r="GG82" s="319"/>
      <c r="GH82" s="319"/>
      <c r="GI82" s="271"/>
      <c r="GJ82" s="271"/>
      <c r="GK82" s="271"/>
      <c r="GL82" s="271"/>
      <c r="GM82" s="272"/>
      <c r="GN82" s="491"/>
      <c r="GO82" s="492">
        <f t="shared" si="34"/>
        <v>0</v>
      </c>
      <c r="GP82" s="500">
        <f t="shared" si="35"/>
        <v>0</v>
      </c>
      <c r="GQ82" s="608">
        <f t="shared" si="36"/>
        <v>0</v>
      </c>
      <c r="GR82" s="628" t="e">
        <f>C82</f>
        <v>#DIV/0!</v>
      </c>
      <c r="GS82" s="239">
        <f t="shared" si="38"/>
        <v>0</v>
      </c>
      <c r="GT82" s="36" t="str">
        <f t="shared" si="39"/>
        <v>ДП60-3/40/плц-233</v>
      </c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</row>
    <row r="83" spans="1:215" ht="15.75" customHeight="1" x14ac:dyDescent="0.3">
      <c r="A83" s="238"/>
      <c r="B83" s="114"/>
      <c r="C83" s="114"/>
      <c r="D83" s="556">
        <f t="shared" ref="D83:I83" si="44">SUM(D9:D17,D19:D36,D38:D58,D60:D82)</f>
        <v>105785.41499999995</v>
      </c>
      <c r="E83" s="556">
        <f t="shared" si="44"/>
        <v>86171.343000000008</v>
      </c>
      <c r="F83" s="556">
        <f t="shared" si="44"/>
        <v>0</v>
      </c>
      <c r="G83" s="1139" t="e">
        <f t="shared" si="44"/>
        <v>#DIV/0!</v>
      </c>
      <c r="H83" s="556">
        <f t="shared" si="44"/>
        <v>188268.88800000001</v>
      </c>
      <c r="I83" s="545">
        <f t="shared" si="44"/>
        <v>197358.08799999993</v>
      </c>
      <c r="J83" s="18"/>
      <c r="K83" s="176"/>
      <c r="L83" s="456"/>
      <c r="M83" s="176"/>
      <c r="N83" s="176"/>
      <c r="O83" s="176"/>
      <c r="P83" s="456"/>
      <c r="Q83" s="456"/>
      <c r="R83" s="456"/>
      <c r="S83" s="456"/>
      <c r="T83" s="456"/>
      <c r="U83" s="456"/>
      <c r="V83" s="456"/>
      <c r="W83" s="456"/>
      <c r="X83" s="456"/>
      <c r="Y83" s="456"/>
      <c r="Z83" s="456"/>
      <c r="AA83" s="456"/>
      <c r="AB83" s="456"/>
      <c r="AC83" s="176"/>
      <c r="AD83" s="456"/>
      <c r="AE83" s="456"/>
      <c r="AF83" s="456"/>
      <c r="AG83" s="456"/>
      <c r="AH83" s="456"/>
      <c r="AI83" s="456"/>
      <c r="AJ83" s="456"/>
      <c r="AK83" s="456"/>
      <c r="AL83" s="456"/>
      <c r="AM83" s="456"/>
      <c r="AN83" s="456"/>
      <c r="AO83" s="456"/>
      <c r="AP83" s="456"/>
      <c r="AQ83" s="456"/>
      <c r="AR83" s="456"/>
      <c r="AS83" s="456"/>
      <c r="AT83" s="176"/>
      <c r="AU83" s="176"/>
      <c r="AV83" s="176"/>
      <c r="AW83" s="456"/>
      <c r="AX83" s="456"/>
      <c r="AY83" s="456"/>
      <c r="AZ83" s="456"/>
      <c r="BA83" s="456"/>
      <c r="BB83" s="456"/>
      <c r="BC83" s="456"/>
      <c r="BD83" s="456"/>
      <c r="BE83" s="456"/>
      <c r="BF83" s="456"/>
      <c r="BG83" s="456"/>
      <c r="BH83" s="456"/>
      <c r="BI83" s="456"/>
      <c r="BJ83" s="176"/>
      <c r="BK83" s="176"/>
      <c r="BL83" s="456"/>
      <c r="BM83" s="456"/>
      <c r="BN83" s="456"/>
      <c r="BO83" s="456"/>
      <c r="BP83" s="176"/>
      <c r="BQ83" s="456"/>
      <c r="BR83" s="176"/>
      <c r="BS83" s="176"/>
      <c r="BT83" s="456"/>
      <c r="BU83" s="456"/>
      <c r="BV83" s="456"/>
      <c r="BW83" s="456"/>
      <c r="BX83" s="456"/>
      <c r="BY83" s="456"/>
      <c r="BZ83" s="456"/>
      <c r="CA83" s="465"/>
      <c r="CB83" s="463"/>
      <c r="CC83" s="456"/>
      <c r="CD83" s="456"/>
      <c r="CE83" s="456"/>
      <c r="CF83" s="456"/>
      <c r="CG83" s="456"/>
      <c r="CH83" s="456"/>
      <c r="CI83" s="456"/>
      <c r="CJ83" s="456"/>
      <c r="CK83" s="176"/>
      <c r="CL83" s="456"/>
      <c r="CM83" s="176"/>
      <c r="CN83" s="176"/>
      <c r="CO83" s="176"/>
      <c r="CP83" s="176"/>
      <c r="CQ83" s="176"/>
      <c r="CR83" s="176"/>
      <c r="CS83" s="176"/>
      <c r="CT83" s="176"/>
      <c r="CU83" s="456"/>
      <c r="CV83" s="456"/>
      <c r="CW83" s="456"/>
      <c r="CX83" s="176"/>
      <c r="CY83" s="456"/>
      <c r="CZ83" s="456"/>
      <c r="DA83" s="176"/>
      <c r="DB83" s="176"/>
      <c r="DC83" s="456"/>
      <c r="DD83" s="456"/>
      <c r="DE83" s="456"/>
      <c r="DF83" s="456"/>
      <c r="DG83" s="456"/>
      <c r="DH83" s="456"/>
      <c r="DI83" s="176"/>
      <c r="DJ83" s="176"/>
      <c r="DK83" s="176"/>
      <c r="DL83" s="456"/>
      <c r="DM83" s="176"/>
      <c r="DN83" s="456"/>
      <c r="DO83" s="176"/>
      <c r="DP83" s="456"/>
      <c r="DQ83" s="456"/>
      <c r="DR83" s="456"/>
      <c r="DS83" s="456"/>
      <c r="DT83" s="556"/>
      <c r="DU83" s="556"/>
      <c r="DV83" s="463"/>
      <c r="DW83" s="456"/>
      <c r="DX83" s="456"/>
      <c r="DY83" s="456"/>
      <c r="DZ83" s="456"/>
      <c r="EA83" s="456"/>
      <c r="EB83" s="456"/>
      <c r="EC83" s="176"/>
      <c r="ED83" s="176"/>
      <c r="EE83" s="176"/>
      <c r="EF83" s="456"/>
      <c r="EG83" s="456"/>
      <c r="EH83" s="456"/>
      <c r="EI83" s="456"/>
      <c r="EJ83" s="456"/>
      <c r="EK83" s="456"/>
      <c r="EL83" s="456"/>
      <c r="EM83" s="456"/>
      <c r="EN83" s="456"/>
      <c r="EO83" s="456"/>
      <c r="EP83" s="456"/>
      <c r="EQ83" s="456"/>
      <c r="ER83" s="456"/>
      <c r="ES83" s="456"/>
      <c r="ET83" s="456"/>
      <c r="EU83" s="456"/>
      <c r="EV83" s="456"/>
      <c r="EW83" s="456"/>
      <c r="EX83" s="456"/>
      <c r="EY83" s="456"/>
      <c r="EZ83" s="456"/>
      <c r="FA83" s="456"/>
      <c r="FB83" s="456"/>
      <c r="FC83" s="456"/>
      <c r="FD83" s="456"/>
      <c r="FE83" s="456"/>
      <c r="FF83" s="456"/>
      <c r="FG83" s="456"/>
      <c r="FH83" s="456"/>
      <c r="FI83" s="456"/>
      <c r="FJ83" s="456"/>
      <c r="FK83" s="456"/>
      <c r="FL83" s="456"/>
      <c r="FM83" s="456"/>
      <c r="FN83" s="456"/>
      <c r="FO83" s="456"/>
      <c r="FP83" s="456"/>
      <c r="FQ83" s="456"/>
      <c r="FR83" s="456"/>
      <c r="FS83" s="456"/>
      <c r="FT83" s="456"/>
      <c r="FU83" s="456"/>
      <c r="FV83" s="456"/>
      <c r="FW83" s="456"/>
      <c r="FX83" s="456"/>
      <c r="FY83" s="456"/>
      <c r="FZ83" s="456"/>
      <c r="GA83" s="463"/>
      <c r="GB83" s="463"/>
      <c r="GC83" s="176"/>
      <c r="GD83" s="456"/>
      <c r="GE83" s="456"/>
      <c r="GF83" s="176"/>
      <c r="GG83" s="176"/>
      <c r="GH83" s="456"/>
      <c r="GI83" s="176"/>
      <c r="GJ83" s="176"/>
      <c r="GK83" s="176"/>
      <c r="GL83" s="176"/>
      <c r="GM83" s="176"/>
      <c r="GN83" s="242">
        <f>SUM(GN9:GN82)</f>
        <v>0</v>
      </c>
      <c r="GO83" s="242">
        <f>SUM(GO9:GO82)</f>
        <v>8106.1925999999994</v>
      </c>
      <c r="GP83" s="242">
        <f>SUM(GP9:GP82)</f>
        <v>189251.89539999992</v>
      </c>
      <c r="GQ83" s="1308">
        <f>SUM(GQ9:GQ17,GQ19:GQ36,GQ38:GQ58,GQ60:GQ82)</f>
        <v>197358.08799999993</v>
      </c>
      <c r="GR83" s="242"/>
      <c r="GS83" s="1308">
        <f>SUM(GS9:GS17,GS19:GS36,GS38:GS58,GS60:GS82)</f>
        <v>86171.343000000008</v>
      </c>
      <c r="GT83" s="120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</row>
    <row r="84" spans="1:215" ht="15" customHeight="1" x14ac:dyDescent="0.3">
      <c r="A84" s="575" t="s">
        <v>572</v>
      </c>
      <c r="B84" s="534"/>
      <c r="C84" s="534"/>
      <c r="D84" s="536"/>
      <c r="E84" s="534"/>
      <c r="F84" s="534"/>
      <c r="H84" s="538"/>
      <c r="I84" s="538"/>
      <c r="J84" s="539"/>
      <c r="K84" s="622">
        <f>158.568*3</f>
        <v>475.70400000000006</v>
      </c>
      <c r="L84" s="622">
        <v>122.767</v>
      </c>
      <c r="M84" s="622">
        <f>30.24*5</f>
        <v>151.19999999999999</v>
      </c>
      <c r="N84" s="622">
        <f>170.911*5</f>
        <v>854.55500000000006</v>
      </c>
      <c r="O84" s="622">
        <f>77.756*2.7</f>
        <v>209.94120000000001</v>
      </c>
      <c r="P84" s="622">
        <f>184.878*2.4</f>
        <v>443.70719999999994</v>
      </c>
      <c r="Q84" s="622">
        <f>69.454*0.6</f>
        <v>41.672399999999996</v>
      </c>
      <c r="R84" s="622">
        <v>40.320999999999998</v>
      </c>
      <c r="S84" s="622">
        <f>155.683*7.5</f>
        <v>1167.6224999999999</v>
      </c>
      <c r="T84" s="622">
        <f>97.448*3.5</f>
        <v>341.06799999999998</v>
      </c>
      <c r="U84" s="622">
        <f>361.084*0.6</f>
        <v>216.65039999999999</v>
      </c>
      <c r="V84" s="622">
        <f>87.66*1.6</f>
        <v>140.256</v>
      </c>
      <c r="W84" s="622">
        <f>66.561*0.6</f>
        <v>39.936600000000006</v>
      </c>
      <c r="X84" s="622">
        <f>97.448*3</f>
        <v>292.34399999999999</v>
      </c>
      <c r="Y84" s="622">
        <f>361.084</f>
        <v>361.084</v>
      </c>
      <c r="Z84" s="622">
        <v>57.128</v>
      </c>
      <c r="AA84" s="622">
        <f>134.434*0.9</f>
        <v>120.9906</v>
      </c>
      <c r="AB84" s="622">
        <f>155.683*3</f>
        <v>467.04899999999998</v>
      </c>
      <c r="AC84" s="622">
        <f>158.568*2</f>
        <v>317.13600000000002</v>
      </c>
      <c r="AD84" s="622">
        <f>47.095*5</f>
        <v>235.47499999999999</v>
      </c>
      <c r="AE84" s="622">
        <f>363.725*1.3</f>
        <v>472.84250000000003</v>
      </c>
      <c r="AF84" s="622">
        <f>385.364*0.6</f>
        <v>231.21839999999997</v>
      </c>
      <c r="AG84" s="622">
        <v>24.826000000000001</v>
      </c>
      <c r="AH84" s="622">
        <f>108.605*2</f>
        <v>217.21</v>
      </c>
      <c r="AI84" s="622">
        <f>108.605*8</f>
        <v>868.84</v>
      </c>
      <c r="AJ84" s="622">
        <f>90.272*1.4</f>
        <v>126.38079999999999</v>
      </c>
      <c r="AK84" s="622">
        <v>83.608000000000004</v>
      </c>
      <c r="AL84" s="622">
        <v>2</v>
      </c>
      <c r="AM84" s="622">
        <f>76.892*3</f>
        <v>230.67599999999999</v>
      </c>
      <c r="AN84" s="622">
        <v>432.11200000000002</v>
      </c>
      <c r="AO84" s="622">
        <v>59.081000000000003</v>
      </c>
      <c r="AP84" s="622">
        <f>30.24*0.3</f>
        <v>9.0719999999999992</v>
      </c>
      <c r="AQ84" s="622">
        <v>376.81</v>
      </c>
      <c r="AR84" s="622">
        <v>166.99299999999999</v>
      </c>
      <c r="AS84" s="622">
        <v>159.101</v>
      </c>
      <c r="AT84" s="622">
        <f>717.318*3.6</f>
        <v>2582.3447999999999</v>
      </c>
      <c r="AU84" s="622">
        <f>638.279*9</f>
        <v>5744.5110000000004</v>
      </c>
      <c r="AV84" s="622">
        <f>776.387*2.3</f>
        <v>1785.6900999999998</v>
      </c>
      <c r="AW84" s="622">
        <v>1092.442</v>
      </c>
      <c r="AX84" s="622">
        <f>38.079*5</f>
        <v>190.39500000000001</v>
      </c>
      <c r="AY84" s="622">
        <v>70.052999999999997</v>
      </c>
      <c r="AZ84" s="622">
        <v>100.85</v>
      </c>
      <c r="BA84" s="622">
        <f>134.236</f>
        <v>134.23599999999999</v>
      </c>
      <c r="BB84" s="622">
        <f>367.874*1.5</f>
        <v>551.81100000000004</v>
      </c>
      <c r="BC84" s="622">
        <f>549.796/1.2*0.3</f>
        <v>137.44900000000001</v>
      </c>
      <c r="BD84" s="622">
        <f>(0.027+0.037+0.006+257.07)/0.3*0.1</f>
        <v>85.713333333333338</v>
      </c>
      <c r="BE84" s="622">
        <v>35.677999999999997</v>
      </c>
      <c r="BF84" s="622">
        <f>166.993/0.6*0.7</f>
        <v>194.82516666666666</v>
      </c>
      <c r="BG84" s="622">
        <v>20.16</v>
      </c>
      <c r="BH84" s="622">
        <f>30.24*0.6</f>
        <v>18.143999999999998</v>
      </c>
      <c r="BI84" s="622">
        <v>343.47800000000001</v>
      </c>
      <c r="BJ84" s="1238">
        <f>3933.279/8*1.8</f>
        <v>884.98777500000006</v>
      </c>
      <c r="BK84" s="1238">
        <f>3933.279/8*1.5</f>
        <v>737.48981249999997</v>
      </c>
      <c r="BL84" s="622">
        <v>166.99299999999999</v>
      </c>
      <c r="BM84" s="622">
        <f>385.364*0.6</f>
        <v>231.21839999999997</v>
      </c>
      <c r="BN84" s="622">
        <f>609.003*0.6</f>
        <v>365.40180000000004</v>
      </c>
      <c r="BO84" s="622">
        <f>20.16*5</f>
        <v>100.8</v>
      </c>
      <c r="BP84" s="1238">
        <f>3933.279/8*4.7</f>
        <v>2310.8014125</v>
      </c>
      <c r="BQ84" s="622">
        <v>248.72399999999999</v>
      </c>
      <c r="BR84" s="1238">
        <f>660.684/0.9*0.8</f>
        <v>587.27466666666658</v>
      </c>
      <c r="BS84" s="534">
        <f>610.237*4</f>
        <v>2440.9479999999999</v>
      </c>
      <c r="BT84" s="622">
        <f>30.24*1.2</f>
        <v>36.287999999999997</v>
      </c>
      <c r="BU84" s="622">
        <f>543.688*0.4</f>
        <v>217.4752</v>
      </c>
      <c r="BV84" s="622">
        <v>25.048999999999999</v>
      </c>
      <c r="BW84" s="622">
        <f>75.682*3</f>
        <v>227.04599999999999</v>
      </c>
      <c r="BX84" s="622">
        <v>9.0869999999999997</v>
      </c>
      <c r="BY84" s="622">
        <f>155.683*3.8</f>
        <v>591.59539999999993</v>
      </c>
      <c r="BZ84" s="622">
        <f>361.084*0.5</f>
        <v>180.542</v>
      </c>
      <c r="CA84" s="541"/>
      <c r="CB84" s="541"/>
      <c r="CC84" s="622">
        <f>184.878*2.4</f>
        <v>443.70719999999994</v>
      </c>
      <c r="CD84" s="622">
        <v>20.16</v>
      </c>
      <c r="CE84" s="622">
        <f>66.561*0.6</f>
        <v>39.936600000000006</v>
      </c>
      <c r="CF84" s="622">
        <f>90.272*1.8</f>
        <v>162.48960000000002</v>
      </c>
      <c r="CG84" s="622">
        <f>71.247*1.3</f>
        <v>92.621099999999998</v>
      </c>
      <c r="CH84" s="622">
        <v>343.47800000000001</v>
      </c>
      <c r="CI84" s="622">
        <f>134.434*0.9</f>
        <v>120.9906</v>
      </c>
      <c r="CJ84" s="622">
        <f>351.34*1.3</f>
        <v>456.74199999999996</v>
      </c>
      <c r="CK84" s="622">
        <f>158.568*5</f>
        <v>792.84</v>
      </c>
      <c r="CL84" s="622">
        <f>107.384/0.3*0.2</f>
        <v>71.589333333333329</v>
      </c>
      <c r="CM84" s="622">
        <f>61.066*5</f>
        <v>305.33000000000004</v>
      </c>
      <c r="CN84" s="622">
        <v>1349.5119999999999</v>
      </c>
      <c r="CO84" s="622">
        <f>155.635*6</f>
        <v>933.81</v>
      </c>
      <c r="CP84" s="622">
        <f>462.438/1.2*0.6</f>
        <v>231.21899999999999</v>
      </c>
      <c r="CQ84" s="622">
        <f>356.885*2</f>
        <v>713.77</v>
      </c>
      <c r="CR84" s="622">
        <v>166.994</v>
      </c>
      <c r="CS84" s="622">
        <f>172.073*5</f>
        <v>860.36500000000001</v>
      </c>
      <c r="CT84" s="622">
        <f>20.16*5</f>
        <v>100.8</v>
      </c>
      <c r="CU84" s="622">
        <v>201.59399999999999</v>
      </c>
      <c r="CV84" s="622">
        <v>152.31800000000001</v>
      </c>
      <c r="CW84" s="622">
        <v>70.052999999999997</v>
      </c>
      <c r="CX84" s="622">
        <f>30.24*1.2</f>
        <v>36.287999999999997</v>
      </c>
      <c r="CY84" s="622">
        <f>551.81/1.5*0.5</f>
        <v>183.93666666666664</v>
      </c>
      <c r="CZ84" s="622">
        <v>551.81100000000004</v>
      </c>
      <c r="DA84" s="622">
        <v>361.12900000000002</v>
      </c>
      <c r="DB84" s="622">
        <v>181.58600000000001</v>
      </c>
      <c r="DC84" s="622">
        <v>104.419</v>
      </c>
      <c r="DD84" s="622">
        <f>50.4*7</f>
        <v>352.8</v>
      </c>
      <c r="DE84" s="622">
        <f>50.4*3</f>
        <v>151.19999999999999</v>
      </c>
      <c r="DF84" s="622">
        <f>534.147*1.5</f>
        <v>801.22050000000013</v>
      </c>
      <c r="DG84" s="622">
        <v>245.398</v>
      </c>
      <c r="DH84" s="622">
        <v>18.239999999999998</v>
      </c>
      <c r="DI84" s="622">
        <v>60.481000000000002</v>
      </c>
      <c r="DJ84" s="540">
        <v>20.16</v>
      </c>
      <c r="DK84" s="622">
        <f>155.635*5</f>
        <v>778.17499999999995</v>
      </c>
      <c r="DL84" s="622">
        <v>608.98500000000001</v>
      </c>
      <c r="DM84" s="622">
        <f>155.636*7</f>
        <v>1089.452</v>
      </c>
      <c r="DN84" s="622">
        <f>30.038*1.5</f>
        <v>45.057000000000002</v>
      </c>
      <c r="DO84" s="622">
        <f>278.121*1.2</f>
        <v>333.74519999999995</v>
      </c>
      <c r="DP84" s="622">
        <f>98.769*1.5</f>
        <v>148.15350000000001</v>
      </c>
      <c r="DQ84" s="622">
        <f>90.248*1.7</f>
        <v>153.42160000000001</v>
      </c>
      <c r="DR84" s="622">
        <f>361.156*0.3</f>
        <v>108.3468</v>
      </c>
      <c r="DS84" s="622">
        <f>30.24*0.3</f>
        <v>9.0719999999999992</v>
      </c>
      <c r="DT84" s="622">
        <f>50.4*5</f>
        <v>252</v>
      </c>
      <c r="DU84" s="541"/>
      <c r="DV84" s="541"/>
      <c r="DW84" s="622">
        <f>184.677*2.4</f>
        <v>443.22479999999996</v>
      </c>
      <c r="DX84" s="622">
        <f>352.334*1.3</f>
        <v>458.0342</v>
      </c>
      <c r="DY84" s="622">
        <f>98.769*1.5</f>
        <v>148.15350000000001</v>
      </c>
      <c r="DZ84" s="622">
        <v>344.16899999999998</v>
      </c>
      <c r="EA84" s="622">
        <f>158.368*5</f>
        <v>791.83999999999992</v>
      </c>
      <c r="EB84" s="622">
        <f>234.58*3</f>
        <v>703.74</v>
      </c>
      <c r="EC84" s="622">
        <f>357.289*2</f>
        <v>714.57799999999997</v>
      </c>
      <c r="ED84" s="622">
        <f>30.24*1.5</f>
        <v>45.36</v>
      </c>
      <c r="EE84" s="622">
        <f>608.962*1.8</f>
        <v>1096.1315999999999</v>
      </c>
      <c r="EF84" s="540"/>
      <c r="EG84" s="540"/>
      <c r="EH84" s="540"/>
      <c r="EI84" s="540"/>
      <c r="EJ84" s="540"/>
      <c r="EK84" s="540"/>
      <c r="EL84" s="540"/>
      <c r="EM84" s="540"/>
      <c r="EN84" s="540"/>
      <c r="EO84" s="540"/>
      <c r="EP84" s="540"/>
      <c r="EQ84" s="540"/>
      <c r="ER84" s="540"/>
      <c r="ES84" s="540"/>
      <c r="ET84" s="540"/>
      <c r="EU84" s="540"/>
      <c r="EV84" s="540"/>
      <c r="EW84" s="540"/>
      <c r="EX84" s="540"/>
      <c r="EY84" s="540"/>
      <c r="EZ84" s="540"/>
      <c r="FA84" s="540"/>
      <c r="FB84" s="540"/>
      <c r="FC84" s="540"/>
      <c r="FD84" s="540"/>
      <c r="FE84" s="540"/>
      <c r="FF84" s="540"/>
      <c r="FG84" s="540"/>
      <c r="FH84" s="540"/>
      <c r="FI84" s="540"/>
      <c r="FJ84" s="540"/>
      <c r="FK84" s="540"/>
      <c r="FL84" s="540"/>
      <c r="FM84" s="540"/>
      <c r="FN84" s="540"/>
      <c r="FO84" s="540"/>
      <c r="FP84" s="540"/>
      <c r="FQ84" s="540"/>
      <c r="FR84" s="540"/>
      <c r="FS84" s="540"/>
      <c r="FT84" s="540"/>
      <c r="FU84" s="540"/>
      <c r="FV84" s="540"/>
      <c r="FW84" s="540"/>
      <c r="FX84" s="540"/>
      <c r="FY84" s="540"/>
      <c r="FZ84" s="540"/>
      <c r="GA84" s="541"/>
      <c r="GB84" s="541"/>
      <c r="GC84" s="540"/>
      <c r="GD84" s="622">
        <f>30.073*0.9</f>
        <v>27.0657</v>
      </c>
      <c r="GE84" s="622">
        <f>63.429*0.9</f>
        <v>57.086100000000002</v>
      </c>
      <c r="GF84" s="622">
        <f>60.529*3</f>
        <v>181.58700000000002</v>
      </c>
      <c r="GG84" s="622">
        <f>385.364*1.2</f>
        <v>462.43679999999995</v>
      </c>
      <c r="GH84" s="622">
        <f>79.211*3</f>
        <v>237.63299999999998</v>
      </c>
      <c r="GJ84" s="1238"/>
      <c r="GK84" s="1238"/>
      <c r="GL84" s="534"/>
      <c r="GV84" s="535"/>
      <c r="GW84" s="535"/>
      <c r="GX84" s="535"/>
      <c r="GY84" s="535"/>
      <c r="GZ84" s="535"/>
      <c r="HA84" s="535"/>
      <c r="HB84" s="535"/>
      <c r="HC84" s="535"/>
      <c r="HD84" s="535"/>
      <c r="HE84" s="535"/>
      <c r="HF84" s="535"/>
      <c r="HG84" s="535"/>
    </row>
    <row r="85" spans="1:215" ht="15" customHeight="1" x14ac:dyDescent="0.3">
      <c r="A85" s="533" t="s">
        <v>163</v>
      </c>
      <c r="B85" s="534"/>
      <c r="C85" s="534"/>
      <c r="D85" s="536"/>
      <c r="E85" s="534"/>
      <c r="F85" s="534"/>
      <c r="H85" s="538"/>
      <c r="I85" s="538"/>
      <c r="J85" s="539"/>
      <c r="K85" s="540">
        <f t="shared" ref="K85:AP85" si="45">SUM(K9:K84)/K8</f>
        <v>1007.9990000000001</v>
      </c>
      <c r="L85" s="540">
        <f t="shared" si="45"/>
        <v>1007.9983333333333</v>
      </c>
      <c r="M85" s="540">
        <f t="shared" si="45"/>
        <v>1008</v>
      </c>
      <c r="N85" s="540">
        <f t="shared" si="45"/>
        <v>1008.001</v>
      </c>
      <c r="O85" s="540">
        <f t="shared" si="45"/>
        <v>1008.0020000000001</v>
      </c>
      <c r="P85" s="540">
        <f t="shared" si="45"/>
        <v>1007.999</v>
      </c>
      <c r="Q85" s="540">
        <f t="shared" si="45"/>
        <v>1007.9999999999998</v>
      </c>
      <c r="R85" s="540">
        <f t="shared" si="45"/>
        <v>1007.9994999999999</v>
      </c>
      <c r="S85" s="540">
        <f t="shared" si="45"/>
        <v>1008.0010000000002</v>
      </c>
      <c r="T85" s="540">
        <f t="shared" si="45"/>
        <v>1007.999</v>
      </c>
      <c r="U85" s="540">
        <f t="shared" si="45"/>
        <v>1007.9990000000003</v>
      </c>
      <c r="V85" s="540">
        <f t="shared" si="45"/>
        <v>1007.9999999999999</v>
      </c>
      <c r="W85" s="540">
        <f t="shared" si="45"/>
        <v>1008.0020000000002</v>
      </c>
      <c r="X85" s="540">
        <f t="shared" si="45"/>
        <v>1007.9989999999999</v>
      </c>
      <c r="Y85" s="540">
        <f t="shared" si="45"/>
        <v>1007.999</v>
      </c>
      <c r="Z85" s="540">
        <f t="shared" si="45"/>
        <v>1007.9983333333336</v>
      </c>
      <c r="AA85" s="540">
        <f t="shared" si="45"/>
        <v>1008.0009999999997</v>
      </c>
      <c r="AB85" s="540">
        <f t="shared" si="45"/>
        <v>1008.0009999999999</v>
      </c>
      <c r="AC85" s="540">
        <f t="shared" si="45"/>
        <v>1007.9989999999999</v>
      </c>
      <c r="AD85" s="540">
        <f t="shared" si="45"/>
        <v>1007.9980000000002</v>
      </c>
      <c r="AE85" s="540">
        <f t="shared" si="45"/>
        <v>1007.998</v>
      </c>
      <c r="AF85" s="540">
        <f t="shared" si="45"/>
        <v>1008.0010000000001</v>
      </c>
      <c r="AG85" s="540">
        <f t="shared" si="45"/>
        <v>1007.9977777777777</v>
      </c>
      <c r="AH85" s="540">
        <f t="shared" si="45"/>
        <v>1008.002</v>
      </c>
      <c r="AI85" s="540">
        <f t="shared" si="45"/>
        <v>1008.002</v>
      </c>
      <c r="AJ85" s="540">
        <f t="shared" si="45"/>
        <v>1008.001</v>
      </c>
      <c r="AK85" s="540">
        <f t="shared" si="45"/>
        <v>1008</v>
      </c>
      <c r="AL85" s="540">
        <f t="shared" si="45"/>
        <v>1008.01</v>
      </c>
      <c r="AM85" s="540">
        <f t="shared" si="45"/>
        <v>1008.0000000000001</v>
      </c>
      <c r="AN85" s="540">
        <f t="shared" si="45"/>
        <v>1008.0030000000002</v>
      </c>
      <c r="AO85" s="540">
        <f t="shared" si="45"/>
        <v>1007.9989999999999</v>
      </c>
      <c r="AP85" s="540">
        <f t="shared" si="45"/>
        <v>1007.9990000000003</v>
      </c>
      <c r="AQ85" s="540">
        <f t="shared" ref="AQ85:BV85" si="46">SUM(AQ9:AQ84)/AQ8</f>
        <v>1005.915</v>
      </c>
      <c r="AR85" s="540">
        <f t="shared" si="46"/>
        <v>1007.9983333333333</v>
      </c>
      <c r="AS85" s="540">
        <f t="shared" si="46"/>
        <v>1008.0000000000001</v>
      </c>
      <c r="AT85" s="540">
        <f t="shared" si="46"/>
        <v>1007.9999999999999</v>
      </c>
      <c r="AU85" s="540">
        <f t="shared" si="46"/>
        <v>1008.001</v>
      </c>
      <c r="AV85" s="540">
        <f t="shared" si="46"/>
        <v>1007.9999999999999</v>
      </c>
      <c r="AW85" s="540">
        <f t="shared" si="46"/>
        <v>1007.9994999999999</v>
      </c>
      <c r="AX85" s="540">
        <f t="shared" si="46"/>
        <v>1007.999</v>
      </c>
      <c r="AY85" s="540">
        <f t="shared" si="46"/>
        <v>1007.9999999999999</v>
      </c>
      <c r="AZ85" s="540">
        <f t="shared" si="46"/>
        <v>1008.0003333333331</v>
      </c>
      <c r="BA85" s="540">
        <f t="shared" si="46"/>
        <v>1008.001</v>
      </c>
      <c r="BB85" s="540">
        <f t="shared" si="46"/>
        <v>1008</v>
      </c>
      <c r="BC85" s="540">
        <f t="shared" si="46"/>
        <v>1008.0008333333335</v>
      </c>
      <c r="BD85" s="540">
        <f t="shared" si="46"/>
        <v>1007.9933333333333</v>
      </c>
      <c r="BE85" s="540">
        <f t="shared" si="46"/>
        <v>1007.9999999999998</v>
      </c>
      <c r="BF85" s="540">
        <f t="shared" si="46"/>
        <v>1007.9983333333336</v>
      </c>
      <c r="BG85" s="540">
        <f t="shared" si="46"/>
        <v>1007.9999999999999</v>
      </c>
      <c r="BH85" s="540">
        <f t="shared" si="46"/>
        <v>1008</v>
      </c>
      <c r="BI85" s="540">
        <f t="shared" si="46"/>
        <v>1008</v>
      </c>
      <c r="BJ85" s="540">
        <f t="shared" si="46"/>
        <v>1008</v>
      </c>
      <c r="BK85" s="540">
        <f t="shared" si="46"/>
        <v>1008</v>
      </c>
      <c r="BL85" s="540">
        <f t="shared" si="46"/>
        <v>1007.9983333333333</v>
      </c>
      <c r="BM85" s="540">
        <f t="shared" si="46"/>
        <v>1008.0010000000001</v>
      </c>
      <c r="BN85" s="540">
        <f t="shared" si="46"/>
        <v>1008.0000000000001</v>
      </c>
      <c r="BO85" s="540">
        <f t="shared" si="46"/>
        <v>1008</v>
      </c>
      <c r="BP85" s="540">
        <f t="shared" si="46"/>
        <v>1008</v>
      </c>
      <c r="BQ85" s="540">
        <f t="shared" si="46"/>
        <v>1008</v>
      </c>
      <c r="BR85" s="540">
        <f t="shared" si="46"/>
        <v>1007.9988888888887</v>
      </c>
      <c r="BS85" s="540">
        <f t="shared" si="46"/>
        <v>1007.9999999999998</v>
      </c>
      <c r="BT85" s="540">
        <f t="shared" si="46"/>
        <v>1008</v>
      </c>
      <c r="BU85" s="540">
        <f t="shared" si="46"/>
        <v>1007.9999999999999</v>
      </c>
      <c r="BV85" s="540">
        <f t="shared" si="46"/>
        <v>1007.9950000000001</v>
      </c>
      <c r="BW85" s="540">
        <f t="shared" ref="BW85:BZ85" si="47">SUM(BW9:BW84)/BW8</f>
        <v>1008.0000000000001</v>
      </c>
      <c r="BX85" s="540">
        <f t="shared" si="47"/>
        <v>1007.9991666666666</v>
      </c>
      <c r="BY85" s="540">
        <f t="shared" si="47"/>
        <v>1008.0009999999999</v>
      </c>
      <c r="BZ85" s="540">
        <f t="shared" si="47"/>
        <v>1007.999</v>
      </c>
      <c r="CA85" s="541"/>
      <c r="CB85" s="541"/>
      <c r="CC85" s="540">
        <f t="shared" ref="CC85:DT85" si="48">SUM(CC9:CC84)/CC8</f>
        <v>1007.999</v>
      </c>
      <c r="CD85" s="540">
        <f t="shared" si="48"/>
        <v>1007.9999999999999</v>
      </c>
      <c r="CE85" s="540">
        <f t="shared" si="48"/>
        <v>1008.0020000000002</v>
      </c>
      <c r="CF85" s="540">
        <f t="shared" si="48"/>
        <v>1008.001</v>
      </c>
      <c r="CG85" s="540">
        <f t="shared" si="48"/>
        <v>1008</v>
      </c>
      <c r="CH85" s="540">
        <f t="shared" si="48"/>
        <v>1008</v>
      </c>
      <c r="CI85" s="540">
        <f t="shared" si="48"/>
        <v>1008.0009999999997</v>
      </c>
      <c r="CJ85" s="540">
        <f t="shared" si="48"/>
        <v>1007.9989999999999</v>
      </c>
      <c r="CK85" s="540">
        <f t="shared" si="48"/>
        <v>1007.999</v>
      </c>
      <c r="CL85" s="540">
        <f t="shared" si="48"/>
        <v>1008.0066666666667</v>
      </c>
      <c r="CM85" s="540">
        <f t="shared" si="48"/>
        <v>1008</v>
      </c>
      <c r="CN85" s="540">
        <f t="shared" si="48"/>
        <v>1007.9999999999997</v>
      </c>
      <c r="CO85" s="540">
        <f t="shared" si="48"/>
        <v>1008</v>
      </c>
      <c r="CP85" s="540">
        <f t="shared" si="48"/>
        <v>1008</v>
      </c>
      <c r="CQ85" s="540">
        <f t="shared" si="48"/>
        <v>1008</v>
      </c>
      <c r="CR85" s="540">
        <f t="shared" si="48"/>
        <v>1008</v>
      </c>
      <c r="CS85" s="540">
        <f t="shared" si="48"/>
        <v>1008</v>
      </c>
      <c r="CT85" s="540">
        <f t="shared" si="48"/>
        <v>1008</v>
      </c>
      <c r="CU85" s="540">
        <f t="shared" si="48"/>
        <v>1008.0009999999999</v>
      </c>
      <c r="CV85" s="540">
        <f t="shared" si="48"/>
        <v>1007.9995</v>
      </c>
      <c r="CW85" s="540">
        <f t="shared" si="48"/>
        <v>1007.9999999999999</v>
      </c>
      <c r="CX85" s="540">
        <f t="shared" si="48"/>
        <v>1008</v>
      </c>
      <c r="CY85" s="540">
        <f t="shared" si="48"/>
        <v>1008</v>
      </c>
      <c r="CZ85" s="540">
        <f t="shared" si="48"/>
        <v>1008</v>
      </c>
      <c r="DA85" s="540">
        <f t="shared" si="48"/>
        <v>1008.0000000000001</v>
      </c>
      <c r="DB85" s="540">
        <f t="shared" si="48"/>
        <v>1008</v>
      </c>
      <c r="DC85" s="540">
        <f t="shared" si="48"/>
        <v>1008.0003333333333</v>
      </c>
      <c r="DD85" s="540">
        <f t="shared" si="48"/>
        <v>1008.001</v>
      </c>
      <c r="DE85" s="540">
        <f t="shared" si="48"/>
        <v>1008.0009999999999</v>
      </c>
      <c r="DF85" s="540">
        <f t="shared" si="48"/>
        <v>1008</v>
      </c>
      <c r="DG85" s="540">
        <f t="shared" si="48"/>
        <v>1008</v>
      </c>
      <c r="DH85" s="540">
        <f t="shared" si="48"/>
        <v>1008.0033333333336</v>
      </c>
      <c r="DI85" s="540">
        <f t="shared" si="48"/>
        <v>1008.0000000000001</v>
      </c>
      <c r="DJ85" s="540">
        <f t="shared" si="48"/>
        <v>1007.9999999999999</v>
      </c>
      <c r="DK85" s="540">
        <f t="shared" si="48"/>
        <v>1008</v>
      </c>
      <c r="DL85" s="540">
        <f t="shared" si="48"/>
        <v>1008</v>
      </c>
      <c r="DM85" s="540">
        <f t="shared" si="48"/>
        <v>1007.9999999999999</v>
      </c>
      <c r="DN85" s="540">
        <f t="shared" si="48"/>
        <v>1008.0000000000001</v>
      </c>
      <c r="DO85" s="540">
        <f t="shared" si="48"/>
        <v>1008.0009999999997</v>
      </c>
      <c r="DP85" s="540">
        <f t="shared" si="48"/>
        <v>1007.9989999999998</v>
      </c>
      <c r="DQ85" s="540">
        <f t="shared" si="48"/>
        <v>1008.0020000000003</v>
      </c>
      <c r="DR85" s="540">
        <f t="shared" si="48"/>
        <v>1008.0010000000001</v>
      </c>
      <c r="DS85" s="540">
        <f t="shared" si="48"/>
        <v>1007.9990000000003</v>
      </c>
      <c r="DT85" s="540">
        <f t="shared" si="48"/>
        <v>1008.0009999999999</v>
      </c>
      <c r="DU85" s="541"/>
      <c r="DV85" s="541"/>
      <c r="DW85" s="540">
        <f>SUM(DW9:DW84)/DW8</f>
        <v>1007.9990000000003</v>
      </c>
      <c r="DX85" s="540">
        <f>SUM(DX9:DX84)/DX8</f>
        <v>1007.9989999999999</v>
      </c>
      <c r="DY85" s="540">
        <f>SUM(DY9:DY84)/DY8</f>
        <v>1007.9989999999998</v>
      </c>
      <c r="DZ85" s="540">
        <f>SUM(DZ9:DZ84)/DZ8</f>
        <v>1007.9989999999999</v>
      </c>
      <c r="EA85" s="540">
        <f>SUM(EA9:EA84)/EA8</f>
        <v>1008</v>
      </c>
      <c r="EB85" s="540">
        <f t="shared" ref="EB85:EC85" si="49">SUM(EB9:EB84)/EB8</f>
        <v>1008.0009999999999</v>
      </c>
      <c r="EC85" s="540">
        <f t="shared" si="49"/>
        <v>1007.9999999999999</v>
      </c>
      <c r="ED85" s="540">
        <f t="shared" ref="ED85:EE85" si="50">SUM(ED9:ED84)/ED8</f>
        <v>1007.9999999999999</v>
      </c>
      <c r="EE85" s="540">
        <f t="shared" si="50"/>
        <v>1008</v>
      </c>
      <c r="EF85" s="540"/>
      <c r="EG85" s="540"/>
      <c r="EH85" s="540"/>
      <c r="EI85" s="540"/>
      <c r="EJ85" s="540"/>
      <c r="EK85" s="540"/>
      <c r="EL85" s="540"/>
      <c r="EM85" s="540"/>
      <c r="EN85" s="540"/>
      <c r="EO85" s="540"/>
      <c r="EP85" s="540"/>
      <c r="EQ85" s="540"/>
      <c r="ER85" s="540"/>
      <c r="ES85" s="540"/>
      <c r="ET85" s="540"/>
      <c r="EU85" s="540"/>
      <c r="EV85" s="540"/>
      <c r="EW85" s="540"/>
      <c r="EX85" s="540"/>
      <c r="EY85" s="540"/>
      <c r="EZ85" s="540"/>
      <c r="FA85" s="540"/>
      <c r="FB85" s="540"/>
      <c r="FC85" s="540"/>
      <c r="FD85" s="540"/>
      <c r="FE85" s="540"/>
      <c r="FF85" s="540"/>
      <c r="FG85" s="540"/>
      <c r="FH85" s="540"/>
      <c r="FI85" s="540"/>
      <c r="FJ85" s="540"/>
      <c r="FK85" s="540"/>
      <c r="FL85" s="540"/>
      <c r="FM85" s="540"/>
      <c r="FN85" s="540"/>
      <c r="FO85" s="540"/>
      <c r="FP85" s="540"/>
      <c r="FQ85" s="540"/>
      <c r="FR85" s="540"/>
      <c r="FS85" s="540"/>
      <c r="FT85" s="540"/>
      <c r="FU85" s="540"/>
      <c r="FV85" s="540"/>
      <c r="FW85" s="540"/>
      <c r="FX85" s="540"/>
      <c r="FY85" s="540"/>
      <c r="FZ85" s="540"/>
      <c r="GA85" s="541"/>
      <c r="GB85" s="541"/>
      <c r="GC85" s="540"/>
      <c r="GD85" s="540">
        <f t="shared" ref="GD85:GE85" si="51">SUM(GD9:GD84)/GD8</f>
        <v>1007.9989999999999</v>
      </c>
      <c r="GE85" s="540">
        <f t="shared" si="51"/>
        <v>1008.0009999999997</v>
      </c>
      <c r="GF85" s="540">
        <f t="shared" ref="GF85" si="52">SUM(GF9:GF84)/GF8</f>
        <v>1007.9999999999999</v>
      </c>
      <c r="GG85" s="540">
        <f t="shared" ref="GG85:GH85" si="53">SUM(GG9:GG84)/GG8</f>
        <v>1008.0010000000001</v>
      </c>
      <c r="GH85" s="540">
        <f t="shared" si="53"/>
        <v>1008</v>
      </c>
      <c r="GJ85" s="540"/>
      <c r="GK85" s="540"/>
      <c r="GL85" s="540"/>
      <c r="GV85" s="535"/>
      <c r="GW85" s="535"/>
      <c r="GX85" s="535"/>
      <c r="GY85" s="535"/>
      <c r="GZ85" s="535"/>
      <c r="HA85" s="535"/>
      <c r="HB85" s="535"/>
      <c r="HC85" s="535"/>
      <c r="HD85" s="535"/>
      <c r="HE85" s="535"/>
      <c r="HF85" s="535"/>
      <c r="HG85" s="535"/>
    </row>
    <row r="86" spans="1:215" ht="15" customHeight="1" thickBot="1" x14ac:dyDescent="0.35">
      <c r="A86" s="114"/>
      <c r="B86" s="457"/>
      <c r="C86" s="457"/>
      <c r="D86" s="594"/>
      <c r="E86" s="457"/>
      <c r="F86" s="457"/>
      <c r="G86" s="1140"/>
      <c r="H86" s="321"/>
      <c r="I86" s="118"/>
      <c r="J86" s="18"/>
      <c r="K86" s="176"/>
      <c r="L86" s="458"/>
      <c r="M86" s="176"/>
      <c r="N86" s="176"/>
      <c r="O86" s="176"/>
      <c r="P86" s="458"/>
      <c r="Q86" s="458"/>
      <c r="R86" s="458"/>
      <c r="S86" s="458"/>
      <c r="T86" s="458"/>
      <c r="U86" s="458"/>
      <c r="V86" s="458"/>
      <c r="W86" s="458"/>
      <c r="X86" s="458"/>
      <c r="Y86" s="458"/>
      <c r="Z86" s="458"/>
      <c r="AA86" s="458"/>
      <c r="AB86" s="458"/>
      <c r="AC86" s="176"/>
      <c r="AD86" s="458"/>
      <c r="AE86" s="458"/>
      <c r="AF86" s="458"/>
      <c r="AG86" s="458"/>
      <c r="AH86" s="459"/>
      <c r="AI86" s="459"/>
      <c r="AJ86" s="459"/>
      <c r="AK86" s="458"/>
      <c r="AL86" s="458"/>
      <c r="AM86" s="458"/>
      <c r="AN86" s="458"/>
      <c r="AO86" s="459"/>
      <c r="AP86" s="459"/>
      <c r="AQ86" s="458"/>
      <c r="AR86" s="458"/>
      <c r="AS86" s="458"/>
      <c r="AT86" s="176"/>
      <c r="AU86" s="176"/>
      <c r="AV86" s="176"/>
      <c r="AW86" s="458"/>
      <c r="AX86" s="459"/>
      <c r="AY86" s="459"/>
      <c r="AZ86" s="458"/>
      <c r="BA86" s="458"/>
      <c r="BB86" s="459"/>
      <c r="BC86" s="459"/>
      <c r="BD86" s="459"/>
      <c r="BE86" s="459"/>
      <c r="BF86" s="458"/>
      <c r="BG86" s="458"/>
      <c r="BH86" s="458"/>
      <c r="BI86" s="459"/>
      <c r="BL86" s="458"/>
      <c r="BM86" s="458"/>
      <c r="BN86" s="459"/>
      <c r="BO86" s="459"/>
      <c r="BQ86" s="458"/>
      <c r="BT86" s="458"/>
      <c r="BU86" s="458"/>
      <c r="BV86" s="458"/>
      <c r="BW86" s="458"/>
      <c r="BX86" s="458"/>
      <c r="BY86" s="458"/>
      <c r="BZ86" s="458"/>
      <c r="CA86" s="465"/>
      <c r="CB86" s="463"/>
      <c r="CC86" s="458"/>
      <c r="CD86" s="458"/>
      <c r="CE86" s="458"/>
      <c r="CF86" s="459"/>
      <c r="CG86" s="458"/>
      <c r="CH86" s="459"/>
      <c r="CI86" s="458"/>
      <c r="CJ86" s="458"/>
      <c r="CK86" s="176"/>
      <c r="CL86" s="458"/>
      <c r="CM86" s="176"/>
      <c r="CN86" s="176"/>
      <c r="CO86" s="176"/>
      <c r="CP86" s="176"/>
      <c r="CQ86" s="176"/>
      <c r="CR86" s="176"/>
      <c r="CS86" s="176"/>
      <c r="CT86" s="176"/>
      <c r="CU86" s="458"/>
      <c r="CV86" s="459"/>
      <c r="CW86" s="459"/>
      <c r="CX86" s="176"/>
      <c r="CY86" s="459"/>
      <c r="CZ86" s="459"/>
      <c r="DA86" s="176"/>
      <c r="DB86" s="176"/>
      <c r="DC86" s="458"/>
      <c r="DD86" s="458"/>
      <c r="DE86" s="458"/>
      <c r="DF86" s="458"/>
      <c r="DG86" s="458"/>
      <c r="DH86" s="458"/>
      <c r="DI86" s="176"/>
      <c r="DJ86" s="459"/>
      <c r="DK86" s="176"/>
      <c r="DL86" s="458"/>
      <c r="DM86" s="176"/>
      <c r="DN86" s="458"/>
      <c r="DO86" s="176"/>
      <c r="DP86" s="458"/>
      <c r="DQ86" s="458"/>
      <c r="DR86" s="458"/>
      <c r="DS86" s="458"/>
      <c r="DT86" s="458"/>
      <c r="DU86" s="463"/>
      <c r="DV86" s="463"/>
      <c r="DW86" s="458"/>
      <c r="DX86" s="458"/>
      <c r="DY86" s="458"/>
      <c r="DZ86" s="458"/>
      <c r="EA86" s="459"/>
      <c r="EB86" s="458"/>
      <c r="EC86" s="176"/>
      <c r="ED86" s="176"/>
      <c r="EE86" s="176"/>
      <c r="EF86" s="459"/>
      <c r="EG86" s="459"/>
      <c r="EH86" s="459"/>
      <c r="EI86" s="459"/>
      <c r="EJ86" s="459"/>
      <c r="EK86" s="459"/>
      <c r="EL86" s="459"/>
      <c r="EM86" s="459"/>
      <c r="EN86" s="459"/>
      <c r="EO86" s="459"/>
      <c r="EP86" s="459"/>
      <c r="EQ86" s="459"/>
      <c r="ER86" s="459"/>
      <c r="ES86" s="459"/>
      <c r="ET86" s="459"/>
      <c r="EU86" s="459"/>
      <c r="EV86" s="459"/>
      <c r="EW86" s="459"/>
      <c r="EX86" s="459"/>
      <c r="EY86" s="459"/>
      <c r="EZ86" s="459"/>
      <c r="FA86" s="459"/>
      <c r="FB86" s="459"/>
      <c r="FC86" s="459"/>
      <c r="FD86" s="459"/>
      <c r="FE86" s="459"/>
      <c r="FF86" s="459"/>
      <c r="FG86" s="459"/>
      <c r="FH86" s="459"/>
      <c r="FI86" s="459"/>
      <c r="FJ86" s="459"/>
      <c r="FK86" s="459"/>
      <c r="FL86" s="459"/>
      <c r="FM86" s="459"/>
      <c r="FN86" s="459"/>
      <c r="FO86" s="459"/>
      <c r="FP86" s="459"/>
      <c r="FQ86" s="459"/>
      <c r="FR86" s="459"/>
      <c r="FS86" s="459"/>
      <c r="FT86" s="459"/>
      <c r="FU86" s="459"/>
      <c r="FV86" s="459"/>
      <c r="FW86" s="459"/>
      <c r="FX86" s="459"/>
      <c r="FY86" s="459"/>
      <c r="FZ86" s="459"/>
      <c r="GA86" s="463"/>
      <c r="GB86" s="463"/>
      <c r="GC86" s="459"/>
      <c r="GD86" s="459"/>
      <c r="GE86" s="458"/>
      <c r="GF86" s="176"/>
      <c r="GG86" s="176"/>
      <c r="GH86" s="459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</row>
    <row r="87" spans="1:215" ht="15" customHeight="1" thickBot="1" x14ac:dyDescent="0.35">
      <c r="A87" s="114"/>
      <c r="B87" s="114"/>
      <c r="C87" s="114"/>
      <c r="D87" s="509"/>
      <c r="E87" s="114"/>
      <c r="F87" s="114"/>
      <c r="H87" s="1332" t="s">
        <v>66</v>
      </c>
      <c r="I87" s="1333"/>
      <c r="J87" s="18"/>
      <c r="AH87" s="458"/>
      <c r="AI87" s="458"/>
      <c r="AJ87" s="458"/>
      <c r="AO87" s="458"/>
      <c r="AP87" s="458"/>
      <c r="AT87"/>
      <c r="AU87"/>
      <c r="AV87"/>
      <c r="AW87"/>
      <c r="AX87" s="458"/>
      <c r="AY87" s="458"/>
      <c r="BB87" s="458"/>
      <c r="BC87" s="458"/>
      <c r="BD87" s="458"/>
      <c r="BE87" s="458"/>
      <c r="BI87" s="458"/>
      <c r="BJ87" s="176"/>
      <c r="BK87" s="176"/>
      <c r="BN87" s="458"/>
      <c r="BO87" s="458"/>
      <c r="BP87" s="176"/>
      <c r="BR87" s="176"/>
      <c r="BS87" s="176"/>
      <c r="CA87" s="465"/>
      <c r="CB87" s="463"/>
      <c r="CF87" s="458"/>
      <c r="CH87" s="458"/>
      <c r="CV87" s="458"/>
      <c r="CW87" s="458"/>
      <c r="CY87" s="458"/>
      <c r="CZ87" s="458"/>
      <c r="DJ87" s="176"/>
      <c r="DU87" s="463"/>
      <c r="DV87" s="463"/>
      <c r="EA87" s="458"/>
      <c r="EF87" s="458"/>
      <c r="EG87" s="458"/>
      <c r="EH87" s="458"/>
      <c r="EI87" s="458"/>
      <c r="EJ87" s="458"/>
      <c r="EK87" s="458"/>
      <c r="EL87" s="458"/>
      <c r="EM87" s="458"/>
      <c r="EN87" s="458"/>
      <c r="EO87" s="458"/>
      <c r="EP87" s="458"/>
      <c r="EQ87" s="458"/>
      <c r="ER87" s="458"/>
      <c r="ES87" s="458"/>
      <c r="ET87" s="458"/>
      <c r="EU87" s="458"/>
      <c r="EV87" s="458"/>
      <c r="EW87" s="458"/>
      <c r="EX87" s="458"/>
      <c r="EY87" s="458"/>
      <c r="EZ87" s="458"/>
      <c r="FA87" s="458"/>
      <c r="FB87" s="458"/>
      <c r="FC87" s="458"/>
      <c r="FD87" s="458"/>
      <c r="FE87" s="458"/>
      <c r="FF87" s="458"/>
      <c r="FG87" s="458"/>
      <c r="FH87" s="458"/>
      <c r="FI87" s="458"/>
      <c r="FJ87" s="458"/>
      <c r="FK87" s="458"/>
      <c r="FL87" s="458"/>
      <c r="FM87" s="458"/>
      <c r="FN87" s="458"/>
      <c r="FO87" s="458"/>
      <c r="FP87" s="458"/>
      <c r="FQ87" s="458"/>
      <c r="FR87" s="458"/>
      <c r="FS87" s="458"/>
      <c r="FT87" s="458"/>
      <c r="FU87" s="458"/>
      <c r="FV87" s="458"/>
      <c r="FW87" s="458"/>
      <c r="FX87" s="458"/>
      <c r="FY87" s="458"/>
      <c r="FZ87" s="458"/>
      <c r="GA87" s="463"/>
      <c r="GB87" s="463"/>
      <c r="GC87" s="176"/>
      <c r="GD87" s="458"/>
      <c r="GH87" s="458"/>
      <c r="GI87" s="176"/>
      <c r="GJ87" s="176"/>
      <c r="GK87" s="176"/>
      <c r="GL87" s="176"/>
      <c r="GM87" s="176"/>
      <c r="GN87" s="315"/>
      <c r="GO87" s="119"/>
      <c r="GP87" s="114"/>
      <c r="GQ87" s="220"/>
      <c r="GR87" s="114"/>
      <c r="GS87" s="120"/>
      <c r="GT87" s="120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</row>
    <row r="88" spans="1:215" ht="60.75" customHeight="1" thickBot="1" x14ac:dyDescent="0.35">
      <c r="A88" s="1313" t="s">
        <v>65</v>
      </c>
      <c r="B88" s="1314"/>
      <c r="C88" s="568" t="str">
        <f>C6</f>
        <v>среднемесячный расход  за предыдущий квартал</v>
      </c>
      <c r="D88" s="1146" t="str">
        <f>D6</f>
        <v>апрель</v>
      </c>
      <c r="E88" s="1147" t="str">
        <f>E6</f>
        <v>май</v>
      </c>
      <c r="F88" s="1148" t="str">
        <f>F6</f>
        <v>июнь</v>
      </c>
      <c r="G88" s="1141" t="str">
        <f>G5</f>
        <v>СРЕДНЕМЕСЯЧНЫЙ РАСХОД   за текущий квартал</v>
      </c>
      <c r="H88" s="171" t="s">
        <v>69</v>
      </c>
      <c r="I88" s="1153" t="s">
        <v>93</v>
      </c>
      <c r="J88" s="67"/>
      <c r="K88" s="984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65"/>
      <c r="AN88" s="265"/>
      <c r="AO88" s="265"/>
      <c r="AP88" s="265"/>
      <c r="AQ88" s="265"/>
      <c r="AR88" s="265"/>
      <c r="AS88" s="265"/>
      <c r="AT88" s="265"/>
      <c r="AU88" s="265"/>
      <c r="AV88" s="265"/>
      <c r="AW88" s="265"/>
      <c r="AX88" s="265"/>
      <c r="AY88" s="265"/>
      <c r="AZ88" s="265"/>
      <c r="BA88" s="265"/>
      <c r="BB88" s="265"/>
      <c r="BC88" s="265"/>
      <c r="BD88" s="265"/>
      <c r="BE88" s="265"/>
      <c r="BF88" s="265"/>
      <c r="BG88" s="265"/>
      <c r="BH88" s="265"/>
      <c r="BI88" s="265"/>
      <c r="BJ88" s="122"/>
      <c r="BK88" s="122"/>
      <c r="BL88" s="265"/>
      <c r="BM88" s="265"/>
      <c r="BN88" s="265"/>
      <c r="BO88" s="265"/>
      <c r="BP88" s="122"/>
      <c r="BQ88" s="265"/>
      <c r="BR88" s="122"/>
      <c r="BS88" s="122"/>
      <c r="BT88" s="265"/>
      <c r="BU88" s="265"/>
      <c r="BV88" s="265"/>
      <c r="BW88" s="265"/>
      <c r="BX88" s="265"/>
      <c r="BY88" s="265"/>
      <c r="BZ88" s="265"/>
      <c r="CA88" s="670"/>
      <c r="CB88" s="67"/>
      <c r="CC88" s="1261"/>
      <c r="CD88" s="1261"/>
      <c r="CE88" s="1261"/>
      <c r="CF88" s="1261"/>
      <c r="CG88" s="1261"/>
      <c r="CH88" s="1261"/>
      <c r="CI88" s="1261"/>
      <c r="CJ88" s="1261"/>
      <c r="CK88" s="1261"/>
      <c r="CL88" s="1261"/>
      <c r="CM88" s="1261"/>
      <c r="CN88" s="1261"/>
      <c r="CO88" s="1261"/>
      <c r="CP88" s="1261"/>
      <c r="CQ88" s="1261"/>
      <c r="CR88" s="1261"/>
      <c r="CS88" s="1261"/>
      <c r="CT88" s="1261"/>
      <c r="CU88" s="1261"/>
      <c r="CV88" s="1261"/>
      <c r="CW88" s="1261"/>
      <c r="CX88" s="1261"/>
      <c r="CY88" s="1261"/>
      <c r="CZ88" s="1261"/>
      <c r="DA88" s="1261"/>
      <c r="DB88" s="1261"/>
      <c r="DC88" s="1261"/>
      <c r="DD88" s="1261"/>
      <c r="DE88" s="1261"/>
      <c r="DF88" s="1261"/>
      <c r="DG88" s="1261"/>
      <c r="DH88" s="1261"/>
      <c r="DI88" s="1261"/>
      <c r="DJ88" s="265"/>
      <c r="DK88" s="265"/>
      <c r="DL88" s="265"/>
      <c r="DM88" s="265"/>
      <c r="DN88" s="265"/>
      <c r="DO88" s="265"/>
      <c r="DP88" s="265"/>
      <c r="DQ88" s="265"/>
      <c r="DR88" s="265"/>
      <c r="DS88" s="265"/>
      <c r="DT88" s="265"/>
      <c r="DU88" s="670"/>
      <c r="DV88" s="67"/>
      <c r="DW88" s="1261"/>
      <c r="DX88" s="1261"/>
      <c r="DY88" s="265"/>
      <c r="DZ88" s="1261"/>
      <c r="EA88" s="1261"/>
      <c r="EB88" s="1261"/>
      <c r="EC88" s="265"/>
      <c r="ED88" s="265"/>
      <c r="EE88" s="265"/>
      <c r="EF88" s="265"/>
      <c r="EG88" s="265"/>
      <c r="EH88" s="265"/>
      <c r="EI88" s="265"/>
      <c r="EJ88" s="265"/>
      <c r="EK88" s="265"/>
      <c r="EL88" s="265"/>
      <c r="EM88" s="265"/>
      <c r="EN88" s="265"/>
      <c r="EO88" s="265"/>
      <c r="EP88" s="265"/>
      <c r="EQ88" s="265"/>
      <c r="ER88" s="265"/>
      <c r="ES88" s="265"/>
      <c r="ET88" s="265"/>
      <c r="EU88" s="265"/>
      <c r="EV88" s="265"/>
      <c r="EW88" s="265"/>
      <c r="EX88" s="265"/>
      <c r="EY88" s="265"/>
      <c r="EZ88" s="265"/>
      <c r="FA88" s="265"/>
      <c r="FB88" s="265"/>
      <c r="FC88" s="265"/>
      <c r="FD88" s="265"/>
      <c r="FE88" s="265"/>
      <c r="FF88" s="265"/>
      <c r="FG88" s="265"/>
      <c r="FH88" s="265"/>
      <c r="FI88" s="265"/>
      <c r="FJ88" s="265"/>
      <c r="FK88" s="265"/>
      <c r="FL88" s="265"/>
      <c r="FM88" s="265"/>
      <c r="FN88" s="265"/>
      <c r="FO88" s="265"/>
      <c r="FP88" s="265"/>
      <c r="FQ88" s="265"/>
      <c r="FR88" s="265"/>
      <c r="FS88" s="265"/>
      <c r="FT88" s="265"/>
      <c r="FU88" s="265"/>
      <c r="FV88" s="265"/>
      <c r="FW88" s="265"/>
      <c r="FX88" s="265"/>
      <c r="FY88" s="265"/>
      <c r="FZ88" s="265"/>
      <c r="GA88" s="251"/>
      <c r="GB88" s="425"/>
      <c r="GC88" s="265"/>
      <c r="GD88" s="1261"/>
      <c r="GE88" s="1261"/>
      <c r="GF88" s="265"/>
      <c r="GG88" s="265"/>
      <c r="GH88" s="265"/>
      <c r="GI88" s="265"/>
      <c r="GJ88" s="122"/>
      <c r="GK88" s="122"/>
      <c r="GL88" s="122"/>
      <c r="GM88" s="261"/>
      <c r="GN88" s="495"/>
      <c r="GO88" s="222" t="s">
        <v>44</v>
      </c>
      <c r="GP88" s="223" t="s">
        <v>68</v>
      </c>
      <c r="GQ88" s="442" t="s">
        <v>516</v>
      </c>
      <c r="GR88" s="1161" t="str">
        <f>GR5</f>
        <v>среднемесячный расход  за предыдущий квартал</v>
      </c>
      <c r="GS88" s="395" t="s">
        <v>83</v>
      </c>
      <c r="GT88" s="289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</row>
    <row r="89" spans="1:215" ht="31.5" customHeight="1" x14ac:dyDescent="0.3">
      <c r="A89" s="405" t="s">
        <v>428</v>
      </c>
      <c r="B89" s="406" t="s">
        <v>71</v>
      </c>
      <c r="C89" s="304">
        <f>'1_квартал'!G86</f>
        <v>476</v>
      </c>
      <c r="D89" s="617">
        <v>328</v>
      </c>
      <c r="E89" s="295">
        <v>276</v>
      </c>
      <c r="F89" s="599"/>
      <c r="G89" s="1142">
        <f>ROUND(AVERAGE(D89:F89),3)</f>
        <v>302</v>
      </c>
      <c r="H89" s="1149">
        <v>6482</v>
      </c>
      <c r="I89" s="657">
        <f>H89-GA89</f>
        <v>6310</v>
      </c>
      <c r="J89" s="297"/>
      <c r="K89" s="709"/>
      <c r="L89" s="1012"/>
      <c r="M89" s="1012"/>
      <c r="N89" s="1012"/>
      <c r="O89" s="1012"/>
      <c r="P89" s="181"/>
      <c r="Q89" s="954"/>
      <c r="R89" s="954"/>
      <c r="S89" s="954"/>
      <c r="T89" s="954"/>
      <c r="U89" s="389">
        <f>U8/0.025</f>
        <v>23.999999999999996</v>
      </c>
      <c r="V89" s="954"/>
      <c r="W89" s="954"/>
      <c r="X89" s="954"/>
      <c r="Y89" s="1212">
        <f>Y8/0.025</f>
        <v>40</v>
      </c>
      <c r="Z89" s="1156"/>
      <c r="AA89" s="1012"/>
      <c r="AB89" s="1012"/>
      <c r="AC89" s="68"/>
      <c r="AD89" s="954"/>
      <c r="AE89" s="68">
        <f>AE$8/0.025</f>
        <v>52</v>
      </c>
      <c r="AF89" s="181">
        <f>AF$8/0.025</f>
        <v>23.999999999999996</v>
      </c>
      <c r="AG89" s="181"/>
      <c r="AH89" s="181"/>
      <c r="AI89" s="181"/>
      <c r="AJ89" s="954"/>
      <c r="AK89" s="381"/>
      <c r="AL89" s="954"/>
      <c r="AM89" s="954"/>
      <c r="AN89" s="389">
        <f>AN8/0.025</f>
        <v>40</v>
      </c>
      <c r="AO89" s="181"/>
      <c r="AP89" s="181"/>
      <c r="AQ89" s="954"/>
      <c r="AR89" s="954"/>
      <c r="AS89" s="954"/>
      <c r="AT89" s="68"/>
      <c r="AU89" s="68"/>
      <c r="AV89" s="68"/>
      <c r="AW89" s="954"/>
      <c r="AX89" s="954"/>
      <c r="AY89" s="954"/>
      <c r="AZ89" s="954"/>
      <c r="BA89" s="1012"/>
      <c r="BB89" s="389">
        <f>BB8/0.025</f>
        <v>60</v>
      </c>
      <c r="BC89" s="389"/>
      <c r="BD89" s="389"/>
      <c r="BE89" s="389"/>
      <c r="BF89" s="954"/>
      <c r="BG89" s="389">
        <f>BG$8/0.025</f>
        <v>4</v>
      </c>
      <c r="BH89" s="954"/>
      <c r="BI89" s="181">
        <f>BI8/0.025</f>
        <v>40</v>
      </c>
      <c r="BJ89" s="68"/>
      <c r="BK89" s="70"/>
      <c r="BL89" s="954"/>
      <c r="BM89" s="181">
        <f>BM$8/0.025</f>
        <v>23.999999999999996</v>
      </c>
      <c r="BN89" s="389"/>
      <c r="BO89" s="1212"/>
      <c r="BP89" s="68"/>
      <c r="BQ89" s="1012"/>
      <c r="BR89" s="68"/>
      <c r="BS89" s="269"/>
      <c r="BT89" s="954"/>
      <c r="BU89" s="954"/>
      <c r="BV89" s="954"/>
      <c r="BW89" s="954"/>
      <c r="BX89" s="954"/>
      <c r="BY89" s="954"/>
      <c r="BZ89" s="389">
        <f>BZ8/0.025</f>
        <v>20</v>
      </c>
      <c r="CA89" s="251">
        <f>SUM(K89:BZ89)</f>
        <v>328</v>
      </c>
      <c r="CB89" s="37"/>
      <c r="CC89" s="1262"/>
      <c r="CD89" s="1263"/>
      <c r="CE89" s="1156"/>
      <c r="CF89" s="1156"/>
      <c r="CG89" s="1156"/>
      <c r="CH89" s="181">
        <f>CH8/0.025</f>
        <v>40</v>
      </c>
      <c r="CI89" s="1012"/>
      <c r="CJ89" s="1212">
        <f>CJ8/0.025</f>
        <v>52</v>
      </c>
      <c r="CK89" s="70"/>
      <c r="CL89" s="1156"/>
      <c r="CM89" s="1156"/>
      <c r="CN89" s="181"/>
      <c r="CO89" s="181"/>
      <c r="CP89" s="181">
        <f>CP8/0.025</f>
        <v>23.999999999999996</v>
      </c>
      <c r="CQ89" s="181">
        <f>CQ8/0.025</f>
        <v>80</v>
      </c>
      <c r="CR89" s="181"/>
      <c r="CS89" s="1012"/>
      <c r="CT89" s="181"/>
      <c r="CU89" s="1012"/>
      <c r="CV89" s="1156"/>
      <c r="CW89" s="1156"/>
      <c r="CX89" s="181"/>
      <c r="CY89" s="1263">
        <f>CY8/0.025</f>
        <v>20</v>
      </c>
      <c r="CZ89" s="1263">
        <f>CZ8/0.025</f>
        <v>60</v>
      </c>
      <c r="DA89" s="181"/>
      <c r="DB89" s="181"/>
      <c r="DC89" s="1156"/>
      <c r="DD89" s="1156"/>
      <c r="DE89" s="1156"/>
      <c r="DF89" s="1156"/>
      <c r="DG89" s="1012"/>
      <c r="DH89" s="1156"/>
      <c r="DI89" s="181"/>
      <c r="DJ89" s="68"/>
      <c r="DK89" s="381"/>
      <c r="DL89" s="954"/>
      <c r="DM89" s="381"/>
      <c r="DN89" s="954"/>
      <c r="DO89" s="381"/>
      <c r="DP89" s="954"/>
      <c r="DQ89" s="954"/>
      <c r="DR89" s="954"/>
      <c r="DS89" s="954"/>
      <c r="DT89" s="1012"/>
      <c r="DU89" s="251">
        <f>SUM(CC89:DT89)</f>
        <v>276</v>
      </c>
      <c r="DV89" s="37"/>
      <c r="DW89" s="68"/>
      <c r="DX89" s="1212">
        <f>DX8/0.025</f>
        <v>52</v>
      </c>
      <c r="DY89" s="954"/>
      <c r="DZ89" s="1212">
        <f>DZ8/0.025</f>
        <v>40</v>
      </c>
      <c r="EA89" s="1212"/>
      <c r="EB89" s="1212"/>
      <c r="EC89" s="389">
        <f>EC8/0.025</f>
        <v>80</v>
      </c>
      <c r="ED89" s="381"/>
      <c r="EE89" s="381"/>
      <c r="EF89" s="381"/>
      <c r="EG89" s="381"/>
      <c r="EH89" s="381"/>
      <c r="EI89" s="381"/>
      <c r="EJ89" s="381"/>
      <c r="EK89" s="381"/>
      <c r="EL89" s="381"/>
      <c r="EM89" s="381"/>
      <c r="EN89" s="381"/>
      <c r="EO89" s="381"/>
      <c r="EP89" s="381"/>
      <c r="EQ89" s="381"/>
      <c r="ER89" s="381"/>
      <c r="ES89" s="381"/>
      <c r="ET89" s="381"/>
      <c r="EU89" s="381"/>
      <c r="EV89" s="381"/>
      <c r="EW89" s="381"/>
      <c r="EX89" s="381"/>
      <c r="EY89" s="381"/>
      <c r="EZ89" s="381"/>
      <c r="FA89" s="381"/>
      <c r="FB89" s="381"/>
      <c r="FC89" s="381"/>
      <c r="FD89" s="381"/>
      <c r="FE89" s="381"/>
      <c r="FF89" s="381"/>
      <c r="FG89" s="381"/>
      <c r="FH89" s="381"/>
      <c r="FI89" s="381"/>
      <c r="FJ89" s="381"/>
      <c r="FK89" s="381"/>
      <c r="FL89" s="381"/>
      <c r="FM89" s="381"/>
      <c r="FN89" s="381"/>
      <c r="FO89" s="381"/>
      <c r="FP89" s="381"/>
      <c r="FQ89" s="381"/>
      <c r="FR89" s="381"/>
      <c r="FS89" s="381"/>
      <c r="FT89" s="381"/>
      <c r="FU89" s="381"/>
      <c r="FV89" s="381"/>
      <c r="FW89" s="381"/>
      <c r="FX89" s="381"/>
      <c r="FY89" s="381"/>
      <c r="FZ89" s="381"/>
      <c r="GA89" s="158">
        <f>SUM(DW89:FZ89)</f>
        <v>172</v>
      </c>
      <c r="GB89" s="1154"/>
      <c r="GC89" s="709"/>
      <c r="GD89" s="1212"/>
      <c r="GE89" s="1212"/>
      <c r="GF89" s="381"/>
      <c r="GG89" s="389">
        <f>GG8/0.025</f>
        <v>47.999999999999993</v>
      </c>
      <c r="GH89" s="1212"/>
      <c r="GI89" s="70"/>
      <c r="GJ89" s="70"/>
      <c r="GK89" s="70"/>
      <c r="GL89" s="1178"/>
      <c r="GM89" s="715"/>
      <c r="GN89" s="710"/>
      <c r="GO89" s="221">
        <f>SUM(FZ89:GN89)</f>
        <v>220</v>
      </c>
      <c r="GP89" s="452">
        <f>I89-GO89</f>
        <v>6090</v>
      </c>
      <c r="GQ89" s="610">
        <f>H89</f>
        <v>6482</v>
      </c>
      <c r="GR89" s="1162">
        <f>C89</f>
        <v>476</v>
      </c>
      <c r="GS89" s="1163">
        <f>E89</f>
        <v>276</v>
      </c>
      <c r="GT89" s="36" t="str">
        <f>B89</f>
        <v>МКТ2 560*900*140  1ый сух ОРАНЖЕВЫЕ</v>
      </c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</row>
    <row r="90" spans="1:215" ht="29.25" customHeight="1" x14ac:dyDescent="0.3">
      <c r="A90" s="73" t="s">
        <v>431</v>
      </c>
      <c r="B90" s="407" t="s">
        <v>72</v>
      </c>
      <c r="C90" s="565">
        <f>'1_квартал'!G87</f>
        <v>785</v>
      </c>
      <c r="D90" s="123">
        <v>548</v>
      </c>
      <c r="E90" s="241">
        <v>132</v>
      </c>
      <c r="F90" s="311"/>
      <c r="G90" s="1143">
        <f t="shared" ref="G90:G91" si="54">ROUND(AVERAGE(D90:F90),3)</f>
        <v>340</v>
      </c>
      <c r="H90" s="1150">
        <f>752+5000</f>
        <v>5752</v>
      </c>
      <c r="I90" s="413">
        <f>H90-GA90</f>
        <v>5692</v>
      </c>
      <c r="J90" s="297"/>
      <c r="K90" s="1157"/>
      <c r="L90" s="1127"/>
      <c r="M90" s="1127"/>
      <c r="N90" s="1127"/>
      <c r="O90" s="1127"/>
      <c r="P90" s="379"/>
      <c r="Q90" s="379">
        <f>Q8/0.025</f>
        <v>23.999999999999996</v>
      </c>
      <c r="R90" s="379"/>
      <c r="S90" s="379"/>
      <c r="T90" s="379">
        <f>T8/0.025</f>
        <v>140</v>
      </c>
      <c r="U90" s="958"/>
      <c r="V90" s="379"/>
      <c r="W90" s="379"/>
      <c r="X90" s="379">
        <f>X8/0.025</f>
        <v>120</v>
      </c>
      <c r="Y90" s="1127"/>
      <c r="Z90" s="958"/>
      <c r="AA90" s="254"/>
      <c r="AB90" s="499"/>
      <c r="AC90" s="499"/>
      <c r="AD90" s="379"/>
      <c r="AE90" s="255"/>
      <c r="AF90" s="958"/>
      <c r="AG90" s="499">
        <f>AG8/0.025</f>
        <v>36</v>
      </c>
      <c r="AH90" s="382"/>
      <c r="AI90" s="382"/>
      <c r="AJ90" s="958"/>
      <c r="AK90" s="958"/>
      <c r="AL90" s="379"/>
      <c r="AM90" s="379"/>
      <c r="AN90" s="379"/>
      <c r="AO90" s="499">
        <f>AO8/0.025</f>
        <v>40</v>
      </c>
      <c r="AP90" s="379"/>
      <c r="AQ90" s="499">
        <f>AQ8/0.025</f>
        <v>23.999999999999996</v>
      </c>
      <c r="AR90" s="379"/>
      <c r="AS90" s="379"/>
      <c r="AT90" s="255"/>
      <c r="AU90" s="499"/>
      <c r="AV90" s="499">
        <f>AV8/0.025</f>
        <v>91.999999999999986</v>
      </c>
      <c r="AW90" s="379"/>
      <c r="AX90" s="958"/>
      <c r="AY90" s="958"/>
      <c r="AZ90" s="379"/>
      <c r="BA90" s="254"/>
      <c r="BB90" s="958"/>
      <c r="BC90" s="958"/>
      <c r="BD90" s="958"/>
      <c r="BE90" s="958"/>
      <c r="BF90" s="379"/>
      <c r="BG90" s="379"/>
      <c r="BH90" s="379"/>
      <c r="BI90" s="379"/>
      <c r="BJ90" s="29"/>
      <c r="BK90" s="184"/>
      <c r="BL90" s="379"/>
      <c r="BM90" s="958"/>
      <c r="BN90" s="958"/>
      <c r="BO90" s="1127"/>
      <c r="BP90" s="29"/>
      <c r="BQ90" s="499"/>
      <c r="BR90" s="29"/>
      <c r="BS90" s="25"/>
      <c r="BT90" s="379"/>
      <c r="BU90" s="379"/>
      <c r="BV90" s="499">
        <f>BV8/0.025</f>
        <v>23.999999999999996</v>
      </c>
      <c r="BW90" s="499"/>
      <c r="BX90" s="499">
        <f>BX8/0.025</f>
        <v>47.999999999999993</v>
      </c>
      <c r="BY90" s="379"/>
      <c r="BZ90" s="958"/>
      <c r="CA90" s="158">
        <f>SUM(K90:BZ90)</f>
        <v>548</v>
      </c>
      <c r="CB90" s="37"/>
      <c r="CC90" s="1264"/>
      <c r="CD90" s="958"/>
      <c r="CE90" s="379"/>
      <c r="CF90" s="958"/>
      <c r="CG90" s="379"/>
      <c r="CH90" s="379"/>
      <c r="CI90" s="254"/>
      <c r="CJ90" s="255"/>
      <c r="CK90" s="1292"/>
      <c r="CL90" s="499">
        <f>CL8/0.025</f>
        <v>8</v>
      </c>
      <c r="CM90" s="958"/>
      <c r="CN90" s="379"/>
      <c r="CO90" s="379"/>
      <c r="CP90" s="379"/>
      <c r="CQ90" s="379"/>
      <c r="CR90" s="379"/>
      <c r="CS90" s="1127"/>
      <c r="CT90" s="379"/>
      <c r="CU90" s="254"/>
      <c r="CV90" s="958"/>
      <c r="CW90" s="958"/>
      <c r="CX90" s="379"/>
      <c r="CY90" s="958"/>
      <c r="CZ90" s="958"/>
      <c r="DA90" s="379">
        <f>DA8/0.025</f>
        <v>40</v>
      </c>
      <c r="DB90" s="379"/>
      <c r="DC90" s="379"/>
      <c r="DD90" s="379"/>
      <c r="DE90" s="379"/>
      <c r="DF90" s="379"/>
      <c r="DG90" s="499"/>
      <c r="DH90" s="379">
        <f>DH8/0.025</f>
        <v>11.999999999999998</v>
      </c>
      <c r="DI90" s="379"/>
      <c r="DJ90" s="499"/>
      <c r="DK90" s="379"/>
      <c r="DL90" s="379"/>
      <c r="DM90" s="379"/>
      <c r="DN90" s="379"/>
      <c r="DO90" s="379"/>
      <c r="DP90" s="379">
        <f>DP8/0.025</f>
        <v>60</v>
      </c>
      <c r="DQ90" s="379"/>
      <c r="DR90" s="499">
        <f>DR8/0.025</f>
        <v>11.999999999999998</v>
      </c>
      <c r="DS90" s="379"/>
      <c r="DT90" s="499"/>
      <c r="DU90" s="185">
        <f>SUM(CC90:DT90)</f>
        <v>132</v>
      </c>
      <c r="DV90" s="37"/>
      <c r="DW90" s="499"/>
      <c r="DX90" s="255"/>
      <c r="DY90" s="379">
        <f>DY8/0.025</f>
        <v>60</v>
      </c>
      <c r="DZ90" s="379"/>
      <c r="EA90" s="958"/>
      <c r="EB90" s="379"/>
      <c r="EC90" s="379"/>
      <c r="ED90" s="379"/>
      <c r="EE90" s="379"/>
      <c r="EF90" s="379"/>
      <c r="EG90" s="379"/>
      <c r="EH90" s="379"/>
      <c r="EI90" s="379"/>
      <c r="EJ90" s="379"/>
      <c r="EK90" s="379"/>
      <c r="EL90" s="379"/>
      <c r="EM90" s="379"/>
      <c r="EN90" s="379"/>
      <c r="EO90" s="379"/>
      <c r="EP90" s="379"/>
      <c r="EQ90" s="379"/>
      <c r="ER90" s="379"/>
      <c r="ES90" s="379"/>
      <c r="ET90" s="379"/>
      <c r="EU90" s="379"/>
      <c r="EV90" s="379"/>
      <c r="EW90" s="379"/>
      <c r="EX90" s="379"/>
      <c r="EY90" s="379"/>
      <c r="EZ90" s="379"/>
      <c r="FA90" s="379"/>
      <c r="FB90" s="379"/>
      <c r="FC90" s="379"/>
      <c r="FD90" s="379"/>
      <c r="FE90" s="379"/>
      <c r="FF90" s="379"/>
      <c r="FG90" s="379"/>
      <c r="FH90" s="379"/>
      <c r="FI90" s="379"/>
      <c r="FJ90" s="379"/>
      <c r="FK90" s="379"/>
      <c r="FL90" s="379"/>
      <c r="FM90" s="379"/>
      <c r="FN90" s="379"/>
      <c r="FO90" s="379"/>
      <c r="FP90" s="379"/>
      <c r="FQ90" s="379"/>
      <c r="FR90" s="379"/>
      <c r="FS90" s="379"/>
      <c r="FT90" s="379"/>
      <c r="FU90" s="379"/>
      <c r="FV90" s="379"/>
      <c r="FW90" s="379"/>
      <c r="FX90" s="379"/>
      <c r="FY90" s="379"/>
      <c r="FZ90" s="379"/>
      <c r="GA90" s="158">
        <f>SUM(DW90:FZ90)</f>
        <v>60</v>
      </c>
      <c r="GB90" s="1154"/>
      <c r="GC90" s="1157"/>
      <c r="GD90" s="499">
        <f>GD8/0.025</f>
        <v>36</v>
      </c>
      <c r="GE90" s="379"/>
      <c r="GF90" s="379"/>
      <c r="GG90" s="379"/>
      <c r="GH90" s="1127"/>
      <c r="GI90" s="184"/>
      <c r="GJ90" s="184"/>
      <c r="GK90" s="184"/>
      <c r="GL90" s="346"/>
      <c r="GM90" s="716"/>
      <c r="GN90" s="439"/>
      <c r="GO90" s="72">
        <f>SUM(FZ90:GN90)</f>
        <v>96</v>
      </c>
      <c r="GP90" s="445">
        <f>I90-GO90</f>
        <v>5596</v>
      </c>
      <c r="GQ90" s="611">
        <f>H90</f>
        <v>5752</v>
      </c>
      <c r="GR90" s="1164">
        <f>C90</f>
        <v>785</v>
      </c>
      <c r="GS90" s="1165">
        <f>E90</f>
        <v>132</v>
      </c>
      <c r="GT90" s="36" t="str">
        <f>B90</f>
        <v>МКТ2 560*900*140  2ой сух БИРЮЗОВЫЕ</v>
      </c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</row>
    <row r="91" spans="1:215" ht="36" customHeight="1" x14ac:dyDescent="0.3">
      <c r="A91" s="71" t="s">
        <v>64</v>
      </c>
      <c r="B91" s="408" t="s">
        <v>73</v>
      </c>
      <c r="C91" s="565">
        <f>'1_квартал'!G88</f>
        <v>2153</v>
      </c>
      <c r="D91" s="618">
        <v>2148</v>
      </c>
      <c r="E91" s="1305">
        <v>1820</v>
      </c>
      <c r="F91" s="310"/>
      <c r="G91" s="1143">
        <f t="shared" si="54"/>
        <v>1984</v>
      </c>
      <c r="H91" s="1151">
        <f>472+5000</f>
        <v>5472</v>
      </c>
      <c r="I91" s="413">
        <f>H91-GA91</f>
        <v>5176</v>
      </c>
      <c r="J91" s="297"/>
      <c r="K91" s="123">
        <f>K$8/0.025</f>
        <v>120</v>
      </c>
      <c r="L91" s="254"/>
      <c r="M91" s="254"/>
      <c r="N91" s="255">
        <f>N8/0.025</f>
        <v>200</v>
      </c>
      <c r="O91" s="255"/>
      <c r="P91" s="255">
        <f>P8/0.025</f>
        <v>95.999999999999986</v>
      </c>
      <c r="Q91" s="924"/>
      <c r="R91" s="255"/>
      <c r="S91" s="633"/>
      <c r="T91" s="924"/>
      <c r="U91" s="924"/>
      <c r="V91" s="633">
        <f>V8/0.025</f>
        <v>64</v>
      </c>
      <c r="W91" s="633"/>
      <c r="X91" s="924"/>
      <c r="Y91" s="1126"/>
      <c r="Z91" s="924"/>
      <c r="AA91" s="254"/>
      <c r="AB91" s="255"/>
      <c r="AC91" s="29">
        <f>AC$8/0.025</f>
        <v>80</v>
      </c>
      <c r="AD91" s="255">
        <f>AD8/0.025</f>
        <v>200</v>
      </c>
      <c r="AE91" s="255"/>
      <c r="AF91" s="924"/>
      <c r="AG91" s="633"/>
      <c r="AH91" s="29">
        <f>AH$8/0.025</f>
        <v>80</v>
      </c>
      <c r="AI91" s="29">
        <f>AI$8/0.025</f>
        <v>320</v>
      </c>
      <c r="AJ91" s="246">
        <f>AJ8/0.025</f>
        <v>55.999999999999993</v>
      </c>
      <c r="AK91" s="633">
        <f>AK8/0.025</f>
        <v>11.999999999999998</v>
      </c>
      <c r="AL91" s="633"/>
      <c r="AM91" s="633">
        <f>AM8/0.025</f>
        <v>120</v>
      </c>
      <c r="AN91" s="633"/>
      <c r="AO91" s="29"/>
      <c r="AP91" s="29"/>
      <c r="AQ91" s="633"/>
      <c r="AR91" s="633"/>
      <c r="AS91" s="633"/>
      <c r="AT91" s="499"/>
      <c r="AU91" s="255">
        <f>AU8/0.025</f>
        <v>360</v>
      </c>
      <c r="AV91" s="255"/>
      <c r="AW91" s="633"/>
      <c r="AX91" s="246">
        <f>AX8/0.025</f>
        <v>200</v>
      </c>
      <c r="AY91" s="253"/>
      <c r="AZ91" s="633"/>
      <c r="BA91" s="254"/>
      <c r="BB91" s="253"/>
      <c r="BC91" s="253"/>
      <c r="BD91" s="253"/>
      <c r="BE91" s="253"/>
      <c r="BF91" s="633"/>
      <c r="BG91" s="633"/>
      <c r="BH91" s="633"/>
      <c r="BI91" s="75"/>
      <c r="BJ91" s="29"/>
      <c r="BK91" s="184"/>
      <c r="BL91" s="633"/>
      <c r="BM91" s="924"/>
      <c r="BN91" s="253"/>
      <c r="BO91" s="254"/>
      <c r="BP91" s="29"/>
      <c r="BQ91" s="255">
        <f>BQ8/0.025</f>
        <v>120</v>
      </c>
      <c r="BR91" s="29"/>
      <c r="BS91" s="29"/>
      <c r="BT91" s="633"/>
      <c r="BU91" s="633"/>
      <c r="BV91" s="633"/>
      <c r="BW91" s="255">
        <f>BW8/0.025</f>
        <v>120</v>
      </c>
      <c r="BX91" s="633"/>
      <c r="BY91" s="633"/>
      <c r="BZ91" s="924"/>
      <c r="CA91" s="158">
        <f>SUM(K91:BZ91)</f>
        <v>2148</v>
      </c>
      <c r="CB91" s="37"/>
      <c r="CC91" s="1014">
        <f>CC8/0.025</f>
        <v>95.999999999999986</v>
      </c>
      <c r="CD91" s="924"/>
      <c r="CE91" s="633"/>
      <c r="CF91" s="246">
        <f>CF8/0.025</f>
        <v>72</v>
      </c>
      <c r="CG91" s="246">
        <f>CG8/0.025</f>
        <v>52</v>
      </c>
      <c r="CH91" s="75"/>
      <c r="CI91" s="254"/>
      <c r="CJ91" s="255"/>
      <c r="CK91" s="184">
        <f>CK$8/0.025</f>
        <v>200</v>
      </c>
      <c r="CL91" s="633"/>
      <c r="CM91" s="255">
        <f>CM8/0.025</f>
        <v>200</v>
      </c>
      <c r="CN91" s="255"/>
      <c r="CO91" s="633"/>
      <c r="CP91" s="633"/>
      <c r="CQ91" s="633"/>
      <c r="CR91" s="633"/>
      <c r="CS91" s="255">
        <f>CS8/0.025</f>
        <v>200</v>
      </c>
      <c r="CT91" s="633"/>
      <c r="CU91" s="254"/>
      <c r="CV91" s="246">
        <f>CV8/0.025</f>
        <v>160</v>
      </c>
      <c r="CW91" s="253"/>
      <c r="CX91" s="633"/>
      <c r="CY91" s="253"/>
      <c r="CZ91" s="253"/>
      <c r="DA91" s="633"/>
      <c r="DB91" s="633">
        <f>DB8/0.025</f>
        <v>120</v>
      </c>
      <c r="DC91" s="633"/>
      <c r="DD91" s="255">
        <f>DD8/0.025</f>
        <v>280</v>
      </c>
      <c r="DE91" s="255">
        <f>DE8/0.025</f>
        <v>120</v>
      </c>
      <c r="DF91" s="633"/>
      <c r="DG91" s="255">
        <f>DG8/0.025</f>
        <v>120</v>
      </c>
      <c r="DH91" s="633"/>
      <c r="DI91" s="633"/>
      <c r="DJ91" s="862"/>
      <c r="DK91" s="633"/>
      <c r="DL91" s="633"/>
      <c r="DM91" s="633"/>
      <c r="DN91" s="633"/>
      <c r="DO91" s="633"/>
      <c r="DP91" s="924"/>
      <c r="DQ91" s="255"/>
      <c r="DR91" s="255"/>
      <c r="DS91" s="255"/>
      <c r="DT91" s="255">
        <f>DT8/0.025</f>
        <v>200</v>
      </c>
      <c r="DU91" s="185">
        <f>SUM(CC91:DT91)</f>
        <v>1820</v>
      </c>
      <c r="DV91" s="37"/>
      <c r="DW91" s="255">
        <f>DW8/0.025</f>
        <v>95.999999999999986</v>
      </c>
      <c r="DX91" s="255"/>
      <c r="DY91" s="924"/>
      <c r="DZ91" s="633"/>
      <c r="EA91" s="255">
        <f>EA8/0.025</f>
        <v>200</v>
      </c>
      <c r="EB91" s="633"/>
      <c r="EC91" s="633"/>
      <c r="ED91" s="633"/>
      <c r="EE91" s="633"/>
      <c r="EF91" s="246"/>
      <c r="EG91" s="246"/>
      <c r="EH91" s="246"/>
      <c r="EI91" s="246"/>
      <c r="EJ91" s="246"/>
      <c r="EK91" s="246"/>
      <c r="EL91" s="246"/>
      <c r="EM91" s="246"/>
      <c r="EN91" s="246"/>
      <c r="EO91" s="246"/>
      <c r="EP91" s="246"/>
      <c r="EQ91" s="246"/>
      <c r="ER91" s="246"/>
      <c r="ES91" s="246"/>
      <c r="ET91" s="246"/>
      <c r="EU91" s="246"/>
      <c r="EV91" s="246"/>
      <c r="EW91" s="246"/>
      <c r="EX91" s="246"/>
      <c r="EY91" s="246"/>
      <c r="EZ91" s="246"/>
      <c r="FA91" s="246"/>
      <c r="FB91" s="246"/>
      <c r="FC91" s="246"/>
      <c r="FD91" s="246"/>
      <c r="FE91" s="246"/>
      <c r="FF91" s="246"/>
      <c r="FG91" s="246"/>
      <c r="FH91" s="246"/>
      <c r="FI91" s="246"/>
      <c r="FJ91" s="246"/>
      <c r="FK91" s="246"/>
      <c r="FL91" s="246"/>
      <c r="FM91" s="246"/>
      <c r="FN91" s="246"/>
      <c r="FO91" s="246"/>
      <c r="FP91" s="246"/>
      <c r="FQ91" s="246"/>
      <c r="FR91" s="246"/>
      <c r="FS91" s="246"/>
      <c r="FT91" s="246"/>
      <c r="FU91" s="246"/>
      <c r="FV91" s="246"/>
      <c r="FW91" s="246"/>
      <c r="FX91" s="246"/>
      <c r="FY91" s="246"/>
      <c r="FZ91" s="246"/>
      <c r="GA91" s="158">
        <f>SUM(DW91:FZ91)</f>
        <v>296</v>
      </c>
      <c r="GB91" s="1154"/>
      <c r="GC91" s="1014"/>
      <c r="GD91" s="255"/>
      <c r="GE91" s="633"/>
      <c r="GF91" s="255">
        <f>GF8/0.025</f>
        <v>120</v>
      </c>
      <c r="GG91" s="633"/>
      <c r="GH91" s="255">
        <f>GH8/0.025</f>
        <v>120</v>
      </c>
      <c r="GI91" s="184"/>
      <c r="GJ91" s="184"/>
      <c r="GK91" s="184"/>
      <c r="GL91" s="184"/>
      <c r="GM91" s="716"/>
      <c r="GN91" s="438"/>
      <c r="GO91" s="65">
        <f>SUM(FZ91:GN91)</f>
        <v>536</v>
      </c>
      <c r="GP91" s="445">
        <f>I91-GO91</f>
        <v>4640</v>
      </c>
      <c r="GQ91" s="611">
        <f>H91</f>
        <v>5472</v>
      </c>
      <c r="GR91" s="1164">
        <f>C91</f>
        <v>2153</v>
      </c>
      <c r="GS91" s="1165">
        <f>E91</f>
        <v>1820</v>
      </c>
      <c r="GT91" s="1239" t="str">
        <f>B91</f>
        <v>МТЛК (о) 56*90*13 (Украина)  Дойное ЗЕЛЕНЫЕ</v>
      </c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</row>
    <row r="92" spans="1:215" ht="51" customHeight="1" x14ac:dyDescent="0.3">
      <c r="A92" s="643" t="s">
        <v>429</v>
      </c>
      <c r="B92" s="683" t="s">
        <v>430</v>
      </c>
      <c r="C92" s="565">
        <f>'1_квартал'!G89</f>
        <v>517</v>
      </c>
      <c r="D92" s="618">
        <v>1044</v>
      </c>
      <c r="E92" s="197">
        <v>544</v>
      </c>
      <c r="F92" s="310"/>
      <c r="G92" s="1143">
        <f>ROUND(AVERAGE(D92:F92),3)</f>
        <v>794</v>
      </c>
      <c r="H92" s="1150">
        <f>2808+5000</f>
        <v>7808</v>
      </c>
      <c r="I92" s="413">
        <f>H92-GA92</f>
        <v>7556</v>
      </c>
      <c r="J92" s="297"/>
      <c r="K92" s="1183"/>
      <c r="L92" s="255">
        <f>L8/0.025</f>
        <v>23.999999999999996</v>
      </c>
      <c r="M92" s="255">
        <f>M8/0.025</f>
        <v>200</v>
      </c>
      <c r="N92" s="255"/>
      <c r="O92" s="255"/>
      <c r="P92" s="255"/>
      <c r="Q92" s="237"/>
      <c r="R92" s="1257">
        <f>R8/0.025</f>
        <v>80</v>
      </c>
      <c r="S92" s="237"/>
      <c r="T92" s="237"/>
      <c r="U92" s="237"/>
      <c r="V92" s="237"/>
      <c r="W92" s="237"/>
      <c r="X92" s="237"/>
      <c r="Y92" s="237"/>
      <c r="Z92" s="255"/>
      <c r="AA92" s="255">
        <f>AA$8/0.025</f>
        <v>36</v>
      </c>
      <c r="AB92" s="237"/>
      <c r="AC92" s="960"/>
      <c r="AD92" s="237"/>
      <c r="AE92" s="255"/>
      <c r="AF92" s="255"/>
      <c r="AG92" s="255"/>
      <c r="AH92" s="75"/>
      <c r="AI92" s="75"/>
      <c r="AJ92" s="253"/>
      <c r="AK92" s="255"/>
      <c r="AL92" s="255">
        <f>AL8/0.025</f>
        <v>4</v>
      </c>
      <c r="AM92" s="237"/>
      <c r="AN92" s="237"/>
      <c r="AO92" s="29"/>
      <c r="AP92" s="75">
        <f>AP8/0.025</f>
        <v>11.999999999999998</v>
      </c>
      <c r="AQ92" s="237"/>
      <c r="AR92" s="1216">
        <f>AR8/0.025</f>
        <v>23.999999999999996</v>
      </c>
      <c r="AS92" s="237"/>
      <c r="AT92" s="255">
        <f>AT8/0.025</f>
        <v>144</v>
      </c>
      <c r="AU92" s="254"/>
      <c r="AV92" s="254"/>
      <c r="AW92" s="255">
        <f>AW8/0.025</f>
        <v>80</v>
      </c>
      <c r="AX92" s="253"/>
      <c r="AY92" s="255">
        <f>AY8/0.025</f>
        <v>40</v>
      </c>
      <c r="AZ92" s="237"/>
      <c r="BA92" s="255">
        <f>BA$8/0.025</f>
        <v>40</v>
      </c>
      <c r="BB92" s="253"/>
      <c r="BC92" s="255">
        <f>BC8/0.025</f>
        <v>11.999999999999998</v>
      </c>
      <c r="BD92" s="255">
        <f>BD8/0.025</f>
        <v>4</v>
      </c>
      <c r="BE92" s="255">
        <f>BE8/0.025</f>
        <v>4</v>
      </c>
      <c r="BF92" s="1216">
        <f>BF8/0.025</f>
        <v>27.999999999999996</v>
      </c>
      <c r="BG92" s="642"/>
      <c r="BH92" s="29">
        <f>BH$8/0.025</f>
        <v>23.999999999999996</v>
      </c>
      <c r="BI92" s="75"/>
      <c r="BJ92" s="29"/>
      <c r="BK92" s="184"/>
      <c r="BL92" s="1216">
        <f>BL8/0.025</f>
        <v>23.999999999999996</v>
      </c>
      <c r="BM92" s="255"/>
      <c r="BN92" s="255">
        <f>BN8/0.025</f>
        <v>23.999999999999996</v>
      </c>
      <c r="BO92" s="254"/>
      <c r="BP92" s="29"/>
      <c r="BQ92" s="237"/>
      <c r="BR92" s="29">
        <f>BR8/0.025</f>
        <v>32</v>
      </c>
      <c r="BS92" s="29">
        <f>BS8/0.025</f>
        <v>160</v>
      </c>
      <c r="BT92" s="29">
        <f>BT$8/0.025</f>
        <v>47.999999999999993</v>
      </c>
      <c r="BU92" s="237"/>
      <c r="BV92" s="237"/>
      <c r="BW92" s="237"/>
      <c r="BX92" s="237"/>
      <c r="BY92" s="237"/>
      <c r="BZ92" s="237"/>
      <c r="CA92" s="185">
        <f>SUM(K92:BZ92)</f>
        <v>1044</v>
      </c>
      <c r="CB92" s="37"/>
      <c r="CC92" s="1014"/>
      <c r="CD92" s="862">
        <f>CD8/0.025</f>
        <v>4</v>
      </c>
      <c r="CE92" s="237"/>
      <c r="CF92" s="924"/>
      <c r="CG92" s="1256"/>
      <c r="CH92" s="75"/>
      <c r="CI92" s="255">
        <f>CI$8/0.025</f>
        <v>36</v>
      </c>
      <c r="CJ92" s="237"/>
      <c r="CK92" s="960"/>
      <c r="CL92" s="1256"/>
      <c r="CM92" s="254"/>
      <c r="CN92" s="862">
        <f>CN8/0.025</f>
        <v>120</v>
      </c>
      <c r="CO92" s="862"/>
      <c r="CP92" s="862"/>
      <c r="CQ92" s="862"/>
      <c r="CR92" s="862">
        <f>CR8/0.025</f>
        <v>23.999999999999996</v>
      </c>
      <c r="CS92" s="255"/>
      <c r="CT92" s="862"/>
      <c r="CU92" s="255">
        <f>CU$8/0.025</f>
        <v>60</v>
      </c>
      <c r="CV92" s="253"/>
      <c r="CW92" s="255">
        <f>CW8/0.025</f>
        <v>40</v>
      </c>
      <c r="CX92" s="862">
        <f>CX8/0.025</f>
        <v>47.999999999999993</v>
      </c>
      <c r="CY92" s="253"/>
      <c r="CZ92" s="253"/>
      <c r="DA92" s="862"/>
      <c r="DB92" s="862"/>
      <c r="DC92" s="237"/>
      <c r="DD92" s="1256"/>
      <c r="DE92" s="1256"/>
      <c r="DF92" s="1293"/>
      <c r="DG92" s="237"/>
      <c r="DH92" s="237"/>
      <c r="DI92" s="862">
        <f>DI8/0.025</f>
        <v>11.999999999999998</v>
      </c>
      <c r="DJ92" s="862">
        <f>DJ8/0.025</f>
        <v>40</v>
      </c>
      <c r="DK92" s="862"/>
      <c r="DL92" s="862">
        <f>DL8/0.025</f>
        <v>40</v>
      </c>
      <c r="DM92" s="862"/>
      <c r="DN92" s="862">
        <f>DN8/0.025</f>
        <v>60</v>
      </c>
      <c r="DO92" s="862">
        <f>DO8/0.025</f>
        <v>47.999999999999993</v>
      </c>
      <c r="DP92" s="237"/>
      <c r="DQ92" s="1256"/>
      <c r="DR92" s="1256"/>
      <c r="DS92" s="862">
        <f>DS8/0.025</f>
        <v>11.999999999999998</v>
      </c>
      <c r="DT92" s="1256"/>
      <c r="DU92" s="763">
        <f>SUM(CC92:DT92)</f>
        <v>544</v>
      </c>
      <c r="DV92" s="37"/>
      <c r="DW92" s="255"/>
      <c r="DX92" s="237"/>
      <c r="DY92" s="237"/>
      <c r="DZ92" s="1256"/>
      <c r="EA92" s="1126"/>
      <c r="EB92" s="862">
        <f>EB8/0.025</f>
        <v>120</v>
      </c>
      <c r="EC92" s="862"/>
      <c r="ED92" s="862">
        <f>ED8/0.025</f>
        <v>60</v>
      </c>
      <c r="EE92" s="862">
        <f>EE8/0.025</f>
        <v>72</v>
      </c>
      <c r="EF92" s="636"/>
      <c r="EG92" s="640"/>
      <c r="EH92" s="640"/>
      <c r="EI92" s="640"/>
      <c r="EJ92" s="636"/>
      <c r="EK92" s="636"/>
      <c r="EL92" s="636"/>
      <c r="EM92" s="636"/>
      <c r="EN92" s="636"/>
      <c r="EO92" s="636"/>
      <c r="EP92" s="636"/>
      <c r="EQ92" s="636"/>
      <c r="ER92" s="636"/>
      <c r="ES92" s="636"/>
      <c r="ET92" s="636"/>
      <c r="EU92" s="636"/>
      <c r="EV92" s="636"/>
      <c r="EW92" s="636"/>
      <c r="EX92" s="636"/>
      <c r="EY92" s="636"/>
      <c r="EZ92" s="636"/>
      <c r="FA92" s="636"/>
      <c r="FB92" s="636"/>
      <c r="FC92" s="636"/>
      <c r="FD92" s="636"/>
      <c r="FE92" s="636"/>
      <c r="FF92" s="636"/>
      <c r="FG92" s="636"/>
      <c r="FH92" s="636"/>
      <c r="FI92" s="636"/>
      <c r="FJ92" s="636"/>
      <c r="FK92" s="636"/>
      <c r="FL92" s="636"/>
      <c r="FM92" s="636"/>
      <c r="FN92" s="636"/>
      <c r="FO92" s="636"/>
      <c r="FP92" s="636"/>
      <c r="FQ92" s="636"/>
      <c r="FR92" s="636"/>
      <c r="FS92" s="636"/>
      <c r="FT92" s="636"/>
      <c r="FU92" s="636"/>
      <c r="FV92" s="636"/>
      <c r="FW92" s="636"/>
      <c r="FX92" s="636"/>
      <c r="FY92" s="636"/>
      <c r="FZ92" s="636"/>
      <c r="GA92" s="185">
        <f>SUM(DW92:FZ92)</f>
        <v>252</v>
      </c>
      <c r="GB92" s="1154"/>
      <c r="GC92" s="123"/>
      <c r="GD92" s="1126"/>
      <c r="GE92" s="1256"/>
      <c r="GF92" s="862"/>
      <c r="GG92" s="862"/>
      <c r="GH92" s="254"/>
      <c r="GI92" s="634"/>
      <c r="GJ92" s="634"/>
      <c r="GK92" s="634"/>
      <c r="GL92" s="634"/>
      <c r="GM92" s="717"/>
      <c r="GN92" s="641"/>
      <c r="GO92" s="65">
        <f>SUM(FZ92:GN92)</f>
        <v>252</v>
      </c>
      <c r="GP92" s="445">
        <f>I92-GO92</f>
        <v>7304</v>
      </c>
      <c r="GQ92" s="611">
        <f>H92</f>
        <v>7808</v>
      </c>
      <c r="GR92" s="1164">
        <f>C92</f>
        <v>517</v>
      </c>
      <c r="GS92" s="1165">
        <f>E92</f>
        <v>544</v>
      </c>
      <c r="GT92" s="1239" t="str">
        <f>B92</f>
        <v>МКТ2 560*900*140 (ОРАНЖЕВЫЙ, ОБЩИЙ): СтартАп, Антистресс, Антимастит, Калф, Хайфер и др.</v>
      </c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</row>
    <row r="93" spans="1:215" ht="35.25" customHeight="1" thickBot="1" x14ac:dyDescent="0.35">
      <c r="A93" s="644" t="s">
        <v>196</v>
      </c>
      <c r="B93" s="684" t="s">
        <v>213</v>
      </c>
      <c r="C93" s="305">
        <f>'1_квартал'!G90</f>
        <v>1004</v>
      </c>
      <c r="D93" s="1268">
        <v>1400</v>
      </c>
      <c r="E93" s="1306">
        <v>1212</v>
      </c>
      <c r="F93" s="646"/>
      <c r="G93" s="1144">
        <f>ROUND(AVERAGE(D93:F93),3)</f>
        <v>1306</v>
      </c>
      <c r="H93" s="1152">
        <v>4180</v>
      </c>
      <c r="I93" s="414">
        <f>H93-GA93</f>
        <v>4180</v>
      </c>
      <c r="J93" s="298"/>
      <c r="K93" s="1184"/>
      <c r="L93" s="1158"/>
      <c r="M93" s="1158"/>
      <c r="N93" s="1158"/>
      <c r="O93" s="63">
        <f>O8/0.025</f>
        <v>108</v>
      </c>
      <c r="P93" s="1158"/>
      <c r="Q93" s="963"/>
      <c r="R93" s="963"/>
      <c r="S93" s="966">
        <f>S8/0.025</f>
        <v>300</v>
      </c>
      <c r="T93" s="963"/>
      <c r="U93" s="963"/>
      <c r="V93" s="963"/>
      <c r="W93" s="966">
        <f>W8/0.025</f>
        <v>23.999999999999996</v>
      </c>
      <c r="X93" s="963"/>
      <c r="Y93" s="964"/>
      <c r="Z93" s="966">
        <f>Z8/0.025</f>
        <v>23.999999999999996</v>
      </c>
      <c r="AA93" s="1158"/>
      <c r="AB93" s="966">
        <f>AB8/0.025</f>
        <v>120</v>
      </c>
      <c r="AC93" s="1211"/>
      <c r="AD93" s="963"/>
      <c r="AE93" s="1158"/>
      <c r="AF93" s="1177"/>
      <c r="AG93" s="1177"/>
      <c r="AH93" s="62"/>
      <c r="AI93" s="62"/>
      <c r="AJ93" s="963"/>
      <c r="AK93" s="1177"/>
      <c r="AL93" s="963"/>
      <c r="AM93" s="963"/>
      <c r="AN93" s="966"/>
      <c r="AO93" s="62"/>
      <c r="AP93" s="62"/>
      <c r="AQ93" s="966"/>
      <c r="AR93" s="966"/>
      <c r="AS93" s="966">
        <f>AS8/0.025</f>
        <v>16</v>
      </c>
      <c r="AT93" s="1158"/>
      <c r="AU93" s="1158"/>
      <c r="AV93" s="1158"/>
      <c r="AW93" s="966"/>
      <c r="AX93" s="963"/>
      <c r="AY93" s="963"/>
      <c r="AZ93" s="966">
        <f>AZ8/0.025</f>
        <v>120</v>
      </c>
      <c r="BA93" s="1158"/>
      <c r="BB93" s="963"/>
      <c r="BC93" s="966"/>
      <c r="BD93" s="963"/>
      <c r="BE93" s="966"/>
      <c r="BF93" s="966"/>
      <c r="BG93" s="966"/>
      <c r="BH93" s="966"/>
      <c r="BI93" s="62"/>
      <c r="BJ93" s="63">
        <f>BJ8/0.025</f>
        <v>72</v>
      </c>
      <c r="BK93" s="63">
        <f>BK8/0.025</f>
        <v>60</v>
      </c>
      <c r="BL93" s="966"/>
      <c r="BM93" s="1177"/>
      <c r="BN93" s="966"/>
      <c r="BO93" s="1254">
        <f>BO8/0.025</f>
        <v>200</v>
      </c>
      <c r="BP93" s="63">
        <f>BP8/0.025</f>
        <v>188</v>
      </c>
      <c r="BQ93" s="1254"/>
      <c r="BR93" s="63"/>
      <c r="BS93" s="63"/>
      <c r="BT93" s="966"/>
      <c r="BU93" s="966">
        <f>BU8/0.025</f>
        <v>16</v>
      </c>
      <c r="BV93" s="966"/>
      <c r="BW93" s="966"/>
      <c r="BX93" s="966"/>
      <c r="BY93" s="966">
        <f>BY8/0.025</f>
        <v>151.99999999999997</v>
      </c>
      <c r="BZ93" s="963"/>
      <c r="CA93" s="160">
        <f>SUM(K93:BZ93)</f>
        <v>1400</v>
      </c>
      <c r="CB93" s="60"/>
      <c r="CC93" s="1184"/>
      <c r="CD93" s="963"/>
      <c r="CE93" s="966">
        <f>CE8/0.025</f>
        <v>23.999999999999996</v>
      </c>
      <c r="CF93" s="963"/>
      <c r="CG93" s="966"/>
      <c r="CH93" s="62"/>
      <c r="CI93" s="1158"/>
      <c r="CJ93" s="1254"/>
      <c r="CK93" s="1211"/>
      <c r="CL93" s="966"/>
      <c r="CM93" s="1158"/>
      <c r="CN93" s="1177"/>
      <c r="CO93" s="62">
        <f>CO8/0.025</f>
        <v>240</v>
      </c>
      <c r="CP93" s="1177"/>
      <c r="CQ93" s="1177"/>
      <c r="CR93" s="1177"/>
      <c r="CS93" s="1158"/>
      <c r="CT93" s="62">
        <f>CT8/0.025</f>
        <v>200</v>
      </c>
      <c r="CU93" s="1158"/>
      <c r="CV93" s="963"/>
      <c r="CW93" s="963"/>
      <c r="CX93" s="62"/>
      <c r="CY93" s="963"/>
      <c r="CZ93" s="963"/>
      <c r="DA93" s="62"/>
      <c r="DB93" s="62"/>
      <c r="DC93" s="966">
        <f>DC8/0.025</f>
        <v>140</v>
      </c>
      <c r="DD93" s="963"/>
      <c r="DE93" s="963"/>
      <c r="DF93" s="966">
        <f>DF8/0.025</f>
        <v>60</v>
      </c>
      <c r="DG93" s="1254"/>
      <c r="DH93" s="966"/>
      <c r="DI93" s="62"/>
      <c r="DJ93" s="63"/>
      <c r="DK93" s="62">
        <f>DK8/0.025</f>
        <v>200</v>
      </c>
      <c r="DL93" s="966"/>
      <c r="DM93" s="62">
        <f>DM8/0.025</f>
        <v>280</v>
      </c>
      <c r="DN93" s="966"/>
      <c r="DO93" s="1177"/>
      <c r="DP93" s="963"/>
      <c r="DQ93" s="963">
        <f>DQ8/0.025</f>
        <v>68</v>
      </c>
      <c r="DR93" s="963"/>
      <c r="DS93" s="963"/>
      <c r="DT93" s="964"/>
      <c r="DU93" s="186">
        <f>SUM(CC93:DT93)</f>
        <v>1212</v>
      </c>
      <c r="DV93" s="60"/>
      <c r="DW93" s="1158"/>
      <c r="DX93" s="1254"/>
      <c r="DY93" s="963"/>
      <c r="DZ93" s="966"/>
      <c r="EA93" s="966"/>
      <c r="EB93" s="966"/>
      <c r="EC93" s="1177"/>
      <c r="ED93" s="1177"/>
      <c r="EE93" s="1177"/>
      <c r="EF93" s="29"/>
      <c r="EG93" s="642"/>
      <c r="EH93" s="642"/>
      <c r="EI93" s="642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29"/>
      <c r="FK93" s="29"/>
      <c r="FL93" s="29"/>
      <c r="FM93" s="29"/>
      <c r="FN93" s="29"/>
      <c r="FO93" s="29"/>
      <c r="FP93" s="29"/>
      <c r="FQ93" s="29"/>
      <c r="FR93" s="29"/>
      <c r="FS93" s="29"/>
      <c r="FT93" s="29"/>
      <c r="FU93" s="29"/>
      <c r="FV93" s="29"/>
      <c r="FW93" s="29"/>
      <c r="FX93" s="29"/>
      <c r="FY93" s="29"/>
      <c r="FZ93" s="29"/>
      <c r="GA93" s="160">
        <f>SUM(DW93:FZ93)</f>
        <v>0</v>
      </c>
      <c r="GB93" s="1155"/>
      <c r="GC93" s="183"/>
      <c r="GD93" s="966"/>
      <c r="GE93" s="966">
        <f>GE8/0.025</f>
        <v>36</v>
      </c>
      <c r="GF93" s="1177"/>
      <c r="GG93" s="1177"/>
      <c r="GH93" s="1254"/>
      <c r="GI93" s="258"/>
      <c r="GJ93" s="63"/>
      <c r="GK93" s="63"/>
      <c r="GL93" s="63"/>
      <c r="GM93" s="211"/>
      <c r="GN93" s="440"/>
      <c r="GO93" s="66">
        <f>SUM(FZ93:GN93)</f>
        <v>36</v>
      </c>
      <c r="GP93" s="447">
        <f>I93-GO93</f>
        <v>4144</v>
      </c>
      <c r="GQ93" s="660">
        <f>H93</f>
        <v>4180</v>
      </c>
      <c r="GR93" s="1166">
        <f>C93</f>
        <v>1004</v>
      </c>
      <c r="GS93" s="1167">
        <f>E93</f>
        <v>1212</v>
      </c>
      <c r="GT93" s="36" t="str">
        <f>B93</f>
        <v>МКТ2 560*900*140  СИНИЕ</v>
      </c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</row>
    <row r="94" spans="1:215" ht="19.5" customHeight="1" thickBot="1" x14ac:dyDescent="0.35">
      <c r="A94" s="1361" t="s">
        <v>75</v>
      </c>
      <c r="B94" s="1361"/>
      <c r="C94" s="647"/>
      <c r="D94" s="648">
        <f>SUM(D89:D93)</f>
        <v>5468</v>
      </c>
      <c r="E94" s="708">
        <f>SUM(E89:E93)</f>
        <v>3984</v>
      </c>
      <c r="F94" s="708">
        <f>SUM(F89:F93)</f>
        <v>0</v>
      </c>
      <c r="G94" s="1145"/>
      <c r="H94" s="322">
        <f>SUM(H89:H93)</f>
        <v>29694</v>
      </c>
      <c r="I94" s="124">
        <f>SUM(I89:I93)</f>
        <v>28914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9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31">
        <f>SUM(GP89:GP93)</f>
        <v>27774</v>
      </c>
      <c r="GQ94" s="216">
        <f>SUM(GQ89:GQ93)</f>
        <v>29694</v>
      </c>
      <c r="GR94" s="31">
        <f>SUM(GR89:GR93)</f>
        <v>4935</v>
      </c>
      <c r="GS94" s="31">
        <f>SUM(GS89:GS93)</f>
        <v>3984</v>
      </c>
      <c r="GT94" s="227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</row>
    <row r="95" spans="1:215" ht="15.9" customHeight="1" thickBot="1" x14ac:dyDescent="0.35">
      <c r="A95" s="46"/>
      <c r="B95" s="409" t="s">
        <v>427</v>
      </c>
      <c r="C95" s="665">
        <f>'1_квартал'!G92</f>
        <v>85.18</v>
      </c>
      <c r="D95" s="81">
        <v>17</v>
      </c>
      <c r="E95" s="1185">
        <v>0</v>
      </c>
      <c r="F95" s="1185"/>
      <c r="G95" s="667">
        <f>ROUND(AVERAGE(D95:F95),2)</f>
        <v>8.5</v>
      </c>
      <c r="H95" s="323">
        <v>0</v>
      </c>
      <c r="I95" s="125"/>
      <c r="J95" s="867"/>
      <c r="K95" s="247"/>
      <c r="L95" s="247"/>
      <c r="M95" s="247"/>
      <c r="N95" s="247"/>
      <c r="O95" s="247"/>
      <c r="P95" s="247"/>
      <c r="Q95" s="1186"/>
      <c r="R95" s="44"/>
      <c r="S95" s="44"/>
      <c r="T95" s="43"/>
      <c r="U95" s="43"/>
      <c r="V95" s="44"/>
      <c r="W95" s="44"/>
      <c r="X95" s="43"/>
      <c r="Y95" s="43"/>
      <c r="Z95" s="47"/>
      <c r="AA95" s="81"/>
      <c r="AB95" s="44"/>
      <c r="AC95" s="247"/>
      <c r="AD95" s="44"/>
      <c r="AE95" s="259"/>
      <c r="AF95" s="247"/>
      <c r="AG95" s="247"/>
      <c r="AH95" s="247"/>
      <c r="AI95" s="247"/>
      <c r="AJ95" s="247"/>
      <c r="AK95" s="247"/>
      <c r="AL95" s="44"/>
      <c r="AM95" s="44"/>
      <c r="AN95" s="44"/>
      <c r="AO95" s="247"/>
      <c r="AP95" s="247"/>
      <c r="AQ95" s="44"/>
      <c r="AR95" s="44"/>
      <c r="AS95" s="44"/>
      <c r="AT95" s="247"/>
      <c r="AU95" s="247"/>
      <c r="AV95" s="247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247"/>
      <c r="BJ95" s="1229"/>
      <c r="BK95" s="1229"/>
      <c r="BL95" s="44"/>
      <c r="BM95" s="247"/>
      <c r="BN95" s="44"/>
      <c r="BO95" s="44"/>
      <c r="BP95" s="1229"/>
      <c r="BQ95" s="44"/>
      <c r="BR95" s="1229"/>
      <c r="BS95" s="1231"/>
      <c r="BT95" s="44"/>
      <c r="BU95" s="44"/>
      <c r="BV95" s="44"/>
      <c r="BW95" s="44"/>
      <c r="BX95" s="44"/>
      <c r="BY95" s="44"/>
      <c r="BZ95" s="43"/>
      <c r="CA95" s="1187"/>
      <c r="CB95" s="1189"/>
      <c r="CC95" s="247"/>
      <c r="CD95" s="45"/>
      <c r="CE95" s="44"/>
      <c r="CF95" s="247"/>
      <c r="CG95" s="44"/>
      <c r="CH95" s="247"/>
      <c r="CI95" s="81"/>
      <c r="CJ95" s="44"/>
      <c r="CK95" s="247"/>
      <c r="CL95" s="44"/>
      <c r="CM95" s="247"/>
      <c r="CN95" s="247"/>
      <c r="CO95" s="247"/>
      <c r="CP95" s="247"/>
      <c r="CQ95" s="247"/>
      <c r="CR95" s="247"/>
      <c r="CS95" s="247"/>
      <c r="CT95" s="247"/>
      <c r="CU95" s="44"/>
      <c r="CV95" s="44"/>
      <c r="CW95" s="44"/>
      <c r="CX95" s="247"/>
      <c r="CY95" s="44"/>
      <c r="CZ95" s="44"/>
      <c r="DA95" s="247"/>
      <c r="DB95" s="247"/>
      <c r="DC95" s="44"/>
      <c r="DD95" s="44"/>
      <c r="DE95" s="44"/>
      <c r="DF95" s="44"/>
      <c r="DG95" s="44"/>
      <c r="DH95" s="44"/>
      <c r="DI95" s="247"/>
      <c r="DJ95" s="247"/>
      <c r="DK95" s="247"/>
      <c r="DL95" s="44"/>
      <c r="DM95" s="247"/>
      <c r="DN95" s="44"/>
      <c r="DO95" s="247"/>
      <c r="DP95" s="43"/>
      <c r="DQ95" s="44"/>
      <c r="DR95" s="44"/>
      <c r="DS95" s="44"/>
      <c r="DT95" s="44"/>
      <c r="DU95" s="1187"/>
      <c r="DV95" s="1189"/>
      <c r="DW95" s="247"/>
      <c r="DX95" s="44"/>
      <c r="DY95" s="43"/>
      <c r="DZ95" s="44"/>
      <c r="EA95" s="44"/>
      <c r="EB95" s="44"/>
      <c r="EC95" s="247"/>
      <c r="ED95" s="247"/>
      <c r="EE95" s="247"/>
      <c r="EF95" s="247"/>
      <c r="EG95" s="247"/>
      <c r="EH95" s="247"/>
      <c r="EI95" s="247"/>
      <c r="EJ95" s="247"/>
      <c r="EK95" s="247"/>
      <c r="EL95" s="247"/>
      <c r="EM95" s="247"/>
      <c r="EN95" s="247"/>
      <c r="EO95" s="247"/>
      <c r="EP95" s="247"/>
      <c r="EQ95" s="247"/>
      <c r="ER95" s="247"/>
      <c r="ES95" s="247"/>
      <c r="ET95" s="247"/>
      <c r="EU95" s="247"/>
      <c r="EV95" s="247"/>
      <c r="EW95" s="247"/>
      <c r="EX95" s="247"/>
      <c r="EY95" s="247"/>
      <c r="EZ95" s="247"/>
      <c r="FA95" s="247"/>
      <c r="FB95" s="247"/>
      <c r="FC95" s="247"/>
      <c r="FD95" s="43"/>
      <c r="FE95" s="43"/>
      <c r="FF95" s="247"/>
      <c r="FG95" s="247"/>
      <c r="FH95" s="247"/>
      <c r="FI95" s="247"/>
      <c r="FJ95" s="247"/>
      <c r="FK95" s="247"/>
      <c r="FL95" s="247"/>
      <c r="FM95" s="247"/>
      <c r="FN95" s="247"/>
      <c r="FO95" s="247"/>
      <c r="FP95" s="247"/>
      <c r="FQ95" s="247"/>
      <c r="FR95" s="247"/>
      <c r="FS95" s="247"/>
      <c r="FT95" s="247"/>
      <c r="FU95" s="247"/>
      <c r="FV95" s="247"/>
      <c r="FW95" s="247"/>
      <c r="FX95" s="247"/>
      <c r="FY95" s="247"/>
      <c r="FZ95" s="247"/>
      <c r="GA95" s="1187"/>
      <c r="GB95" s="1188"/>
      <c r="GC95" s="247"/>
      <c r="GD95" s="44"/>
      <c r="GE95" s="44"/>
      <c r="GF95" s="247"/>
      <c r="GG95" s="247"/>
      <c r="GH95" s="44"/>
      <c r="GI95" s="1228"/>
      <c r="GJ95" s="1229"/>
      <c r="GK95" s="1229"/>
      <c r="GL95" s="1231"/>
      <c r="GM95" s="247"/>
      <c r="GN95" s="1159"/>
      <c r="GO95" s="350">
        <f>SUM(GB95:GN95)</f>
        <v>0</v>
      </c>
      <c r="GP95" s="349"/>
      <c r="GQ95" s="217"/>
      <c r="GR95" s="80"/>
      <c r="GS95" s="1168"/>
      <c r="GT95" s="36" t="str">
        <f>B95</f>
        <v>Стретч-пленка для паллетообмотчика (кг)</v>
      </c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</row>
    <row r="96" spans="1:215" ht="15.9" customHeight="1" thickBot="1" x14ac:dyDescent="0.35">
      <c r="A96" s="46"/>
      <c r="B96" s="409" t="s">
        <v>563</v>
      </c>
      <c r="C96" s="305">
        <f>'1_квартал'!G93</f>
        <v>4.5</v>
      </c>
      <c r="D96" s="81">
        <v>77.5</v>
      </c>
      <c r="E96" s="1185">
        <v>63</v>
      </c>
      <c r="F96" s="1185"/>
      <c r="G96" s="667">
        <f>ROUND(AVERAGE(D96:F96),2)</f>
        <v>70.25</v>
      </c>
      <c r="H96" s="323">
        <v>257</v>
      </c>
      <c r="I96" s="125"/>
      <c r="J96" s="867"/>
      <c r="K96" s="247"/>
      <c r="L96" s="247"/>
      <c r="M96" s="247"/>
      <c r="N96" s="247"/>
      <c r="O96" s="247"/>
      <c r="P96" s="247"/>
      <c r="Q96" s="1186"/>
      <c r="R96" s="44"/>
      <c r="S96" s="44"/>
      <c r="T96" s="43"/>
      <c r="U96" s="43"/>
      <c r="V96" s="44"/>
      <c r="W96" s="44"/>
      <c r="X96" s="43"/>
      <c r="Y96" s="43"/>
      <c r="Z96" s="47"/>
      <c r="AA96" s="81"/>
      <c r="AB96" s="44"/>
      <c r="AC96" s="247"/>
      <c r="AD96" s="44"/>
      <c r="AE96" s="259"/>
      <c r="AF96" s="247"/>
      <c r="AG96" s="247"/>
      <c r="AH96" s="247"/>
      <c r="AI96" s="247"/>
      <c r="AJ96" s="247"/>
      <c r="AK96" s="247"/>
      <c r="AL96" s="44"/>
      <c r="AM96" s="44"/>
      <c r="AN96" s="44"/>
      <c r="AO96" s="247"/>
      <c r="AP96" s="247"/>
      <c r="AQ96" s="44"/>
      <c r="AR96" s="44"/>
      <c r="AS96" s="44"/>
      <c r="AT96" s="247"/>
      <c r="AU96" s="247"/>
      <c r="AV96" s="247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247"/>
      <c r="BJ96" s="1230"/>
      <c r="BK96" s="1230"/>
      <c r="BL96" s="44"/>
      <c r="BM96" s="247"/>
      <c r="BN96" s="44"/>
      <c r="BO96" s="44"/>
      <c r="BP96" s="1230"/>
      <c r="BQ96" s="44"/>
      <c r="BR96" s="1230"/>
      <c r="BS96" s="1230"/>
      <c r="BT96" s="44"/>
      <c r="BU96" s="44"/>
      <c r="BV96" s="44"/>
      <c r="BW96" s="44"/>
      <c r="BX96" s="44"/>
      <c r="BY96" s="44"/>
      <c r="BZ96" s="43"/>
      <c r="CA96" s="1187"/>
      <c r="CB96" s="1189"/>
      <c r="CC96" s="247"/>
      <c r="CD96" s="45"/>
      <c r="CE96" s="44"/>
      <c r="CF96" s="247"/>
      <c r="CG96" s="44"/>
      <c r="CH96" s="247"/>
      <c r="CI96" s="81"/>
      <c r="CJ96" s="44"/>
      <c r="CK96" s="247"/>
      <c r="CL96" s="44"/>
      <c r="CM96" s="247"/>
      <c r="CN96" s="247"/>
      <c r="CO96" s="247"/>
      <c r="CP96" s="247"/>
      <c r="CQ96" s="247"/>
      <c r="CR96" s="247"/>
      <c r="CS96" s="247"/>
      <c r="CT96" s="247"/>
      <c r="CU96" s="44"/>
      <c r="CV96" s="44"/>
      <c r="CW96" s="44"/>
      <c r="CX96" s="247"/>
      <c r="CY96" s="44"/>
      <c r="CZ96" s="44"/>
      <c r="DA96" s="247"/>
      <c r="DB96" s="247"/>
      <c r="DC96" s="44"/>
      <c r="DD96" s="44"/>
      <c r="DE96" s="44"/>
      <c r="DF96" s="44"/>
      <c r="DG96" s="44"/>
      <c r="DH96" s="44"/>
      <c r="DI96" s="247"/>
      <c r="DJ96" s="247"/>
      <c r="DK96" s="247"/>
      <c r="DL96" s="44"/>
      <c r="DM96" s="247"/>
      <c r="DN96" s="44"/>
      <c r="DO96" s="247"/>
      <c r="DP96" s="43"/>
      <c r="DQ96" s="44"/>
      <c r="DR96" s="44"/>
      <c r="DS96" s="44"/>
      <c r="DT96" s="44"/>
      <c r="DU96" s="1187"/>
      <c r="DV96" s="1189"/>
      <c r="DW96" s="247"/>
      <c r="DX96" s="44"/>
      <c r="DY96" s="43"/>
      <c r="DZ96" s="44"/>
      <c r="EA96" s="44"/>
      <c r="EB96" s="44"/>
      <c r="EC96" s="247"/>
      <c r="ED96" s="247"/>
      <c r="EE96" s="247"/>
      <c r="EF96" s="247"/>
      <c r="EG96" s="247"/>
      <c r="EH96" s="247"/>
      <c r="EI96" s="247"/>
      <c r="EJ96" s="247"/>
      <c r="EK96" s="247"/>
      <c r="EL96" s="247"/>
      <c r="EM96" s="247"/>
      <c r="EN96" s="247"/>
      <c r="EO96" s="247"/>
      <c r="EP96" s="247"/>
      <c r="EQ96" s="247"/>
      <c r="ER96" s="247"/>
      <c r="ES96" s="247"/>
      <c r="ET96" s="247"/>
      <c r="EU96" s="247"/>
      <c r="EV96" s="247"/>
      <c r="EW96" s="247"/>
      <c r="EX96" s="247"/>
      <c r="EY96" s="247"/>
      <c r="EZ96" s="247"/>
      <c r="FA96" s="247"/>
      <c r="FB96" s="247"/>
      <c r="FC96" s="247"/>
      <c r="FD96" s="43"/>
      <c r="FE96" s="43"/>
      <c r="FF96" s="247"/>
      <c r="FG96" s="247"/>
      <c r="FH96" s="247"/>
      <c r="FI96" s="247"/>
      <c r="FJ96" s="247"/>
      <c r="FK96" s="247"/>
      <c r="FL96" s="247"/>
      <c r="FM96" s="247"/>
      <c r="FN96" s="247"/>
      <c r="FO96" s="247"/>
      <c r="FP96" s="247"/>
      <c r="FQ96" s="247"/>
      <c r="FR96" s="247"/>
      <c r="FS96" s="247"/>
      <c r="FT96" s="247"/>
      <c r="FU96" s="247"/>
      <c r="FV96" s="247"/>
      <c r="FW96" s="247"/>
      <c r="FX96" s="247"/>
      <c r="FY96" s="247"/>
      <c r="FZ96" s="247"/>
      <c r="GA96" s="1187"/>
      <c r="GB96" s="1188"/>
      <c r="GC96" s="247"/>
      <c r="GD96" s="44"/>
      <c r="GE96" s="44"/>
      <c r="GF96" s="247"/>
      <c r="GG96" s="247"/>
      <c r="GH96" s="44"/>
      <c r="GI96" s="1228"/>
      <c r="GJ96" s="1230"/>
      <c r="GK96" s="1230"/>
      <c r="GL96" s="1230"/>
      <c r="GM96" s="1232"/>
      <c r="GN96" s="1159"/>
      <c r="GO96" s="350">
        <f>SUM(GB96:GN96)</f>
        <v>0</v>
      </c>
      <c r="GP96" s="349"/>
      <c r="GQ96" s="217"/>
      <c r="GR96" s="80"/>
      <c r="GS96" s="1168"/>
      <c r="GT96" s="36" t="str">
        <f>B96</f>
        <v>Стретч-пленка для пал/обмотчика У (кг)</v>
      </c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</row>
    <row r="97" spans="1:177" x14ac:dyDescent="0.3">
      <c r="C97"/>
      <c r="D97"/>
      <c r="F97"/>
      <c r="G97"/>
      <c r="AT97"/>
      <c r="AU97"/>
      <c r="AV97"/>
      <c r="AW97"/>
      <c r="AX97"/>
      <c r="FP97"/>
      <c r="FR97"/>
      <c r="FT97"/>
      <c r="FU97"/>
    </row>
    <row r="98" spans="1:177" ht="15" thickBot="1" x14ac:dyDescent="0.35">
      <c r="C98" s="1337">
        <f>H7</f>
        <v>46174</v>
      </c>
      <c r="D98" s="1338"/>
      <c r="E98" s="1338"/>
      <c r="F98" s="1338"/>
      <c r="G98"/>
      <c r="H98" s="1366" t="s">
        <v>67</v>
      </c>
      <c r="I98" s="1366"/>
      <c r="AT98"/>
      <c r="AU98"/>
      <c r="AV98"/>
      <c r="AW98"/>
      <c r="AX98"/>
      <c r="FP98"/>
      <c r="FR98"/>
      <c r="FT98"/>
      <c r="FU98"/>
    </row>
    <row r="99" spans="1:177" ht="15" thickBot="1" x14ac:dyDescent="0.35">
      <c r="B99" s="874" t="s">
        <v>439</v>
      </c>
      <c r="C99" s="872" t="s">
        <v>67</v>
      </c>
      <c r="D99" s="873" t="s">
        <v>168</v>
      </c>
      <c r="E99" s="873" t="s">
        <v>169</v>
      </c>
      <c r="F99" s="873" t="s">
        <v>436</v>
      </c>
      <c r="G99" s="918" t="s">
        <v>44</v>
      </c>
      <c r="H99" s="1222" t="s">
        <v>581</v>
      </c>
      <c r="I99" s="1217" t="s">
        <v>580</v>
      </c>
      <c r="AT99"/>
      <c r="AU99"/>
      <c r="AV99"/>
      <c r="AW99"/>
      <c r="AX99"/>
      <c r="FP99"/>
      <c r="FR99"/>
      <c r="FT99"/>
      <c r="FU99"/>
    </row>
    <row r="100" spans="1:177" x14ac:dyDescent="0.3">
      <c r="A100" s="1335" t="s">
        <v>438</v>
      </c>
      <c r="B100" s="927" t="s">
        <v>432</v>
      </c>
      <c r="C100" s="1276">
        <v>0</v>
      </c>
      <c r="D100" s="1279"/>
      <c r="E100" s="1265"/>
      <c r="F100" s="1282"/>
      <c r="G100" s="1218">
        <f>SUM(C100:F100)</f>
        <v>0</v>
      </c>
      <c r="H100" s="1269"/>
      <c r="I100" s="1273">
        <v>0</v>
      </c>
      <c r="AT100"/>
      <c r="AU100"/>
      <c r="AV100"/>
      <c r="AW100"/>
      <c r="AX100"/>
      <c r="FP100"/>
      <c r="FR100"/>
      <c r="FT100"/>
      <c r="FU100"/>
    </row>
    <row r="101" spans="1:177" x14ac:dyDescent="0.3">
      <c r="A101" s="1336"/>
      <c r="B101" s="870" t="s">
        <v>433</v>
      </c>
      <c r="C101" s="1277">
        <v>0</v>
      </c>
      <c r="D101" s="1280"/>
      <c r="E101" s="1266"/>
      <c r="F101" s="1283"/>
      <c r="G101" s="1219">
        <f t="shared" ref="G101:G107" si="55">SUM(C101:F101)</f>
        <v>0</v>
      </c>
      <c r="H101" s="1270"/>
      <c r="I101" s="1274">
        <v>0</v>
      </c>
      <c r="AT101"/>
      <c r="AU101"/>
      <c r="AV101"/>
      <c r="AW101"/>
      <c r="AX101"/>
      <c r="FP101"/>
      <c r="FR101"/>
      <c r="FT101"/>
      <c r="FU101"/>
    </row>
    <row r="102" spans="1:177" x14ac:dyDescent="0.3">
      <c r="A102" s="1336"/>
      <c r="B102" s="871" t="s">
        <v>434</v>
      </c>
      <c r="C102" s="1277">
        <v>5000</v>
      </c>
      <c r="D102" s="1280"/>
      <c r="E102" s="1266"/>
      <c r="F102" s="1283">
        <v>17850</v>
      </c>
      <c r="G102" s="1219">
        <f t="shared" si="55"/>
        <v>22850</v>
      </c>
      <c r="H102" s="1270"/>
      <c r="I102" s="1274">
        <v>5000</v>
      </c>
      <c r="AT102"/>
      <c r="AU102"/>
      <c r="AV102"/>
      <c r="AW102"/>
      <c r="AX102"/>
      <c r="FP102"/>
      <c r="FR102"/>
      <c r="FT102"/>
      <c r="FU102"/>
    </row>
    <row r="103" spans="1:177" x14ac:dyDescent="0.3">
      <c r="A103" s="1336"/>
      <c r="B103" s="925" t="s">
        <v>435</v>
      </c>
      <c r="C103" s="1277">
        <v>5000</v>
      </c>
      <c r="D103" s="1280">
        <v>5455</v>
      </c>
      <c r="E103" s="1266">
        <v>5969</v>
      </c>
      <c r="F103" s="1283">
        <v>30000</v>
      </c>
      <c r="G103" s="1219">
        <f t="shared" si="55"/>
        <v>46424</v>
      </c>
      <c r="H103" s="1270"/>
      <c r="I103" s="1274">
        <v>5000</v>
      </c>
      <c r="AT103"/>
      <c r="AU103"/>
      <c r="AV103"/>
      <c r="AW103"/>
      <c r="AX103"/>
      <c r="FP103"/>
      <c r="FR103"/>
      <c r="FT103"/>
      <c r="FU103"/>
    </row>
    <row r="104" spans="1:177" x14ac:dyDescent="0.3">
      <c r="A104" s="1336"/>
      <c r="B104" s="926" t="s">
        <v>196</v>
      </c>
      <c r="C104" s="1277">
        <v>0</v>
      </c>
      <c r="D104" s="1280"/>
      <c r="E104" s="1266"/>
      <c r="F104" s="1283"/>
      <c r="G104" s="1219">
        <f t="shared" si="55"/>
        <v>0</v>
      </c>
      <c r="H104" s="1270"/>
      <c r="I104" s="1274">
        <v>0</v>
      </c>
      <c r="AT104"/>
      <c r="AU104"/>
      <c r="AV104"/>
      <c r="AW104"/>
      <c r="AX104"/>
      <c r="FP104"/>
      <c r="FR104"/>
      <c r="FT104"/>
      <c r="FU104"/>
    </row>
    <row r="105" spans="1:177" x14ac:dyDescent="0.3">
      <c r="A105" s="1336"/>
      <c r="B105" s="925" t="s">
        <v>448</v>
      </c>
      <c r="C105" s="1277">
        <v>0</v>
      </c>
      <c r="D105" s="1281"/>
      <c r="E105" s="1267">
        <f>4+39</f>
        <v>43</v>
      </c>
      <c r="F105" s="1284"/>
      <c r="G105" s="1219">
        <f>SUM(C105:F105)</f>
        <v>43</v>
      </c>
      <c r="H105" s="1270"/>
      <c r="I105" s="1274">
        <v>0</v>
      </c>
      <c r="AT105"/>
      <c r="AU105"/>
      <c r="AV105"/>
      <c r="AW105"/>
      <c r="AX105"/>
      <c r="FP105"/>
      <c r="FR105"/>
      <c r="FT105"/>
      <c r="FU105"/>
    </row>
    <row r="106" spans="1:177" ht="15" thickBot="1" x14ac:dyDescent="0.35">
      <c r="A106" s="1336"/>
      <c r="B106" s="905" t="s">
        <v>437</v>
      </c>
      <c r="C106" s="1278">
        <v>5000</v>
      </c>
      <c r="D106" s="1281">
        <v>3809</v>
      </c>
      <c r="E106" s="1267">
        <v>2856</v>
      </c>
      <c r="F106" s="1284">
        <v>40000</v>
      </c>
      <c r="G106" s="1220">
        <f t="shared" si="55"/>
        <v>51665</v>
      </c>
      <c r="H106" s="1271"/>
      <c r="I106" s="1275">
        <v>5000</v>
      </c>
      <c r="AT106"/>
      <c r="AU106"/>
      <c r="AV106"/>
      <c r="AW106"/>
      <c r="AX106"/>
      <c r="FP106"/>
      <c r="FR106"/>
      <c r="FT106"/>
      <c r="FU106"/>
    </row>
    <row r="107" spans="1:177" ht="15" thickBot="1" x14ac:dyDescent="0.35">
      <c r="A107" s="914"/>
      <c r="B107" s="915" t="s">
        <v>447</v>
      </c>
      <c r="C107" s="913">
        <v>0</v>
      </c>
      <c r="D107" s="1209">
        <v>0</v>
      </c>
      <c r="E107" s="907">
        <v>0</v>
      </c>
      <c r="F107" s="907"/>
      <c r="G107" s="1221">
        <f t="shared" si="55"/>
        <v>0</v>
      </c>
      <c r="H107" s="1272"/>
      <c r="I107" s="1223"/>
      <c r="AT107"/>
      <c r="AU107"/>
      <c r="AV107"/>
      <c r="AW107"/>
      <c r="AX107"/>
      <c r="FP107"/>
      <c r="FR107"/>
      <c r="FT107"/>
      <c r="FU107"/>
    </row>
    <row r="108" spans="1:177" x14ac:dyDescent="0.3">
      <c r="C108"/>
      <c r="D108"/>
      <c r="F108"/>
      <c r="G108"/>
      <c r="H108" s="921"/>
      <c r="AT108"/>
      <c r="AU108"/>
      <c r="AV108"/>
      <c r="AW108"/>
      <c r="AX108"/>
      <c r="FP108"/>
      <c r="FR108"/>
      <c r="FT108"/>
      <c r="FU108"/>
    </row>
    <row r="109" spans="1:177" x14ac:dyDescent="0.3">
      <c r="C109"/>
      <c r="D109"/>
      <c r="F109"/>
      <c r="G109"/>
      <c r="H109" s="921"/>
      <c r="AT109"/>
      <c r="AU109"/>
      <c r="AV109"/>
      <c r="AW109"/>
      <c r="AX109"/>
      <c r="FP109"/>
      <c r="FR109"/>
      <c r="FT109"/>
      <c r="FU109"/>
    </row>
    <row r="110" spans="1:177" x14ac:dyDescent="0.3">
      <c r="C110"/>
      <c r="D110"/>
      <c r="F110"/>
      <c r="G110"/>
      <c r="AT110"/>
      <c r="AU110"/>
      <c r="AV110"/>
      <c r="AW110"/>
      <c r="AX110"/>
      <c r="FP110"/>
      <c r="FR110"/>
      <c r="FT110"/>
      <c r="FU110"/>
    </row>
    <row r="111" spans="1:177" x14ac:dyDescent="0.3">
      <c r="A111" s="22"/>
      <c r="B111" s="20"/>
      <c r="C111" s="300"/>
      <c r="D111" s="506"/>
      <c r="E111" s="188"/>
      <c r="F111" s="307"/>
      <c r="G111" s="1134"/>
      <c r="AT111"/>
      <c r="AU111"/>
      <c r="AV111"/>
      <c r="AW111"/>
      <c r="AX111"/>
      <c r="FP111"/>
      <c r="FR111"/>
      <c r="FT111"/>
      <c r="FU111"/>
    </row>
    <row r="112" spans="1:177" x14ac:dyDescent="0.3">
      <c r="A112" s="22"/>
      <c r="B112" s="20"/>
      <c r="C112" s="300"/>
      <c r="D112" s="506"/>
      <c r="E112" s="188"/>
      <c r="F112" s="307"/>
      <c r="G112" s="1134"/>
      <c r="AT112"/>
      <c r="AU112"/>
      <c r="AV112"/>
      <c r="AW112"/>
      <c r="AX112"/>
      <c r="FP112"/>
      <c r="FR112"/>
      <c r="FT112"/>
      <c r="FU112"/>
    </row>
    <row r="113" spans="1:177" x14ac:dyDescent="0.3">
      <c r="A113" s="22"/>
      <c r="B113" s="20"/>
      <c r="C113" s="300"/>
      <c r="D113" s="506"/>
      <c r="E113" s="188"/>
      <c r="F113" s="307"/>
      <c r="G113" s="1134"/>
      <c r="AT113"/>
      <c r="AU113"/>
      <c r="AV113"/>
      <c r="AW113"/>
      <c r="AX113"/>
      <c r="FP113"/>
      <c r="FR113"/>
      <c r="FT113"/>
      <c r="FU113"/>
    </row>
    <row r="114" spans="1:177" x14ac:dyDescent="0.3">
      <c r="A114" s="22"/>
      <c r="B114" s="20"/>
      <c r="C114" s="300"/>
      <c r="D114" s="506"/>
      <c r="E114" s="188"/>
      <c r="F114" s="307"/>
      <c r="G114" s="1134"/>
      <c r="AT114"/>
      <c r="AU114"/>
      <c r="AV114"/>
      <c r="AW114"/>
      <c r="AX114"/>
      <c r="FP114"/>
      <c r="FR114"/>
      <c r="FT114"/>
      <c r="FU114"/>
    </row>
    <row r="115" spans="1:177" x14ac:dyDescent="0.3">
      <c r="A115" s="22"/>
      <c r="B115" s="20"/>
      <c r="C115" s="300"/>
      <c r="D115" s="506"/>
      <c r="E115" s="188"/>
      <c r="F115" s="307"/>
      <c r="G115" s="1134"/>
      <c r="AT115"/>
      <c r="AU115"/>
      <c r="AV115"/>
      <c r="AW115"/>
      <c r="AX115"/>
      <c r="FP115"/>
      <c r="FR115"/>
      <c r="FT115"/>
      <c r="FU115"/>
    </row>
    <row r="116" spans="1:177" x14ac:dyDescent="0.3">
      <c r="A116" s="22"/>
      <c r="B116" s="20"/>
      <c r="C116" s="300"/>
      <c r="D116" s="506"/>
      <c r="E116" s="188"/>
      <c r="F116" s="307"/>
      <c r="G116" s="1134"/>
      <c r="AT116"/>
      <c r="AU116"/>
      <c r="AV116"/>
      <c r="AW116"/>
      <c r="AX116"/>
      <c r="FP116"/>
      <c r="FR116"/>
      <c r="FT116"/>
      <c r="FU116"/>
    </row>
    <row r="117" spans="1:177" x14ac:dyDescent="0.3">
      <c r="A117" s="22"/>
      <c r="B117" s="20"/>
      <c r="C117" s="300"/>
      <c r="D117" s="506"/>
      <c r="E117" s="188"/>
      <c r="F117" s="307"/>
      <c r="G117" s="1134"/>
      <c r="AT117"/>
      <c r="AU117"/>
      <c r="AV117"/>
      <c r="AW117"/>
      <c r="AX117"/>
      <c r="FP117"/>
      <c r="FR117"/>
      <c r="FT117"/>
      <c r="FU117"/>
    </row>
    <row r="118" spans="1:177" x14ac:dyDescent="0.3">
      <c r="A118" s="22"/>
      <c r="B118" s="20"/>
      <c r="C118" s="300"/>
      <c r="D118" s="506"/>
      <c r="E118" s="188"/>
      <c r="F118" s="307"/>
      <c r="G118" s="1134"/>
      <c r="AT118"/>
      <c r="AU118"/>
      <c r="AV118"/>
      <c r="AW118"/>
      <c r="AX118"/>
      <c r="FP118"/>
      <c r="FR118"/>
      <c r="FT118"/>
      <c r="FU118"/>
    </row>
    <row r="119" spans="1:177" x14ac:dyDescent="0.3">
      <c r="A119" s="22"/>
      <c r="B119" s="20"/>
      <c r="C119" s="300"/>
      <c r="D119" s="506"/>
      <c r="E119" s="188"/>
      <c r="F119" s="307"/>
      <c r="G119" s="1134"/>
      <c r="AT119"/>
      <c r="AU119"/>
      <c r="AV119"/>
      <c r="AW119"/>
      <c r="AX119"/>
      <c r="FP119"/>
      <c r="FR119"/>
      <c r="FT119"/>
      <c r="FU119"/>
    </row>
    <row r="120" spans="1:177" x14ac:dyDescent="0.3">
      <c r="A120" s="22"/>
      <c r="B120" s="20"/>
      <c r="C120" s="300"/>
      <c r="D120" s="506"/>
      <c r="E120" s="188"/>
      <c r="F120" s="307"/>
      <c r="G120" s="1134"/>
      <c r="AT120"/>
      <c r="AU120"/>
      <c r="AV120"/>
      <c r="AW120"/>
      <c r="AX120"/>
      <c r="FP120"/>
      <c r="FR120"/>
      <c r="FT120"/>
      <c r="FU120"/>
    </row>
    <row r="121" spans="1:177" x14ac:dyDescent="0.3">
      <c r="A121" s="22"/>
      <c r="B121" s="20"/>
      <c r="C121" s="300"/>
      <c r="D121" s="506"/>
      <c r="E121" s="188"/>
      <c r="F121" s="307"/>
      <c r="G121" s="1134"/>
      <c r="AT121"/>
      <c r="AU121"/>
      <c r="AV121"/>
      <c r="AW121"/>
      <c r="AX121"/>
      <c r="FP121"/>
      <c r="FR121"/>
      <c r="FT121"/>
      <c r="FU121"/>
    </row>
    <row r="122" spans="1:177" x14ac:dyDescent="0.3">
      <c r="A122" s="22"/>
      <c r="B122" s="20"/>
      <c r="C122" s="300"/>
      <c r="D122" s="506"/>
      <c r="E122" s="188"/>
      <c r="F122" s="307"/>
      <c r="G122" s="1134"/>
      <c r="AT122"/>
      <c r="AU122"/>
      <c r="AV122"/>
      <c r="AW122"/>
      <c r="AX122"/>
      <c r="FP122"/>
      <c r="FR122"/>
      <c r="FT122"/>
      <c r="FU122"/>
    </row>
    <row r="123" spans="1:177" x14ac:dyDescent="0.3">
      <c r="A123" s="22"/>
      <c r="B123" s="20"/>
      <c r="C123" s="300"/>
      <c r="D123" s="506"/>
      <c r="E123" s="188"/>
      <c r="F123" s="307"/>
      <c r="G123" s="1134"/>
      <c r="AT123"/>
      <c r="AU123"/>
      <c r="AV123"/>
      <c r="AW123"/>
      <c r="AX123"/>
      <c r="FP123"/>
      <c r="FR123"/>
      <c r="FT123"/>
      <c r="FU123"/>
    </row>
    <row r="124" spans="1:177" x14ac:dyDescent="0.3">
      <c r="A124" s="22"/>
      <c r="B124" s="20"/>
      <c r="C124" s="300"/>
      <c r="D124" s="506"/>
      <c r="E124" s="188"/>
      <c r="F124" s="307"/>
      <c r="G124" s="1134"/>
      <c r="AT124"/>
      <c r="AU124"/>
      <c r="AV124"/>
      <c r="AW124"/>
      <c r="AX124"/>
      <c r="FP124"/>
      <c r="FR124"/>
      <c r="FT124"/>
      <c r="FU124"/>
    </row>
    <row r="125" spans="1:177" x14ac:dyDescent="0.3">
      <c r="A125" s="22"/>
      <c r="B125" s="20"/>
      <c r="C125" s="300"/>
      <c r="D125" s="506"/>
      <c r="E125" s="188"/>
      <c r="F125" s="307"/>
      <c r="G125" s="1134"/>
      <c r="AT125"/>
      <c r="AU125"/>
      <c r="AV125"/>
      <c r="AW125"/>
      <c r="AX125"/>
      <c r="FP125"/>
      <c r="FR125"/>
      <c r="FT125"/>
      <c r="FU125"/>
    </row>
    <row r="126" spans="1:177" x14ac:dyDescent="0.3">
      <c r="A126" s="22"/>
      <c r="B126" s="20"/>
      <c r="C126" s="300"/>
      <c r="D126" s="506"/>
      <c r="E126" s="188"/>
      <c r="F126" s="307"/>
      <c r="G126" s="1134"/>
      <c r="AT126"/>
      <c r="AU126"/>
      <c r="AV126"/>
      <c r="AW126"/>
      <c r="AX126"/>
      <c r="FP126"/>
      <c r="FR126"/>
      <c r="FT126"/>
      <c r="FU126"/>
    </row>
    <row r="127" spans="1:177" x14ac:dyDescent="0.3">
      <c r="A127" s="22"/>
      <c r="B127" s="20"/>
      <c r="C127" s="300"/>
      <c r="D127" s="506"/>
      <c r="E127" s="188"/>
      <c r="F127" s="307"/>
      <c r="G127" s="1134"/>
      <c r="AT127"/>
      <c r="AU127"/>
      <c r="AV127"/>
      <c r="AW127"/>
      <c r="AX127"/>
      <c r="FP127"/>
      <c r="FR127"/>
      <c r="FT127"/>
      <c r="FU127"/>
    </row>
    <row r="128" spans="1:177" x14ac:dyDescent="0.3">
      <c r="A128" s="22"/>
      <c r="B128" s="20"/>
      <c r="C128" s="300"/>
      <c r="D128" s="506"/>
      <c r="E128" s="188"/>
      <c r="F128" s="307"/>
      <c r="G128" s="1134"/>
      <c r="AT128"/>
      <c r="AU128"/>
      <c r="AV128"/>
      <c r="AW128"/>
      <c r="AX128"/>
      <c r="FP128"/>
      <c r="FR128"/>
      <c r="FT128"/>
      <c r="FU128"/>
    </row>
    <row r="129" spans="1:177" x14ac:dyDescent="0.3">
      <c r="A129" s="22"/>
      <c r="B129" s="20"/>
      <c r="C129" s="300"/>
      <c r="D129" s="506"/>
      <c r="E129" s="188"/>
      <c r="F129" s="307"/>
      <c r="G129" s="1134"/>
      <c r="AT129"/>
      <c r="AU129"/>
      <c r="AV129"/>
      <c r="AW129"/>
      <c r="AX129"/>
      <c r="FP129"/>
      <c r="FR129"/>
      <c r="FT129"/>
      <c r="FU129"/>
    </row>
    <row r="130" spans="1:177" x14ac:dyDescent="0.3">
      <c r="A130" s="22"/>
      <c r="B130" s="20"/>
      <c r="C130" s="300"/>
      <c r="D130" s="506"/>
      <c r="E130" s="188"/>
      <c r="F130" s="307"/>
      <c r="G130" s="1134"/>
      <c r="AT130"/>
      <c r="AU130"/>
      <c r="AV130"/>
      <c r="AW130"/>
      <c r="AX130"/>
      <c r="FP130"/>
      <c r="FR130"/>
      <c r="FT130"/>
      <c r="FU130"/>
    </row>
    <row r="131" spans="1:177" x14ac:dyDescent="0.3">
      <c r="A131" s="22"/>
      <c r="B131" s="20"/>
      <c r="C131" s="300"/>
      <c r="D131" s="506"/>
      <c r="E131" s="188"/>
      <c r="F131" s="307"/>
      <c r="G131" s="1134"/>
      <c r="AT131"/>
      <c r="AU131"/>
      <c r="AV131"/>
      <c r="AW131"/>
      <c r="AX131"/>
      <c r="FP131"/>
      <c r="FR131"/>
      <c r="FT131"/>
      <c r="FU131"/>
    </row>
    <row r="132" spans="1:177" x14ac:dyDescent="0.3">
      <c r="A132" s="22"/>
      <c r="B132" s="20"/>
      <c r="C132" s="300"/>
      <c r="D132" s="506"/>
      <c r="E132" s="188"/>
      <c r="F132" s="307"/>
      <c r="G132" s="1134"/>
      <c r="AT132"/>
      <c r="AU132"/>
      <c r="AV132"/>
      <c r="AW132"/>
      <c r="AX132"/>
      <c r="FP132"/>
      <c r="FR132"/>
      <c r="FT132"/>
      <c r="FU132"/>
    </row>
    <row r="133" spans="1:177" x14ac:dyDescent="0.3">
      <c r="A133" s="22"/>
      <c r="B133" s="20"/>
      <c r="C133" s="300"/>
      <c r="D133" s="506"/>
      <c r="E133" s="188"/>
      <c r="F133" s="307"/>
      <c r="G133" s="1134"/>
      <c r="AT133"/>
      <c r="AU133"/>
      <c r="AV133"/>
      <c r="AW133"/>
      <c r="AX133"/>
      <c r="FP133"/>
      <c r="FR133"/>
      <c r="FT133"/>
      <c r="FU133"/>
    </row>
    <row r="134" spans="1:177" x14ac:dyDescent="0.3">
      <c r="A134" s="22"/>
      <c r="B134" s="20"/>
      <c r="C134" s="300"/>
      <c r="D134" s="506"/>
      <c r="E134" s="188"/>
      <c r="F134" s="307"/>
      <c r="G134" s="1134"/>
      <c r="AT134"/>
      <c r="AU134"/>
      <c r="AV134"/>
      <c r="AW134"/>
      <c r="AX134"/>
      <c r="FP134"/>
      <c r="FR134"/>
      <c r="FT134"/>
      <c r="FU134"/>
    </row>
    <row r="135" spans="1:177" x14ac:dyDescent="0.3">
      <c r="A135" s="22"/>
      <c r="B135" s="20"/>
      <c r="C135" s="300"/>
      <c r="D135" s="506"/>
      <c r="E135" s="188"/>
      <c r="F135" s="307"/>
      <c r="G135" s="1134"/>
      <c r="AT135"/>
      <c r="AU135"/>
      <c r="AV135"/>
      <c r="AW135"/>
      <c r="AX135"/>
      <c r="FP135"/>
      <c r="FR135"/>
      <c r="FT135"/>
      <c r="FU135"/>
    </row>
    <row r="136" spans="1:177" x14ac:dyDescent="0.3">
      <c r="A136" s="22"/>
      <c r="B136" s="20"/>
      <c r="C136" s="300"/>
      <c r="D136" s="506"/>
      <c r="E136" s="188"/>
      <c r="F136" s="307"/>
      <c r="G136" s="1134"/>
      <c r="AT136"/>
      <c r="AU136"/>
      <c r="AV136"/>
      <c r="AW136"/>
      <c r="AX136"/>
      <c r="FP136"/>
      <c r="FR136"/>
      <c r="FT136"/>
      <c r="FU136"/>
    </row>
    <row r="137" spans="1:177" x14ac:dyDescent="0.3">
      <c r="A137" s="22"/>
      <c r="B137" s="20"/>
      <c r="C137" s="300"/>
      <c r="D137" s="506"/>
      <c r="E137" s="188"/>
      <c r="F137" s="307"/>
      <c r="G137" s="1134"/>
      <c r="AT137"/>
      <c r="AU137"/>
      <c r="AV137"/>
      <c r="AW137"/>
      <c r="AX137"/>
      <c r="FP137"/>
      <c r="FR137"/>
      <c r="FT137"/>
      <c r="FU137"/>
    </row>
    <row r="138" spans="1:177" x14ac:dyDescent="0.3">
      <c r="A138" s="22"/>
      <c r="B138" s="20"/>
      <c r="C138" s="300"/>
      <c r="D138" s="506"/>
      <c r="E138" s="188"/>
      <c r="F138" s="307"/>
      <c r="G138" s="1134"/>
      <c r="AT138"/>
      <c r="AU138"/>
      <c r="AV138"/>
      <c r="AW138"/>
      <c r="AX138"/>
      <c r="FP138"/>
      <c r="FR138"/>
      <c r="FT138"/>
      <c r="FU138"/>
    </row>
    <row r="139" spans="1:177" x14ac:dyDescent="0.3">
      <c r="A139" s="22"/>
      <c r="B139" s="20"/>
      <c r="C139" s="300"/>
      <c r="D139" s="506"/>
      <c r="E139" s="188"/>
      <c r="F139" s="307"/>
      <c r="G139" s="1134"/>
      <c r="AT139"/>
      <c r="AU139"/>
      <c r="AV139"/>
      <c r="AW139"/>
      <c r="AX139"/>
      <c r="FP139"/>
      <c r="FR139"/>
      <c r="FT139"/>
      <c r="FU139"/>
    </row>
    <row r="140" spans="1:177" x14ac:dyDescent="0.3">
      <c r="A140" s="22"/>
      <c r="B140" s="20"/>
      <c r="C140" s="300"/>
      <c r="D140" s="506"/>
      <c r="E140" s="188"/>
      <c r="F140" s="307"/>
      <c r="G140" s="1134"/>
      <c r="AT140"/>
      <c r="AU140"/>
      <c r="AV140"/>
      <c r="AW140"/>
      <c r="AX140"/>
      <c r="FP140"/>
      <c r="FR140"/>
      <c r="FT140"/>
      <c r="FU140"/>
    </row>
    <row r="141" spans="1:177" x14ac:dyDescent="0.3">
      <c r="A141" s="22"/>
      <c r="B141" s="20"/>
      <c r="C141" s="300"/>
      <c r="D141" s="506"/>
      <c r="E141" s="188"/>
      <c r="F141" s="307"/>
      <c r="G141" s="1134"/>
      <c r="AT141"/>
      <c r="AU141"/>
      <c r="AV141"/>
      <c r="AW141"/>
      <c r="AX141"/>
      <c r="FP141"/>
      <c r="FR141"/>
      <c r="FT141"/>
      <c r="FU141"/>
    </row>
    <row r="142" spans="1:177" x14ac:dyDescent="0.3">
      <c r="A142" s="22"/>
      <c r="B142" s="20"/>
      <c r="C142" s="300"/>
      <c r="D142" s="506"/>
      <c r="E142" s="188"/>
      <c r="F142" s="307"/>
      <c r="G142" s="1134"/>
      <c r="AT142"/>
      <c r="AU142"/>
      <c r="AV142"/>
      <c r="AW142"/>
      <c r="AX142"/>
      <c r="FP142"/>
      <c r="FR142"/>
      <c r="FT142"/>
      <c r="FU142"/>
    </row>
    <row r="143" spans="1:177" x14ac:dyDescent="0.3">
      <c r="A143" s="22"/>
      <c r="B143" s="20"/>
      <c r="C143" s="300"/>
      <c r="D143" s="506"/>
      <c r="E143" s="188"/>
      <c r="F143" s="307"/>
      <c r="G143" s="1134"/>
      <c r="AT143"/>
      <c r="AU143"/>
      <c r="AV143"/>
      <c r="AW143"/>
      <c r="AX143"/>
      <c r="FP143"/>
      <c r="FR143"/>
      <c r="FT143"/>
      <c r="FU143"/>
    </row>
    <row r="144" spans="1:177" x14ac:dyDescent="0.3">
      <c r="A144" s="22"/>
      <c r="B144" s="20"/>
      <c r="C144" s="300"/>
      <c r="D144" s="506"/>
      <c r="E144" s="188"/>
      <c r="F144" s="307"/>
      <c r="G144" s="1134"/>
      <c r="AT144"/>
      <c r="AU144"/>
      <c r="AV144"/>
      <c r="AW144"/>
      <c r="AX144"/>
      <c r="FP144"/>
      <c r="FR144"/>
      <c r="FT144"/>
      <c r="FU144"/>
    </row>
    <row r="145" spans="1:177" x14ac:dyDescent="0.3">
      <c r="A145" s="22"/>
      <c r="B145" s="20"/>
      <c r="C145" s="300"/>
      <c r="D145" s="506"/>
      <c r="E145" s="188"/>
      <c r="F145" s="307"/>
      <c r="G145" s="1134"/>
      <c r="AT145"/>
      <c r="AU145"/>
      <c r="AV145"/>
      <c r="AW145"/>
      <c r="AX145"/>
      <c r="FP145"/>
      <c r="FR145"/>
      <c r="FT145"/>
      <c r="FU145"/>
    </row>
    <row r="146" spans="1:177" x14ac:dyDescent="0.3">
      <c r="AT146"/>
      <c r="AU146"/>
      <c r="AV146"/>
      <c r="AW146"/>
      <c r="AX146"/>
      <c r="FP146"/>
      <c r="FR146"/>
      <c r="FT146"/>
      <c r="FU146"/>
    </row>
    <row r="147" spans="1:177" x14ac:dyDescent="0.3">
      <c r="AT147"/>
      <c r="AU147"/>
      <c r="AV147"/>
      <c r="AW147"/>
      <c r="AX147"/>
      <c r="FP147"/>
      <c r="FR147"/>
      <c r="FT147"/>
      <c r="FU147"/>
    </row>
    <row r="148" spans="1:177" x14ac:dyDescent="0.3">
      <c r="AT148"/>
      <c r="AU148"/>
      <c r="AV148"/>
      <c r="AW148"/>
      <c r="AX148"/>
      <c r="FP148"/>
      <c r="FR148"/>
      <c r="FT148"/>
      <c r="FU148"/>
    </row>
    <row r="149" spans="1:177" x14ac:dyDescent="0.3">
      <c r="AT149"/>
      <c r="AU149"/>
      <c r="AV149"/>
      <c r="AW149"/>
      <c r="AX149"/>
      <c r="BB149" s="169"/>
      <c r="BC149" s="169"/>
      <c r="BD149" s="169"/>
      <c r="BE149" s="169"/>
      <c r="BO149" s="169"/>
      <c r="FP149"/>
      <c r="FR149"/>
      <c r="FT149"/>
      <c r="FU149"/>
    </row>
    <row r="150" spans="1:177" x14ac:dyDescent="0.3">
      <c r="AT150"/>
      <c r="AU150"/>
      <c r="AV150"/>
      <c r="AW150"/>
      <c r="AX150"/>
      <c r="BB150" s="169"/>
      <c r="BC150" s="169"/>
      <c r="BD150" s="169"/>
      <c r="BE150" s="169"/>
      <c r="BO150" s="169"/>
      <c r="FP150"/>
      <c r="FR150"/>
      <c r="FT150"/>
      <c r="FU150"/>
    </row>
    <row r="151" spans="1:177" x14ac:dyDescent="0.3">
      <c r="AT151"/>
      <c r="AU151"/>
      <c r="AV151"/>
      <c r="AW151"/>
      <c r="AX151"/>
      <c r="BB151" s="169"/>
      <c r="BC151" s="169"/>
      <c r="BD151" s="169"/>
      <c r="BE151" s="169"/>
      <c r="BO151" s="169"/>
      <c r="FP151"/>
      <c r="FR151"/>
      <c r="FT151"/>
      <c r="FU151"/>
    </row>
    <row r="152" spans="1:177" x14ac:dyDescent="0.3">
      <c r="AT152"/>
      <c r="AU152"/>
      <c r="AV152"/>
      <c r="AW152"/>
      <c r="AX152"/>
      <c r="BB152" s="169"/>
      <c r="BC152" s="169"/>
      <c r="BD152" s="169"/>
      <c r="BE152" s="169"/>
      <c r="BO152" s="169"/>
      <c r="FP152"/>
      <c r="FR152"/>
      <c r="FT152"/>
      <c r="FU152"/>
    </row>
    <row r="153" spans="1:177" x14ac:dyDescent="0.3">
      <c r="AT153"/>
      <c r="AU153"/>
      <c r="AV153"/>
      <c r="AW153"/>
      <c r="AX153"/>
      <c r="BB153" s="169"/>
      <c r="BC153" s="169"/>
      <c r="BD153" s="169"/>
      <c r="BE153" s="169"/>
      <c r="BO153" s="169"/>
      <c r="FP153"/>
      <c r="FR153"/>
      <c r="FT153"/>
      <c r="FU153"/>
    </row>
    <row r="154" spans="1:177" x14ac:dyDescent="0.3">
      <c r="AT154"/>
      <c r="AU154"/>
      <c r="AV154"/>
      <c r="AW154"/>
      <c r="AX154"/>
      <c r="BB154" s="169"/>
      <c r="BC154" s="169"/>
      <c r="BD154" s="169"/>
      <c r="BE154" s="169"/>
      <c r="BO154" s="169"/>
      <c r="FP154"/>
      <c r="FR154"/>
      <c r="FT154"/>
      <c r="FU154"/>
    </row>
    <row r="155" spans="1:177" x14ac:dyDescent="0.3">
      <c r="AT155"/>
      <c r="AU155"/>
      <c r="AV155"/>
      <c r="AW155"/>
      <c r="AX155"/>
      <c r="BB155" s="169"/>
      <c r="BC155" s="169"/>
      <c r="BD155" s="169"/>
      <c r="BE155" s="169"/>
      <c r="BO155" s="169"/>
      <c r="FP155"/>
      <c r="FR155"/>
      <c r="FT155"/>
      <c r="FU155"/>
    </row>
    <row r="156" spans="1:177" x14ac:dyDescent="0.3">
      <c r="AT156"/>
      <c r="AU156"/>
      <c r="AV156"/>
      <c r="AW156"/>
      <c r="AX156"/>
      <c r="BB156" s="169"/>
      <c r="BC156" s="169"/>
      <c r="BD156" s="169"/>
      <c r="BE156" s="169"/>
      <c r="BO156" s="169"/>
      <c r="FP156"/>
      <c r="FR156"/>
      <c r="FT156"/>
      <c r="FU156"/>
    </row>
    <row r="157" spans="1:177" x14ac:dyDescent="0.3">
      <c r="AT157"/>
      <c r="AU157"/>
      <c r="AV157"/>
      <c r="AW157"/>
      <c r="AX157"/>
      <c r="BB157" s="169"/>
      <c r="BC157" s="169"/>
      <c r="BO157" s="169"/>
      <c r="FP157"/>
      <c r="FR157"/>
      <c r="FT157"/>
      <c r="FU157"/>
    </row>
    <row r="158" spans="1:177" x14ac:dyDescent="0.3">
      <c r="AT158"/>
      <c r="AU158"/>
      <c r="AV158"/>
      <c r="AW158"/>
      <c r="AX158"/>
      <c r="BB158" s="169"/>
      <c r="BC158" s="169"/>
      <c r="BO158" s="169"/>
      <c r="FP158"/>
      <c r="FR158"/>
      <c r="FT158"/>
      <c r="FU158"/>
    </row>
    <row r="159" spans="1:177" x14ac:dyDescent="0.3">
      <c r="AT159"/>
      <c r="AU159"/>
      <c r="AV159"/>
      <c r="AW159"/>
      <c r="AX159"/>
      <c r="BB159" s="169"/>
      <c r="BC159" s="169"/>
      <c r="BO159" s="169"/>
      <c r="FP159"/>
      <c r="FR159"/>
      <c r="FT159"/>
      <c r="FU159"/>
    </row>
    <row r="160" spans="1:177" x14ac:dyDescent="0.3">
      <c r="AT160"/>
      <c r="AU160"/>
      <c r="AV160"/>
      <c r="AW160"/>
      <c r="AX160"/>
      <c r="BB160" s="169"/>
      <c r="BC160" s="169"/>
      <c r="BO160" s="169"/>
      <c r="FP160"/>
      <c r="FR160"/>
      <c r="FT160"/>
      <c r="FU160"/>
    </row>
    <row r="161" spans="46:177" x14ac:dyDescent="0.3">
      <c r="AT161"/>
      <c r="AU161"/>
      <c r="AV161"/>
      <c r="AW161"/>
      <c r="AX161"/>
      <c r="BB161" s="169"/>
      <c r="BC161" s="169"/>
      <c r="BO161" s="169"/>
      <c r="FP161"/>
      <c r="FR161"/>
      <c r="FT161"/>
      <c r="FU161"/>
    </row>
    <row r="162" spans="46:177" x14ac:dyDescent="0.3">
      <c r="AT162"/>
      <c r="AU162"/>
      <c r="AV162"/>
      <c r="AW162"/>
      <c r="AX162"/>
      <c r="BB162" s="169"/>
      <c r="BC162" s="169"/>
      <c r="BO162" s="169"/>
      <c r="FP162"/>
      <c r="FR162"/>
      <c r="FT162"/>
      <c r="FU162"/>
    </row>
    <row r="163" spans="46:177" x14ac:dyDescent="0.3">
      <c r="AT163"/>
      <c r="AU163"/>
      <c r="AV163"/>
      <c r="AW163"/>
      <c r="AX163"/>
      <c r="BB163" s="169"/>
      <c r="BC163" s="169"/>
      <c r="BO163" s="169"/>
      <c r="FP163"/>
      <c r="FR163"/>
      <c r="FT163"/>
      <c r="FU163"/>
    </row>
    <row r="164" spans="46:177" x14ac:dyDescent="0.3">
      <c r="AT164"/>
      <c r="AU164"/>
      <c r="AV164"/>
      <c r="AW164"/>
      <c r="AX164"/>
      <c r="BB164" s="169"/>
      <c r="BC164" s="169"/>
      <c r="BO164" s="169"/>
      <c r="FP164"/>
      <c r="FR164"/>
      <c r="FT164"/>
      <c r="FU164"/>
    </row>
    <row r="165" spans="46:177" x14ac:dyDescent="0.3">
      <c r="AT165"/>
      <c r="AX165"/>
      <c r="FP165"/>
      <c r="FR165"/>
      <c r="FT165"/>
      <c r="FU165"/>
    </row>
    <row r="166" spans="46:177" x14ac:dyDescent="0.3">
      <c r="AT166"/>
      <c r="AX166"/>
      <c r="FP166"/>
      <c r="FR166"/>
      <c r="FT166"/>
      <c r="FU166"/>
    </row>
    <row r="167" spans="46:177" x14ac:dyDescent="0.3">
      <c r="AT167"/>
      <c r="AX167"/>
      <c r="FP167"/>
      <c r="FR167"/>
      <c r="FT167"/>
      <c r="FU167"/>
    </row>
    <row r="168" spans="46:177" x14ac:dyDescent="0.3">
      <c r="AT168"/>
      <c r="AX168"/>
      <c r="FP168"/>
      <c r="FR168"/>
      <c r="FT168"/>
      <c r="FU168"/>
    </row>
    <row r="169" spans="46:177" x14ac:dyDescent="0.3">
      <c r="AT169"/>
      <c r="AX169"/>
      <c r="FP169"/>
      <c r="FR169"/>
      <c r="FT169"/>
      <c r="FU169"/>
    </row>
    <row r="170" spans="46:177" x14ac:dyDescent="0.3">
      <c r="AT170"/>
      <c r="AX170"/>
      <c r="FP170"/>
      <c r="FR170"/>
      <c r="FT170"/>
      <c r="FU170"/>
    </row>
    <row r="171" spans="46:177" x14ac:dyDescent="0.3">
      <c r="AT171"/>
      <c r="AX171"/>
      <c r="FP171"/>
      <c r="FR171"/>
      <c r="FT171"/>
      <c r="FU171"/>
    </row>
    <row r="172" spans="46:177" x14ac:dyDescent="0.3">
      <c r="AT172"/>
      <c r="AX172"/>
      <c r="FP172"/>
      <c r="FR172"/>
      <c r="FT172"/>
      <c r="FU172"/>
    </row>
    <row r="173" spans="46:177" x14ac:dyDescent="0.3">
      <c r="AX173"/>
      <c r="FP173"/>
      <c r="FR173"/>
      <c r="FT173"/>
      <c r="FU173"/>
    </row>
    <row r="174" spans="46:177" x14ac:dyDescent="0.3">
      <c r="AX174"/>
      <c r="FP174"/>
      <c r="FR174"/>
      <c r="FT174"/>
      <c r="FU174"/>
    </row>
    <row r="175" spans="46:177" x14ac:dyDescent="0.3">
      <c r="FP175"/>
      <c r="FR175"/>
      <c r="FT175"/>
      <c r="FU175"/>
    </row>
    <row r="176" spans="46:177" x14ac:dyDescent="0.3">
      <c r="FP176"/>
      <c r="FR176"/>
      <c r="FT176"/>
      <c r="FU176"/>
    </row>
    <row r="177" spans="172:177" x14ac:dyDescent="0.3">
      <c r="FP177"/>
      <c r="FR177"/>
      <c r="FT177"/>
      <c r="FU177"/>
    </row>
    <row r="178" spans="172:177" x14ac:dyDescent="0.3">
      <c r="FP178"/>
      <c r="FR178"/>
      <c r="FT178"/>
      <c r="FU178"/>
    </row>
    <row r="179" spans="172:177" x14ac:dyDescent="0.3">
      <c r="FP179"/>
      <c r="FR179"/>
      <c r="FT179"/>
      <c r="FU179"/>
    </row>
    <row r="180" spans="172:177" x14ac:dyDescent="0.3">
      <c r="FP180"/>
      <c r="FR180"/>
      <c r="FT180"/>
      <c r="FU180"/>
    </row>
    <row r="181" spans="172:177" x14ac:dyDescent="0.3">
      <c r="FP181"/>
      <c r="FR181"/>
      <c r="FT181"/>
      <c r="FU181"/>
    </row>
    <row r="182" spans="172:177" x14ac:dyDescent="0.3">
      <c r="FP182"/>
      <c r="FR182"/>
      <c r="FT182"/>
      <c r="FU182"/>
    </row>
    <row r="183" spans="172:177" x14ac:dyDescent="0.3">
      <c r="FP183"/>
      <c r="FR183"/>
      <c r="FT183"/>
      <c r="FU183"/>
    </row>
    <row r="184" spans="172:177" x14ac:dyDescent="0.3">
      <c r="FP184"/>
      <c r="FR184"/>
      <c r="FT184"/>
      <c r="FU184"/>
    </row>
  </sheetData>
  <mergeCells count="27">
    <mergeCell ref="H98:I98"/>
    <mergeCell ref="GT5:GT8"/>
    <mergeCell ref="GO5:GO7"/>
    <mergeCell ref="GP5:GP7"/>
    <mergeCell ref="GQ5:GQ6"/>
    <mergeCell ref="GR5:GR7"/>
    <mergeCell ref="GS5:GS7"/>
    <mergeCell ref="G5:G6"/>
    <mergeCell ref="H5:I5"/>
    <mergeCell ref="H87:I87"/>
    <mergeCell ref="GI4:GM4"/>
    <mergeCell ref="CA5:CA6"/>
    <mergeCell ref="CB5:CB7"/>
    <mergeCell ref="DU5:DU6"/>
    <mergeCell ref="DV5:DV7"/>
    <mergeCell ref="GA5:GA6"/>
    <mergeCell ref="J4:GA4"/>
    <mergeCell ref="J5:J7"/>
    <mergeCell ref="GC4:GH4"/>
    <mergeCell ref="C98:F98"/>
    <mergeCell ref="A100:A106"/>
    <mergeCell ref="D7:F7"/>
    <mergeCell ref="A88:B88"/>
    <mergeCell ref="A94:B94"/>
    <mergeCell ref="A5:A8"/>
    <mergeCell ref="B5:B6"/>
    <mergeCell ref="C5:F5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52D4-6F6A-4C38-BF73-324A257DA97E}">
  <dimension ref="A1:HE298"/>
  <sheetViews>
    <sheetView zoomScale="87" zoomScaleNormal="87" workbookViewId="0">
      <pane xSplit="2" ySplit="8" topLeftCell="C96" activePane="bottomRight" state="frozen"/>
      <selection activeCell="A117" sqref="A9:XFD117"/>
      <selection pane="topRight" activeCell="A117" sqref="A9:XFD117"/>
      <selection pane="bottomLeft" activeCell="A117" sqref="A9:XFD117"/>
      <selection pane="bottomRight" activeCell="J1" sqref="J1:GW1048576"/>
    </sheetView>
  </sheetViews>
  <sheetFormatPr defaultRowHeight="14.4" x14ac:dyDescent="0.3"/>
  <cols>
    <col min="1" max="1" width="9.44140625" customWidth="1"/>
    <col min="2" max="2" width="37.88671875" customWidth="1"/>
    <col min="3" max="3" width="14.33203125" customWidth="1"/>
    <col min="4" max="6" width="13.109375" customWidth="1"/>
    <col min="7" max="7" width="14.109375" customWidth="1"/>
    <col min="8" max="8" width="14.6640625" style="61" customWidth="1"/>
    <col min="9" max="9" width="14.109375" customWidth="1"/>
    <col min="10" max="10" width="5.33203125" customWidth="1"/>
    <col min="11" max="18" width="12.6640625" hidden="1" customWidth="1"/>
    <col min="19" max="19" width="13.88671875" hidden="1" customWidth="1"/>
    <col min="20" max="59" width="12.6640625" hidden="1" customWidth="1"/>
    <col min="60" max="61" width="13.6640625" hidden="1" customWidth="1"/>
    <col min="62" max="71" width="12.6640625" hidden="1" customWidth="1"/>
    <col min="72" max="72" width="5.33203125" customWidth="1"/>
    <col min="73" max="124" width="12.6640625" hidden="1" customWidth="1"/>
    <col min="125" max="125" width="5.33203125" customWidth="1"/>
    <col min="126" max="179" width="12.6640625" hidden="1" customWidth="1"/>
    <col min="180" max="180" width="12.6640625" style="315" hidden="1" customWidth="1"/>
    <col min="181" max="182" width="12.6640625" hidden="1" customWidth="1"/>
    <col min="183" max="183" width="12.44140625" hidden="1" customWidth="1"/>
    <col min="184" max="184" width="5.33203125" customWidth="1"/>
    <col min="185" max="185" width="5.33203125" hidden="1" customWidth="1"/>
    <col min="186" max="198" width="12.6640625" hidden="1" customWidth="1"/>
    <col min="199" max="199" width="5.109375" hidden="1" customWidth="1"/>
    <col min="200" max="200" width="4.44140625" hidden="1" customWidth="1"/>
    <col min="201" max="202" width="11.6640625" hidden="1" customWidth="1"/>
    <col min="203" max="203" width="4.33203125" hidden="1" customWidth="1"/>
    <col min="204" max="204" width="9.5546875" hidden="1" customWidth="1"/>
    <col min="205" max="205" width="12.6640625" customWidth="1"/>
    <col min="206" max="206" width="15" customWidth="1"/>
    <col min="207" max="207" width="14.44140625" customWidth="1"/>
    <col min="208" max="208" width="14" customWidth="1"/>
    <col min="209" max="209" width="12.6640625" customWidth="1"/>
    <col min="210" max="210" width="41.5546875" customWidth="1"/>
    <col min="211" max="211" width="14" hidden="1" customWidth="1"/>
    <col min="212" max="212" width="13.33203125" customWidth="1"/>
  </cols>
  <sheetData>
    <row r="1" spans="1:213" ht="15.9" customHeight="1" x14ac:dyDescent="0.3">
      <c r="E1" s="780"/>
      <c r="G1" s="780"/>
      <c r="H1"/>
      <c r="FX1"/>
      <c r="GX1" s="19" t="s">
        <v>51</v>
      </c>
      <c r="GY1" s="20" t="s">
        <v>63</v>
      </c>
    </row>
    <row r="2" spans="1:213" ht="15.9" customHeight="1" x14ac:dyDescent="0.3">
      <c r="A2" s="316" t="s">
        <v>51</v>
      </c>
      <c r="B2" s="88" t="s">
        <v>96</v>
      </c>
      <c r="C2" s="300"/>
      <c r="D2" s="506"/>
      <c r="E2" s="188"/>
      <c r="F2" s="307"/>
      <c r="G2" s="17"/>
      <c r="H2"/>
      <c r="FX2"/>
      <c r="GX2" s="23" t="s">
        <v>51</v>
      </c>
      <c r="GY2" s="20" t="s">
        <v>53</v>
      </c>
    </row>
    <row r="3" spans="1:213" ht="15.9" customHeight="1" thickBot="1" x14ac:dyDescent="0.35">
      <c r="A3" s="226" t="s">
        <v>51</v>
      </c>
      <c r="B3" s="88" t="s">
        <v>109</v>
      </c>
      <c r="C3" s="300"/>
      <c r="D3" s="506"/>
      <c r="E3" s="188"/>
      <c r="F3" s="307"/>
      <c r="G3" s="17"/>
      <c r="H3"/>
      <c r="FX3"/>
      <c r="GD3" s="586"/>
      <c r="GE3" s="586"/>
      <c r="GF3" s="586"/>
      <c r="GG3" s="586"/>
      <c r="GH3" s="586"/>
      <c r="GI3" s="586"/>
      <c r="GJ3" s="586"/>
      <c r="GK3" s="586"/>
      <c r="GL3" s="586"/>
      <c r="GM3" s="586"/>
      <c r="GN3" s="586"/>
      <c r="GO3" s="586"/>
      <c r="GP3" s="586"/>
      <c r="GX3" s="48" t="s">
        <v>54</v>
      </c>
      <c r="GY3" s="20" t="s">
        <v>55</v>
      </c>
    </row>
    <row r="4" spans="1:213" ht="15" customHeight="1" thickBot="1" x14ac:dyDescent="0.35">
      <c r="A4" s="49"/>
      <c r="B4" s="50"/>
      <c r="C4" s="301"/>
      <c r="D4" s="507"/>
      <c r="E4" s="189"/>
      <c r="F4" s="308"/>
      <c r="G4" s="98"/>
      <c r="H4" s="99"/>
      <c r="I4" s="100"/>
      <c r="J4" s="1319" t="s">
        <v>91</v>
      </c>
      <c r="K4" s="1320"/>
      <c r="L4" s="1320"/>
      <c r="M4" s="1320"/>
      <c r="N4" s="1320"/>
      <c r="O4" s="1320"/>
      <c r="P4" s="1320"/>
      <c r="Q4" s="1320"/>
      <c r="R4" s="1320"/>
      <c r="S4" s="1320"/>
      <c r="T4" s="1320"/>
      <c r="U4" s="1320"/>
      <c r="V4" s="1320"/>
      <c r="W4" s="1320"/>
      <c r="X4" s="1320"/>
      <c r="Y4" s="1320"/>
      <c r="Z4" s="1320"/>
      <c r="AA4" s="1320"/>
      <c r="AB4" s="1320"/>
      <c r="AC4" s="1320"/>
      <c r="AD4" s="1320"/>
      <c r="AE4" s="1320"/>
      <c r="AF4" s="1320"/>
      <c r="AG4" s="1320"/>
      <c r="AH4" s="1320"/>
      <c r="AI4" s="1320"/>
      <c r="AJ4" s="1320"/>
      <c r="AK4" s="1320"/>
      <c r="AL4" s="1320"/>
      <c r="AM4" s="1320"/>
      <c r="AN4" s="1320"/>
      <c r="AO4" s="1320"/>
      <c r="AP4" s="1320"/>
      <c r="AQ4" s="1320"/>
      <c r="AR4" s="1320"/>
      <c r="AS4" s="1320"/>
      <c r="AT4" s="1320"/>
      <c r="AU4" s="1320"/>
      <c r="AV4" s="1320"/>
      <c r="AW4" s="1320"/>
      <c r="AX4" s="1320"/>
      <c r="AY4" s="1320"/>
      <c r="AZ4" s="1320"/>
      <c r="BA4" s="1320"/>
      <c r="BB4" s="1320"/>
      <c r="BC4" s="1320"/>
      <c r="BD4" s="1320"/>
      <c r="BE4" s="1320"/>
      <c r="BF4" s="1320"/>
      <c r="BG4" s="1320"/>
      <c r="BH4" s="1320"/>
      <c r="BI4" s="1320"/>
      <c r="BJ4" s="1320"/>
      <c r="BK4" s="1320"/>
      <c r="BL4" s="1320"/>
      <c r="BM4" s="1320"/>
      <c r="BN4" s="1320"/>
      <c r="BO4" s="1320"/>
      <c r="BP4" s="1320"/>
      <c r="BQ4" s="1320"/>
      <c r="BR4" s="1320"/>
      <c r="BS4" s="1320"/>
      <c r="BT4" s="1320"/>
      <c r="BU4" s="1320"/>
      <c r="BV4" s="1320"/>
      <c r="BW4" s="1320"/>
      <c r="BX4" s="1320"/>
      <c r="BY4" s="1320"/>
      <c r="BZ4" s="1320"/>
      <c r="CA4" s="1320"/>
      <c r="CB4" s="1320"/>
      <c r="CC4" s="1320"/>
      <c r="CD4" s="1320"/>
      <c r="CE4" s="1320"/>
      <c r="CF4" s="1320"/>
      <c r="CG4" s="1320"/>
      <c r="CH4" s="1320"/>
      <c r="CI4" s="1320"/>
      <c r="CJ4" s="1320"/>
      <c r="CK4" s="1320"/>
      <c r="CL4" s="1320"/>
      <c r="CM4" s="1320"/>
      <c r="CN4" s="1320"/>
      <c r="CO4" s="1320"/>
      <c r="CP4" s="1320"/>
      <c r="CQ4" s="1320"/>
      <c r="CR4" s="1320"/>
      <c r="CS4" s="1320"/>
      <c r="CT4" s="1320"/>
      <c r="CU4" s="1320"/>
      <c r="CV4" s="1320"/>
      <c r="CW4" s="1320"/>
      <c r="CX4" s="1320"/>
      <c r="CY4" s="1320"/>
      <c r="CZ4" s="1320"/>
      <c r="DA4" s="1320"/>
      <c r="DB4" s="1320"/>
      <c r="DC4" s="1320"/>
      <c r="DD4" s="1320"/>
      <c r="DE4" s="1320"/>
      <c r="DF4" s="1320"/>
      <c r="DG4" s="1320"/>
      <c r="DH4" s="1320"/>
      <c r="DI4" s="1320"/>
      <c r="DJ4" s="1320"/>
      <c r="DK4" s="1320"/>
      <c r="DL4" s="1320"/>
      <c r="DM4" s="1320"/>
      <c r="DN4" s="1320"/>
      <c r="DO4" s="1320"/>
      <c r="DP4" s="1320"/>
      <c r="DQ4" s="1320"/>
      <c r="DR4" s="1320"/>
      <c r="DS4" s="1320"/>
      <c r="DT4" s="1320"/>
      <c r="DU4" s="1320"/>
      <c r="DV4" s="1320"/>
      <c r="DW4" s="1320"/>
      <c r="DX4" s="1320"/>
      <c r="DY4" s="1320"/>
      <c r="DZ4" s="1320"/>
      <c r="EA4" s="1320"/>
      <c r="EB4" s="1320"/>
      <c r="EC4" s="1320"/>
      <c r="ED4" s="1320"/>
      <c r="EE4" s="1320"/>
      <c r="EF4" s="1320"/>
      <c r="EG4" s="1320"/>
      <c r="EH4" s="1320"/>
      <c r="EI4" s="1320"/>
      <c r="EJ4" s="1320"/>
      <c r="EK4" s="1320"/>
      <c r="EL4" s="1320"/>
      <c r="EM4" s="1320"/>
      <c r="EN4" s="1320"/>
      <c r="EO4" s="1320"/>
      <c r="EP4" s="1320"/>
      <c r="EQ4" s="1320"/>
      <c r="ER4" s="1320"/>
      <c r="ES4" s="1320"/>
      <c r="ET4" s="1320"/>
      <c r="EU4" s="1320"/>
      <c r="EV4" s="1320"/>
      <c r="EW4" s="1320"/>
      <c r="EX4" s="1320"/>
      <c r="EY4" s="1320"/>
      <c r="EZ4" s="1320"/>
      <c r="FA4" s="1320"/>
      <c r="FB4" s="1320"/>
      <c r="FC4" s="1320"/>
      <c r="FD4" s="1320"/>
      <c r="FE4" s="1320"/>
      <c r="FF4" s="1320"/>
      <c r="FG4" s="1320"/>
      <c r="FH4" s="1320"/>
      <c r="FI4" s="1320"/>
      <c r="FJ4" s="1320"/>
      <c r="FK4" s="1320"/>
      <c r="FL4" s="1320"/>
      <c r="FM4" s="1320"/>
      <c r="FN4" s="1320"/>
      <c r="FO4" s="1320"/>
      <c r="FP4" s="1320"/>
      <c r="FQ4" s="1320"/>
      <c r="FR4" s="1320"/>
      <c r="FS4" s="1320"/>
      <c r="FT4" s="1320"/>
      <c r="FU4" s="1320"/>
      <c r="FV4" s="1320"/>
      <c r="FW4" s="1320"/>
      <c r="FX4" s="1320"/>
      <c r="FY4" s="1320"/>
      <c r="FZ4" s="1320"/>
      <c r="GA4" s="1321"/>
      <c r="GB4" s="101"/>
      <c r="GC4" s="1365"/>
      <c r="GD4" s="1316"/>
      <c r="GE4" s="1316"/>
      <c r="GF4" s="1316"/>
      <c r="GG4" s="1316"/>
      <c r="GH4" s="1316"/>
      <c r="GI4" s="1316"/>
      <c r="GJ4" s="1316"/>
      <c r="GK4" s="1316"/>
      <c r="GL4" s="1316"/>
      <c r="GM4" s="1316"/>
      <c r="GN4" s="1316"/>
      <c r="GO4" s="1316"/>
      <c r="GP4" s="1316"/>
      <c r="GQ4" s="1397"/>
      <c r="GR4" s="1317" t="s">
        <v>230</v>
      </c>
      <c r="GS4" s="1318"/>
      <c r="GT4" s="1318"/>
      <c r="GU4" s="1394"/>
      <c r="GV4" s="431" t="s">
        <v>132</v>
      </c>
      <c r="GW4" s="83"/>
      <c r="GX4" s="84"/>
      <c r="GY4" s="219"/>
      <c r="GZ4" s="84"/>
      <c r="HA4" s="85"/>
      <c r="HB4" s="228"/>
      <c r="HC4" s="229"/>
      <c r="HD4" s="88"/>
      <c r="HE4" s="88"/>
    </row>
    <row r="5" spans="1:213" ht="15" customHeight="1" thickBot="1" x14ac:dyDescent="0.35">
      <c r="A5" s="1322" t="s">
        <v>0</v>
      </c>
      <c r="B5" s="1386" t="s">
        <v>1</v>
      </c>
      <c r="C5" s="1388" t="s">
        <v>2</v>
      </c>
      <c r="D5" s="1389"/>
      <c r="E5" s="1389"/>
      <c r="F5" s="1390"/>
      <c r="G5" s="1327" t="s">
        <v>88</v>
      </c>
      <c r="H5" s="1392"/>
      <c r="I5" s="1393"/>
      <c r="J5" s="1344" t="str">
        <f>D6</f>
        <v>июль</v>
      </c>
      <c r="K5" s="256">
        <v>1</v>
      </c>
      <c r="L5" s="256">
        <v>3</v>
      </c>
      <c r="M5" s="256">
        <v>4</v>
      </c>
      <c r="N5" s="256">
        <v>2</v>
      </c>
      <c r="O5" s="256">
        <v>5</v>
      </c>
      <c r="P5" s="256">
        <v>9</v>
      </c>
      <c r="Q5" s="256">
        <v>8</v>
      </c>
      <c r="R5" s="256">
        <v>8</v>
      </c>
      <c r="S5" s="256">
        <v>8</v>
      </c>
      <c r="T5" s="256">
        <v>13</v>
      </c>
      <c r="U5" s="256">
        <v>6</v>
      </c>
      <c r="V5" s="256">
        <v>31</v>
      </c>
      <c r="W5" s="256">
        <v>3</v>
      </c>
      <c r="X5" s="256">
        <v>21</v>
      </c>
      <c r="Y5" s="244">
        <v>8</v>
      </c>
      <c r="Z5" s="103">
        <v>33</v>
      </c>
      <c r="AA5" s="102">
        <v>34</v>
      </c>
      <c r="AB5" s="103">
        <v>35</v>
      </c>
      <c r="AC5" s="256">
        <v>3</v>
      </c>
      <c r="AD5" s="256">
        <v>12</v>
      </c>
      <c r="AE5" s="256">
        <v>10</v>
      </c>
      <c r="AF5" s="256">
        <v>11</v>
      </c>
      <c r="AG5" s="256">
        <v>36</v>
      </c>
      <c r="AH5" s="103">
        <v>32</v>
      </c>
      <c r="AI5" s="103">
        <v>9</v>
      </c>
      <c r="AJ5" s="256">
        <v>42</v>
      </c>
      <c r="AK5" s="256">
        <v>41</v>
      </c>
      <c r="AL5" s="256">
        <v>39</v>
      </c>
      <c r="AM5" s="256">
        <v>2</v>
      </c>
      <c r="AN5" s="256">
        <v>10</v>
      </c>
      <c r="AO5" s="256">
        <v>38</v>
      </c>
      <c r="AP5" s="256">
        <v>17</v>
      </c>
      <c r="AQ5" s="256">
        <v>20</v>
      </c>
      <c r="AR5" s="256">
        <v>21</v>
      </c>
      <c r="AS5" s="256">
        <v>10</v>
      </c>
      <c r="AT5" s="256">
        <v>54</v>
      </c>
      <c r="AU5" s="256">
        <v>14</v>
      </c>
      <c r="AV5" s="256">
        <v>58</v>
      </c>
      <c r="AW5" s="256">
        <v>51</v>
      </c>
      <c r="AX5" s="256">
        <v>56</v>
      </c>
      <c r="AY5" s="256">
        <v>58</v>
      </c>
      <c r="AZ5" s="256">
        <v>57</v>
      </c>
      <c r="BA5" s="256">
        <v>53</v>
      </c>
      <c r="BB5" s="256">
        <v>65</v>
      </c>
      <c r="BC5" s="256">
        <v>7</v>
      </c>
      <c r="BD5" s="256">
        <v>75</v>
      </c>
      <c r="BE5" s="256">
        <v>77</v>
      </c>
      <c r="BF5" s="256">
        <v>21</v>
      </c>
      <c r="BG5" s="256">
        <v>90</v>
      </c>
      <c r="BH5" s="256">
        <v>92</v>
      </c>
      <c r="BI5" s="256">
        <v>93</v>
      </c>
      <c r="BJ5" s="256">
        <v>73</v>
      </c>
      <c r="BK5" s="256">
        <v>74</v>
      </c>
      <c r="BL5" s="256">
        <v>91</v>
      </c>
      <c r="BM5" s="256">
        <v>96</v>
      </c>
      <c r="BN5" s="256"/>
      <c r="BO5" s="256"/>
      <c r="BP5" s="256"/>
      <c r="BQ5" s="256"/>
      <c r="BR5" s="256"/>
      <c r="BS5" s="1347" t="s">
        <v>94</v>
      </c>
      <c r="BT5" s="1344" t="str">
        <f>E6</f>
        <v>август</v>
      </c>
      <c r="BU5" s="256">
        <v>57</v>
      </c>
      <c r="BV5" s="256">
        <v>95</v>
      </c>
      <c r="BW5" s="256">
        <v>104</v>
      </c>
      <c r="BX5" s="256">
        <v>79</v>
      </c>
      <c r="BY5" s="256">
        <v>81</v>
      </c>
      <c r="BZ5" s="256">
        <v>97</v>
      </c>
      <c r="CA5" s="256">
        <v>110</v>
      </c>
      <c r="CB5" s="256">
        <v>117</v>
      </c>
      <c r="CC5" s="256">
        <v>111</v>
      </c>
      <c r="CD5" s="256">
        <v>113</v>
      </c>
      <c r="CE5" s="256">
        <v>116</v>
      </c>
      <c r="CF5" s="256">
        <v>100</v>
      </c>
      <c r="CG5" s="256">
        <v>101</v>
      </c>
      <c r="CH5" s="256">
        <v>102</v>
      </c>
      <c r="CI5" s="256">
        <v>120</v>
      </c>
      <c r="CJ5" s="256">
        <v>128</v>
      </c>
      <c r="CK5" s="256">
        <v>127</v>
      </c>
      <c r="CL5" s="256">
        <v>115</v>
      </c>
      <c r="CM5" s="256">
        <v>132</v>
      </c>
      <c r="CN5" s="256">
        <v>134</v>
      </c>
      <c r="CO5" s="256">
        <v>131</v>
      </c>
      <c r="CP5" s="256">
        <v>131</v>
      </c>
      <c r="CQ5" s="256">
        <v>21</v>
      </c>
      <c r="CR5" s="256">
        <v>38</v>
      </c>
      <c r="CS5" s="256">
        <v>124</v>
      </c>
      <c r="CT5" s="256">
        <v>79</v>
      </c>
      <c r="CU5" s="256">
        <v>104</v>
      </c>
      <c r="CV5" s="256">
        <v>144</v>
      </c>
      <c r="CW5" s="256">
        <v>45</v>
      </c>
      <c r="CX5" s="256">
        <v>145</v>
      </c>
      <c r="CY5" s="103">
        <v>10</v>
      </c>
      <c r="CZ5" s="102">
        <v>147</v>
      </c>
      <c r="DA5" s="102">
        <v>148</v>
      </c>
      <c r="DB5" s="256">
        <v>122</v>
      </c>
      <c r="DC5" s="256">
        <v>123</v>
      </c>
      <c r="DD5" s="256">
        <v>12</v>
      </c>
      <c r="DE5" s="256">
        <v>19</v>
      </c>
      <c r="DF5" s="256">
        <v>125</v>
      </c>
      <c r="DG5" s="256">
        <v>126</v>
      </c>
      <c r="DH5" s="256">
        <v>160</v>
      </c>
      <c r="DI5" s="256">
        <v>154</v>
      </c>
      <c r="DJ5" s="256">
        <v>57</v>
      </c>
      <c r="DK5" s="256">
        <v>56</v>
      </c>
      <c r="DL5" s="256">
        <v>56</v>
      </c>
      <c r="DM5" s="256">
        <v>155</v>
      </c>
      <c r="DN5" s="256">
        <v>156</v>
      </c>
      <c r="DO5" s="256">
        <v>167</v>
      </c>
      <c r="DP5" s="256">
        <v>168</v>
      </c>
      <c r="DQ5" s="256">
        <v>166</v>
      </c>
      <c r="DR5" s="256">
        <v>162</v>
      </c>
      <c r="DS5" s="256">
        <v>164</v>
      </c>
      <c r="DT5" s="1347" t="s">
        <v>95</v>
      </c>
      <c r="DU5" s="1349" t="str">
        <f>F6</f>
        <v>сентябрь</v>
      </c>
      <c r="DV5" s="256">
        <v>163</v>
      </c>
      <c r="DW5" s="256">
        <v>172</v>
      </c>
      <c r="DX5" s="256">
        <v>171</v>
      </c>
      <c r="DY5" s="256">
        <v>158</v>
      </c>
      <c r="DZ5" s="256">
        <v>151</v>
      </c>
      <c r="EA5" s="256">
        <v>140</v>
      </c>
      <c r="EB5" s="256">
        <v>176</v>
      </c>
      <c r="EC5" s="256">
        <v>176</v>
      </c>
      <c r="ED5" s="256">
        <v>197</v>
      </c>
      <c r="EE5" s="256">
        <v>201</v>
      </c>
      <c r="EF5" s="256">
        <v>191</v>
      </c>
      <c r="EG5" s="103">
        <v>196</v>
      </c>
      <c r="EH5" s="103">
        <v>195</v>
      </c>
      <c r="EI5" s="103">
        <v>195</v>
      </c>
      <c r="EJ5" s="256">
        <v>167</v>
      </c>
      <c r="EK5" s="256">
        <v>166</v>
      </c>
      <c r="EL5" s="256">
        <v>168</v>
      </c>
      <c r="EM5" s="256">
        <v>216</v>
      </c>
      <c r="EN5" s="256">
        <v>221</v>
      </c>
      <c r="EO5" s="256">
        <v>220</v>
      </c>
      <c r="EP5" s="256">
        <v>207</v>
      </c>
      <c r="EQ5" s="256">
        <v>194</v>
      </c>
      <c r="ER5" s="256">
        <v>219</v>
      </c>
      <c r="ES5" s="256">
        <v>228</v>
      </c>
      <c r="ET5" s="256">
        <v>224</v>
      </c>
      <c r="EU5" s="256">
        <v>213</v>
      </c>
      <c r="EV5" s="256">
        <v>235</v>
      </c>
      <c r="EW5" s="256">
        <v>20</v>
      </c>
      <c r="EX5" s="256">
        <v>241</v>
      </c>
      <c r="EY5" s="256">
        <v>256</v>
      </c>
      <c r="EZ5" s="256">
        <v>226</v>
      </c>
      <c r="FA5" s="256">
        <v>227</v>
      </c>
      <c r="FB5" s="256">
        <v>29</v>
      </c>
      <c r="FC5" s="256">
        <v>250</v>
      </c>
      <c r="FD5" s="256">
        <v>238</v>
      </c>
      <c r="FE5" s="256">
        <v>225</v>
      </c>
      <c r="FF5" s="256">
        <v>216</v>
      </c>
      <c r="FG5" s="256">
        <v>192</v>
      </c>
      <c r="FH5" s="256">
        <v>28</v>
      </c>
      <c r="FI5" s="256">
        <v>76</v>
      </c>
      <c r="FJ5" s="256">
        <v>247</v>
      </c>
      <c r="FK5" s="256">
        <v>248</v>
      </c>
      <c r="FL5" s="256">
        <v>249</v>
      </c>
      <c r="FM5" s="256">
        <v>265</v>
      </c>
      <c r="FN5" s="256">
        <v>80</v>
      </c>
      <c r="FO5" s="256">
        <v>272</v>
      </c>
      <c r="FP5" s="256">
        <v>274</v>
      </c>
      <c r="FQ5" s="256">
        <v>273</v>
      </c>
      <c r="FR5" s="256">
        <v>277</v>
      </c>
      <c r="FS5" s="256">
        <v>241</v>
      </c>
      <c r="FT5" s="256">
        <v>216</v>
      </c>
      <c r="FU5" s="256">
        <v>271</v>
      </c>
      <c r="FV5" s="256">
        <v>261</v>
      </c>
      <c r="FW5" s="244"/>
      <c r="FX5" s="244"/>
      <c r="FY5" s="256"/>
      <c r="FZ5" s="256"/>
      <c r="GA5" s="1347" t="s">
        <v>95</v>
      </c>
      <c r="GB5" s="105"/>
      <c r="GC5" s="391"/>
      <c r="GD5" s="256"/>
      <c r="GE5" s="256"/>
      <c r="GF5" s="396"/>
      <c r="GG5" s="256"/>
      <c r="GH5" s="256"/>
      <c r="GI5" s="256"/>
      <c r="GJ5" s="256"/>
      <c r="GK5" s="256"/>
      <c r="GL5" s="256"/>
      <c r="GM5" s="396"/>
      <c r="GN5" s="396"/>
      <c r="GO5" s="396"/>
      <c r="GP5" s="396"/>
      <c r="GQ5" s="777"/>
      <c r="GR5" s="166"/>
      <c r="GS5" s="103"/>
      <c r="GT5" s="103"/>
      <c r="GU5" s="718"/>
      <c r="GV5" s="432"/>
      <c r="GW5" s="1370" t="s">
        <v>154</v>
      </c>
      <c r="GX5" s="1311" t="s">
        <v>39</v>
      </c>
      <c r="GY5" s="1374" t="s">
        <v>38</v>
      </c>
      <c r="GZ5" s="1376" t="s">
        <v>107</v>
      </c>
      <c r="HA5" s="1359" t="s">
        <v>89</v>
      </c>
      <c r="HB5" s="1367"/>
      <c r="HC5" s="1380" t="s">
        <v>147</v>
      </c>
      <c r="HD5" s="39"/>
      <c r="HE5" s="39"/>
    </row>
    <row r="6" spans="1:213" ht="66.75" customHeight="1" thickBot="1" x14ac:dyDescent="0.35">
      <c r="A6" s="1323"/>
      <c r="B6" s="1387"/>
      <c r="C6" s="302" t="s">
        <v>107</v>
      </c>
      <c r="D6" s="508" t="s">
        <v>127</v>
      </c>
      <c r="E6" s="190" t="s">
        <v>128</v>
      </c>
      <c r="F6" s="309" t="s">
        <v>129</v>
      </c>
      <c r="G6" s="1391"/>
      <c r="H6" s="171" t="s">
        <v>69</v>
      </c>
      <c r="I6" s="172" t="s">
        <v>93</v>
      </c>
      <c r="J6" s="1345"/>
      <c r="K6" s="399" t="s">
        <v>228</v>
      </c>
      <c r="L6" s="399" t="s">
        <v>208</v>
      </c>
      <c r="M6" s="399" t="s">
        <v>229</v>
      </c>
      <c r="N6" s="399" t="s">
        <v>192</v>
      </c>
      <c r="O6" s="399" t="s">
        <v>195</v>
      </c>
      <c r="P6" s="399" t="s">
        <v>120</v>
      </c>
      <c r="Q6" s="399" t="s">
        <v>201</v>
      </c>
      <c r="R6" s="399" t="s">
        <v>201</v>
      </c>
      <c r="S6" s="399" t="s">
        <v>201</v>
      </c>
      <c r="T6" s="399" t="s">
        <v>199</v>
      </c>
      <c r="U6" s="399" t="s">
        <v>202</v>
      </c>
      <c r="V6" s="399" t="s">
        <v>158</v>
      </c>
      <c r="W6" s="399" t="s">
        <v>165</v>
      </c>
      <c r="X6" s="399" t="s">
        <v>190</v>
      </c>
      <c r="Y6" s="249" t="s">
        <v>233</v>
      </c>
      <c r="Z6" s="249" t="s">
        <v>243</v>
      </c>
      <c r="AA6" s="399" t="s">
        <v>186</v>
      </c>
      <c r="AB6" s="399" t="s">
        <v>241</v>
      </c>
      <c r="AC6" s="399" t="s">
        <v>179</v>
      </c>
      <c r="AD6" s="399" t="s">
        <v>232</v>
      </c>
      <c r="AE6" s="399" t="s">
        <v>118</v>
      </c>
      <c r="AF6" s="399" t="s">
        <v>99</v>
      </c>
      <c r="AG6" s="399" t="s">
        <v>193</v>
      </c>
      <c r="AH6" s="249" t="s">
        <v>185</v>
      </c>
      <c r="AI6" s="249" t="s">
        <v>151</v>
      </c>
      <c r="AJ6" s="399" t="s">
        <v>242</v>
      </c>
      <c r="AK6" s="399" t="s">
        <v>164</v>
      </c>
      <c r="AL6" s="399" t="s">
        <v>240</v>
      </c>
      <c r="AM6" s="399" t="s">
        <v>192</v>
      </c>
      <c r="AN6" s="399" t="s">
        <v>205</v>
      </c>
      <c r="AO6" s="399" t="s">
        <v>239</v>
      </c>
      <c r="AP6" s="399" t="s">
        <v>234</v>
      </c>
      <c r="AQ6" s="399" t="s">
        <v>235</v>
      </c>
      <c r="AR6" s="399" t="s">
        <v>190</v>
      </c>
      <c r="AS6" s="399" t="s">
        <v>108</v>
      </c>
      <c r="AT6" s="399" t="s">
        <v>157</v>
      </c>
      <c r="AU6" s="399" t="s">
        <v>248</v>
      </c>
      <c r="AV6" s="399" t="s">
        <v>253</v>
      </c>
      <c r="AW6" s="399" t="s">
        <v>244</v>
      </c>
      <c r="AX6" s="399" t="s">
        <v>254</v>
      </c>
      <c r="AY6" s="399" t="s">
        <v>253</v>
      </c>
      <c r="AZ6" s="399" t="s">
        <v>252</v>
      </c>
      <c r="BA6" s="399" t="s">
        <v>189</v>
      </c>
      <c r="BB6" s="399" t="s">
        <v>255</v>
      </c>
      <c r="BC6" s="399" t="s">
        <v>211</v>
      </c>
      <c r="BD6" s="399" t="s">
        <v>212</v>
      </c>
      <c r="BE6" s="399" t="s">
        <v>203</v>
      </c>
      <c r="BF6" s="399" t="s">
        <v>190</v>
      </c>
      <c r="BG6" s="399" t="s">
        <v>259</v>
      </c>
      <c r="BH6" s="399" t="s">
        <v>260</v>
      </c>
      <c r="BI6" s="399" t="s">
        <v>261</v>
      </c>
      <c r="BJ6" s="399" t="s">
        <v>262</v>
      </c>
      <c r="BK6" s="399" t="s">
        <v>263</v>
      </c>
      <c r="BL6" s="399" t="s">
        <v>138</v>
      </c>
      <c r="BM6" s="399" t="s">
        <v>266</v>
      </c>
      <c r="BN6" s="399"/>
      <c r="BO6" s="399"/>
      <c r="BP6" s="399"/>
      <c r="BQ6" s="399"/>
      <c r="BR6" s="399"/>
      <c r="BS6" s="1348"/>
      <c r="BT6" s="1345"/>
      <c r="BU6" s="399" t="s">
        <v>264</v>
      </c>
      <c r="BV6" s="399" t="s">
        <v>265</v>
      </c>
      <c r="BW6" s="399" t="s">
        <v>245</v>
      </c>
      <c r="BX6" s="399" t="s">
        <v>246</v>
      </c>
      <c r="BY6" s="399" t="s">
        <v>247</v>
      </c>
      <c r="BZ6" s="399" t="s">
        <v>149</v>
      </c>
      <c r="CA6" s="399" t="s">
        <v>99</v>
      </c>
      <c r="CB6" s="399" t="s">
        <v>271</v>
      </c>
      <c r="CC6" s="399" t="s">
        <v>118</v>
      </c>
      <c r="CD6" s="399" t="s">
        <v>158</v>
      </c>
      <c r="CE6" s="399" t="s">
        <v>199</v>
      </c>
      <c r="CF6" s="399" t="s">
        <v>180</v>
      </c>
      <c r="CG6" s="399" t="s">
        <v>182</v>
      </c>
      <c r="CH6" s="399" t="s">
        <v>181</v>
      </c>
      <c r="CI6" s="399" t="s">
        <v>274</v>
      </c>
      <c r="CJ6" s="399" t="s">
        <v>278</v>
      </c>
      <c r="CK6" s="399" t="s">
        <v>277</v>
      </c>
      <c r="CL6" s="399" t="s">
        <v>273</v>
      </c>
      <c r="CM6" s="399" t="s">
        <v>279</v>
      </c>
      <c r="CN6" s="399" t="s">
        <v>120</v>
      </c>
      <c r="CO6" s="399" t="s">
        <v>119</v>
      </c>
      <c r="CP6" s="399" t="s">
        <v>119</v>
      </c>
      <c r="CQ6" s="399" t="s">
        <v>200</v>
      </c>
      <c r="CR6" s="399" t="s">
        <v>143</v>
      </c>
      <c r="CS6" s="399" t="s">
        <v>164</v>
      </c>
      <c r="CT6" s="399" t="s">
        <v>246</v>
      </c>
      <c r="CU6" s="399" t="s">
        <v>245</v>
      </c>
      <c r="CV6" s="399" t="s">
        <v>247</v>
      </c>
      <c r="CW6" s="399" t="s">
        <v>293</v>
      </c>
      <c r="CX6" s="399" t="s">
        <v>280</v>
      </c>
      <c r="CY6" s="249" t="s">
        <v>268</v>
      </c>
      <c r="CZ6" s="399" t="s">
        <v>282</v>
      </c>
      <c r="DA6" s="399" t="s">
        <v>281</v>
      </c>
      <c r="DB6" s="399" t="s">
        <v>275</v>
      </c>
      <c r="DC6" s="399" t="s">
        <v>276</v>
      </c>
      <c r="DD6" s="399" t="s">
        <v>272</v>
      </c>
      <c r="DE6" s="399" t="s">
        <v>284</v>
      </c>
      <c r="DF6" s="399" t="s">
        <v>187</v>
      </c>
      <c r="DG6" s="399" t="s">
        <v>191</v>
      </c>
      <c r="DH6" s="399" t="s">
        <v>291</v>
      </c>
      <c r="DI6" s="399" t="s">
        <v>123</v>
      </c>
      <c r="DJ6" s="399" t="s">
        <v>285</v>
      </c>
      <c r="DK6" s="399" t="s">
        <v>108</v>
      </c>
      <c r="DL6" s="399" t="s">
        <v>108</v>
      </c>
      <c r="DM6" s="399" t="s">
        <v>131</v>
      </c>
      <c r="DN6" s="399" t="s">
        <v>286</v>
      </c>
      <c r="DO6" s="399" t="s">
        <v>99</v>
      </c>
      <c r="DP6" s="399" t="s">
        <v>271</v>
      </c>
      <c r="DQ6" s="399" t="s">
        <v>118</v>
      </c>
      <c r="DR6" s="399" t="s">
        <v>158</v>
      </c>
      <c r="DS6" s="399" t="s">
        <v>266</v>
      </c>
      <c r="DT6" s="1348"/>
      <c r="DU6" s="1350"/>
      <c r="DV6" s="399" t="s">
        <v>265</v>
      </c>
      <c r="DW6" s="399" t="s">
        <v>287</v>
      </c>
      <c r="DX6" s="399" t="s">
        <v>292</v>
      </c>
      <c r="DY6" s="399" t="s">
        <v>294</v>
      </c>
      <c r="DZ6" s="399" t="s">
        <v>289</v>
      </c>
      <c r="EA6" s="399" t="s">
        <v>288</v>
      </c>
      <c r="EB6" s="399" t="s">
        <v>201</v>
      </c>
      <c r="EC6" s="399" t="s">
        <v>201</v>
      </c>
      <c r="ED6" s="399" t="s">
        <v>199</v>
      </c>
      <c r="EE6" s="399" t="s">
        <v>282</v>
      </c>
      <c r="EF6" s="399" t="s">
        <v>281</v>
      </c>
      <c r="EG6" s="249" t="s">
        <v>297</v>
      </c>
      <c r="EH6" s="249" t="s">
        <v>296</v>
      </c>
      <c r="EI6" s="249" t="s">
        <v>296</v>
      </c>
      <c r="EJ6" s="399" t="s">
        <v>99</v>
      </c>
      <c r="EK6" s="399" t="s">
        <v>118</v>
      </c>
      <c r="EL6" s="399" t="s">
        <v>271</v>
      </c>
      <c r="EM6" s="399" t="s">
        <v>301</v>
      </c>
      <c r="EN6" s="399" t="s">
        <v>294</v>
      </c>
      <c r="EO6" s="399" t="s">
        <v>302</v>
      </c>
      <c r="EP6" s="399" t="s">
        <v>300</v>
      </c>
      <c r="EQ6" s="399" t="s">
        <v>299</v>
      </c>
      <c r="ER6" s="399" t="s">
        <v>303</v>
      </c>
      <c r="ES6" s="399" t="s">
        <v>276</v>
      </c>
      <c r="ET6" s="399" t="s">
        <v>290</v>
      </c>
      <c r="EU6" s="399" t="s">
        <v>307</v>
      </c>
      <c r="EV6" s="399" t="s">
        <v>304</v>
      </c>
      <c r="EW6" s="399" t="s">
        <v>179</v>
      </c>
      <c r="EX6" s="399" t="s">
        <v>305</v>
      </c>
      <c r="EY6" s="399" t="s">
        <v>313</v>
      </c>
      <c r="EZ6" s="399" t="s">
        <v>123</v>
      </c>
      <c r="FA6" s="399" t="s">
        <v>131</v>
      </c>
      <c r="FB6" s="399" t="s">
        <v>309</v>
      </c>
      <c r="FC6" s="399" t="s">
        <v>308</v>
      </c>
      <c r="FD6" s="399" t="s">
        <v>191</v>
      </c>
      <c r="FE6" s="399" t="s">
        <v>273</v>
      </c>
      <c r="FF6" s="399" t="s">
        <v>301</v>
      </c>
      <c r="FG6" s="399" t="s">
        <v>295</v>
      </c>
      <c r="FH6" s="399" t="s">
        <v>284</v>
      </c>
      <c r="FI6" s="399" t="s">
        <v>108</v>
      </c>
      <c r="FJ6" s="399" t="s">
        <v>306</v>
      </c>
      <c r="FK6" s="399" t="s">
        <v>310</v>
      </c>
      <c r="FL6" s="399" t="s">
        <v>311</v>
      </c>
      <c r="FM6" s="399" t="s">
        <v>315</v>
      </c>
      <c r="FN6" s="399" t="s">
        <v>293</v>
      </c>
      <c r="FO6" s="399" t="s">
        <v>259</v>
      </c>
      <c r="FP6" s="399" t="s">
        <v>316</v>
      </c>
      <c r="FQ6" s="399" t="s">
        <v>317</v>
      </c>
      <c r="FR6" s="399" t="s">
        <v>320</v>
      </c>
      <c r="FS6" s="399" t="s">
        <v>305</v>
      </c>
      <c r="FT6" s="399" t="s">
        <v>314</v>
      </c>
      <c r="FU6" s="399" t="s">
        <v>173</v>
      </c>
      <c r="FV6" s="399" t="s">
        <v>271</v>
      </c>
      <c r="FW6" s="249"/>
      <c r="FX6" s="249"/>
      <c r="FY6" s="399"/>
      <c r="FZ6" s="399"/>
      <c r="GA6" s="1348"/>
      <c r="GB6" s="173"/>
      <c r="GC6" s="784"/>
      <c r="GD6" s="398"/>
      <c r="GE6" s="398"/>
      <c r="GF6" s="398"/>
      <c r="GG6" s="398"/>
      <c r="GH6" s="398"/>
      <c r="GI6" s="398"/>
      <c r="GJ6" s="398"/>
      <c r="GK6" s="398"/>
      <c r="GL6" s="398"/>
      <c r="GM6" s="398"/>
      <c r="GN6" s="398"/>
      <c r="GO6" s="398"/>
      <c r="GP6" s="398"/>
      <c r="GQ6" s="360"/>
      <c r="GR6" s="385"/>
      <c r="GS6" s="388"/>
      <c r="GT6" s="388"/>
      <c r="GU6" s="527"/>
      <c r="GV6" s="433"/>
      <c r="GW6" s="1371"/>
      <c r="GX6" s="1312"/>
      <c r="GY6" s="1375"/>
      <c r="GZ6" s="1377"/>
      <c r="HA6" s="1360"/>
      <c r="HB6" s="1368"/>
      <c r="HC6" s="1381"/>
      <c r="HD6" s="561" t="s">
        <v>175</v>
      </c>
      <c r="HE6" s="174"/>
    </row>
    <row r="7" spans="1:213" ht="15" customHeight="1" thickBot="1" x14ac:dyDescent="0.35">
      <c r="A7" s="1323"/>
      <c r="B7" s="131" t="s">
        <v>50</v>
      </c>
      <c r="C7" s="303"/>
      <c r="D7" s="1317">
        <v>2025</v>
      </c>
      <c r="E7" s="1318"/>
      <c r="F7" s="1394"/>
      <c r="G7" s="673"/>
      <c r="H7" s="140">
        <v>45901</v>
      </c>
      <c r="I7" s="140">
        <v>45930</v>
      </c>
      <c r="J7" s="1346"/>
      <c r="K7" s="34">
        <v>45840</v>
      </c>
      <c r="L7" s="34">
        <v>45840</v>
      </c>
      <c r="M7" s="34">
        <v>45840</v>
      </c>
      <c r="N7" s="34">
        <v>45845</v>
      </c>
      <c r="O7" s="34">
        <v>45845</v>
      </c>
      <c r="P7" s="34">
        <v>45845</v>
      </c>
      <c r="Q7" s="34">
        <v>45845</v>
      </c>
      <c r="R7" s="34">
        <v>45846</v>
      </c>
      <c r="S7" s="34">
        <v>45847</v>
      </c>
      <c r="T7" s="250">
        <v>45847</v>
      </c>
      <c r="U7" s="34">
        <v>45848</v>
      </c>
      <c r="V7" s="34">
        <v>45848</v>
      </c>
      <c r="W7" s="34">
        <v>45849</v>
      </c>
      <c r="X7" s="34">
        <v>45849</v>
      </c>
      <c r="Y7" s="34">
        <v>45849</v>
      </c>
      <c r="Z7" s="34">
        <v>45849</v>
      </c>
      <c r="AA7" s="89">
        <v>45849</v>
      </c>
      <c r="AB7" s="34">
        <v>45849</v>
      </c>
      <c r="AC7" s="34">
        <v>45849</v>
      </c>
      <c r="AD7" s="34">
        <v>45849</v>
      </c>
      <c r="AE7" s="34">
        <v>45849</v>
      </c>
      <c r="AF7" s="34">
        <v>45849</v>
      </c>
      <c r="AG7" s="34">
        <v>45850</v>
      </c>
      <c r="AH7" s="34">
        <v>45850</v>
      </c>
      <c r="AI7" s="89">
        <v>45850</v>
      </c>
      <c r="AJ7" s="89">
        <v>45850</v>
      </c>
      <c r="AK7" s="34">
        <v>45852</v>
      </c>
      <c r="AL7" s="34">
        <v>45852</v>
      </c>
      <c r="AM7" s="34">
        <v>45852</v>
      </c>
      <c r="AN7" s="34">
        <v>45852</v>
      </c>
      <c r="AO7" s="34">
        <v>45852</v>
      </c>
      <c r="AP7" s="34">
        <v>45853</v>
      </c>
      <c r="AQ7" s="34">
        <v>45853</v>
      </c>
      <c r="AR7" s="34">
        <v>45853</v>
      </c>
      <c r="AS7" s="34">
        <v>45854</v>
      </c>
      <c r="AT7" s="34">
        <v>45854</v>
      </c>
      <c r="AU7" s="34">
        <v>45854</v>
      </c>
      <c r="AV7" s="34">
        <v>45855</v>
      </c>
      <c r="AW7" s="34">
        <v>45856</v>
      </c>
      <c r="AX7" s="34">
        <v>45856</v>
      </c>
      <c r="AY7" s="34">
        <v>45856</v>
      </c>
      <c r="AZ7" s="34">
        <v>45859</v>
      </c>
      <c r="BA7" s="34">
        <v>45859</v>
      </c>
      <c r="BB7" s="34">
        <v>45859</v>
      </c>
      <c r="BC7" s="34">
        <v>45860</v>
      </c>
      <c r="BD7" s="34">
        <v>45862</v>
      </c>
      <c r="BE7" s="34">
        <v>45863</v>
      </c>
      <c r="BF7" s="34">
        <v>45867</v>
      </c>
      <c r="BG7" s="34">
        <v>45868</v>
      </c>
      <c r="BH7" s="34">
        <v>45868</v>
      </c>
      <c r="BI7" s="34">
        <v>45868</v>
      </c>
      <c r="BJ7" s="34">
        <v>45868</v>
      </c>
      <c r="BK7" s="34">
        <v>45868</v>
      </c>
      <c r="BL7" s="34">
        <v>45868</v>
      </c>
      <c r="BM7" s="34">
        <v>45869</v>
      </c>
      <c r="BN7" s="34"/>
      <c r="BO7" s="34"/>
      <c r="BP7" s="34"/>
      <c r="BQ7" s="34"/>
      <c r="BR7" s="34"/>
      <c r="BS7" s="157" t="str">
        <f>J5</f>
        <v>июль</v>
      </c>
      <c r="BT7" s="1346"/>
      <c r="BU7" s="34">
        <v>45870</v>
      </c>
      <c r="BV7" s="34">
        <v>45870</v>
      </c>
      <c r="BW7" s="34">
        <v>45873</v>
      </c>
      <c r="BX7" s="34">
        <v>45873</v>
      </c>
      <c r="BY7" s="34">
        <v>45873</v>
      </c>
      <c r="BZ7" s="34">
        <v>45874</v>
      </c>
      <c r="CA7" s="34">
        <v>45875</v>
      </c>
      <c r="CB7" s="34">
        <v>45875</v>
      </c>
      <c r="CC7" s="34">
        <v>45875</v>
      </c>
      <c r="CD7" s="34">
        <v>45876</v>
      </c>
      <c r="CE7" s="34">
        <v>45876</v>
      </c>
      <c r="CF7" s="34">
        <v>45877</v>
      </c>
      <c r="CG7" s="34">
        <v>45877</v>
      </c>
      <c r="CH7" s="34">
        <v>45877</v>
      </c>
      <c r="CI7" s="34">
        <v>45877</v>
      </c>
      <c r="CJ7" s="34">
        <v>45880</v>
      </c>
      <c r="CK7" s="34">
        <v>45881</v>
      </c>
      <c r="CL7" s="34">
        <v>45881</v>
      </c>
      <c r="CM7" s="34">
        <v>45881</v>
      </c>
      <c r="CN7" s="34">
        <v>45882</v>
      </c>
      <c r="CO7" s="34">
        <v>45883</v>
      </c>
      <c r="CP7" s="34">
        <v>45884</v>
      </c>
      <c r="CQ7" s="34">
        <v>45884</v>
      </c>
      <c r="CR7" s="34">
        <v>45884</v>
      </c>
      <c r="CS7" s="34">
        <v>45887</v>
      </c>
      <c r="CT7" s="34">
        <v>45887</v>
      </c>
      <c r="CU7" s="34">
        <v>45887</v>
      </c>
      <c r="CV7" s="34">
        <v>45888</v>
      </c>
      <c r="CW7" s="34">
        <v>45888</v>
      </c>
      <c r="CX7" s="34">
        <v>45889</v>
      </c>
      <c r="CY7" s="34">
        <v>45889</v>
      </c>
      <c r="CZ7" s="34">
        <v>45890</v>
      </c>
      <c r="DA7" s="34">
        <v>45890</v>
      </c>
      <c r="DB7" s="34">
        <v>45890</v>
      </c>
      <c r="DC7" s="34">
        <v>45890</v>
      </c>
      <c r="DD7" s="34">
        <v>45891</v>
      </c>
      <c r="DE7" s="34">
        <v>45894</v>
      </c>
      <c r="DF7" s="34">
        <v>45895</v>
      </c>
      <c r="DG7" s="34">
        <v>45895</v>
      </c>
      <c r="DH7" s="34">
        <v>45895</v>
      </c>
      <c r="DI7" s="34">
        <v>45896</v>
      </c>
      <c r="DJ7" s="34">
        <v>45896</v>
      </c>
      <c r="DK7" s="34">
        <v>45896</v>
      </c>
      <c r="DL7" s="34">
        <v>45897</v>
      </c>
      <c r="DM7" s="34">
        <v>45897</v>
      </c>
      <c r="DN7" s="34">
        <v>45897</v>
      </c>
      <c r="DO7" s="34">
        <v>45897</v>
      </c>
      <c r="DP7" s="34">
        <v>45897</v>
      </c>
      <c r="DQ7" s="34">
        <v>45897</v>
      </c>
      <c r="DR7" s="34">
        <v>45897</v>
      </c>
      <c r="DS7" s="34">
        <v>45898</v>
      </c>
      <c r="DT7" s="157" t="str">
        <f>BT5</f>
        <v>август</v>
      </c>
      <c r="DU7" s="1351"/>
      <c r="DV7" s="34">
        <v>45901</v>
      </c>
      <c r="DW7" s="34">
        <v>45901</v>
      </c>
      <c r="DX7" s="34">
        <v>45901</v>
      </c>
      <c r="DY7" s="34">
        <v>45902</v>
      </c>
      <c r="DZ7" s="34">
        <v>45902</v>
      </c>
      <c r="EA7" s="34">
        <v>45902</v>
      </c>
      <c r="EB7" s="34">
        <v>45903</v>
      </c>
      <c r="EC7" s="34">
        <v>45904</v>
      </c>
      <c r="ED7" s="34">
        <v>45908</v>
      </c>
      <c r="EE7" s="34">
        <v>45909</v>
      </c>
      <c r="EF7" s="34">
        <v>45909</v>
      </c>
      <c r="EG7" s="34">
        <v>45909</v>
      </c>
      <c r="EH7" s="34">
        <v>45910</v>
      </c>
      <c r="EI7" s="34">
        <v>45911</v>
      </c>
      <c r="EJ7" s="34">
        <v>45912</v>
      </c>
      <c r="EK7" s="34">
        <v>45912</v>
      </c>
      <c r="EL7" s="34">
        <v>45912</v>
      </c>
      <c r="EM7" s="34">
        <v>45915</v>
      </c>
      <c r="EN7" s="34">
        <v>45915</v>
      </c>
      <c r="EO7" s="34">
        <v>45915</v>
      </c>
      <c r="EP7" s="34">
        <v>45916</v>
      </c>
      <c r="EQ7" s="34">
        <v>45917</v>
      </c>
      <c r="ER7" s="34">
        <v>45917</v>
      </c>
      <c r="ES7" s="34">
        <v>45917</v>
      </c>
      <c r="ET7" s="34">
        <v>45918</v>
      </c>
      <c r="EU7" s="34">
        <v>45918</v>
      </c>
      <c r="EV7" s="34">
        <v>45919</v>
      </c>
      <c r="EW7" s="34">
        <v>45919</v>
      </c>
      <c r="EX7" s="34">
        <v>45922</v>
      </c>
      <c r="EY7" s="34">
        <v>45922</v>
      </c>
      <c r="EZ7" s="34">
        <v>45923</v>
      </c>
      <c r="FA7" s="34">
        <v>45923</v>
      </c>
      <c r="FB7" s="34">
        <v>45923</v>
      </c>
      <c r="FC7" s="34">
        <v>45924</v>
      </c>
      <c r="FD7" s="34">
        <v>45924</v>
      </c>
      <c r="FE7" s="34">
        <v>45924</v>
      </c>
      <c r="FF7" s="34">
        <v>45924</v>
      </c>
      <c r="FG7" s="34">
        <v>45925</v>
      </c>
      <c r="FH7" s="34">
        <v>45925</v>
      </c>
      <c r="FI7" s="34">
        <v>45925</v>
      </c>
      <c r="FJ7" s="34">
        <v>45926</v>
      </c>
      <c r="FK7" s="34">
        <v>45926</v>
      </c>
      <c r="FL7" s="34">
        <v>45926</v>
      </c>
      <c r="FM7" s="34">
        <v>45929</v>
      </c>
      <c r="FN7" s="34">
        <v>45929</v>
      </c>
      <c r="FO7" s="34">
        <v>45929</v>
      </c>
      <c r="FP7" s="34">
        <v>45929</v>
      </c>
      <c r="FQ7" s="34">
        <v>45929</v>
      </c>
      <c r="FR7" s="34">
        <v>45930</v>
      </c>
      <c r="FS7" s="34">
        <v>45930</v>
      </c>
      <c r="FT7" s="34">
        <v>45930</v>
      </c>
      <c r="FU7" s="34">
        <v>45930</v>
      </c>
      <c r="FV7" s="34">
        <v>45930</v>
      </c>
      <c r="FW7" s="34"/>
      <c r="FX7" s="34"/>
      <c r="FY7" s="34"/>
      <c r="FZ7" s="89"/>
      <c r="GA7" s="157" t="str">
        <f>DU5</f>
        <v>сентябрь</v>
      </c>
      <c r="GB7" s="95"/>
      <c r="GC7" s="785"/>
      <c r="GD7" s="658"/>
      <c r="GE7" s="658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778"/>
      <c r="GR7" s="358"/>
      <c r="GS7" s="150"/>
      <c r="GT7" s="150"/>
      <c r="GU7" s="737"/>
      <c r="GV7" s="434"/>
      <c r="GW7" s="1372"/>
      <c r="GX7" s="1373"/>
      <c r="GY7" s="444">
        <f>I7</f>
        <v>45930</v>
      </c>
      <c r="GZ7" s="1378"/>
      <c r="HA7" s="1379"/>
      <c r="HB7" s="1368"/>
      <c r="HC7" s="1381"/>
      <c r="HD7" s="15"/>
      <c r="HE7" s="15"/>
    </row>
    <row r="8" spans="1:213" ht="15" customHeight="1" thickBot="1" x14ac:dyDescent="0.35">
      <c r="A8" s="1385"/>
      <c r="B8" s="291" t="s">
        <v>49</v>
      </c>
      <c r="C8" s="564"/>
      <c r="D8" s="678">
        <f>BS8</f>
        <v>151.89999999999998</v>
      </c>
      <c r="E8" s="252">
        <f>DT8</f>
        <v>97.40000000000002</v>
      </c>
      <c r="F8" s="671">
        <f>GA8</f>
        <v>131.89999999999998</v>
      </c>
      <c r="G8" s="332"/>
      <c r="H8" s="503"/>
      <c r="I8" s="503"/>
      <c r="J8" s="134"/>
      <c r="K8" s="476">
        <f>0.3/0.3*0.6</f>
        <v>0.6</v>
      </c>
      <c r="L8" s="476">
        <v>10</v>
      </c>
      <c r="M8" s="476">
        <v>2.4</v>
      </c>
      <c r="N8" s="476">
        <f>1*3</f>
        <v>3</v>
      </c>
      <c r="O8" s="474">
        <v>5</v>
      </c>
      <c r="P8" s="474">
        <v>1</v>
      </c>
      <c r="Q8" s="474">
        <f>15/15*7</f>
        <v>7</v>
      </c>
      <c r="R8" s="474">
        <f>15/15*10.4</f>
        <v>10.4</v>
      </c>
      <c r="S8" s="474">
        <f>15/15*2.6</f>
        <v>2.6</v>
      </c>
      <c r="T8" s="474">
        <v>0.3</v>
      </c>
      <c r="U8" s="476">
        <f>1*9</f>
        <v>9</v>
      </c>
      <c r="V8" s="476">
        <v>1</v>
      </c>
      <c r="W8" s="474">
        <f>1*2</f>
        <v>2</v>
      </c>
      <c r="X8" s="476">
        <f>1</f>
        <v>1</v>
      </c>
      <c r="Y8" s="498">
        <v>0.3</v>
      </c>
      <c r="Z8" s="333">
        <v>6</v>
      </c>
      <c r="AA8" s="729">
        <v>5</v>
      </c>
      <c r="AB8" s="333">
        <f>0.7/0.7*0.3</f>
        <v>0.3</v>
      </c>
      <c r="AC8" s="474">
        <v>0.3</v>
      </c>
      <c r="AD8" s="476">
        <v>1.5</v>
      </c>
      <c r="AE8" s="476">
        <v>0.6</v>
      </c>
      <c r="AF8" s="476">
        <v>0.7</v>
      </c>
      <c r="AG8" s="476">
        <v>0.3</v>
      </c>
      <c r="AH8" s="333">
        <v>1</v>
      </c>
      <c r="AI8" s="333">
        <v>5</v>
      </c>
      <c r="AJ8" s="476">
        <f>1*0.8</f>
        <v>0.8</v>
      </c>
      <c r="AK8" s="476">
        <f>1*1.5</f>
        <v>1.5</v>
      </c>
      <c r="AL8" s="476">
        <f>1*0.6</f>
        <v>0.6</v>
      </c>
      <c r="AM8" s="476">
        <f>1*3</f>
        <v>3</v>
      </c>
      <c r="AN8" s="476">
        <f>1*0.9</f>
        <v>0.9</v>
      </c>
      <c r="AO8" s="476">
        <v>10</v>
      </c>
      <c r="AP8" s="476">
        <f>1*5</f>
        <v>5</v>
      </c>
      <c r="AQ8" s="476">
        <f>1*5</f>
        <v>5</v>
      </c>
      <c r="AR8" s="476">
        <f>1</f>
        <v>1</v>
      </c>
      <c r="AS8" s="476">
        <f>1*3</f>
        <v>3</v>
      </c>
      <c r="AT8" s="476">
        <v>4</v>
      </c>
      <c r="AU8" s="476">
        <v>1</v>
      </c>
      <c r="AV8" s="476">
        <f>4/4*2</f>
        <v>2</v>
      </c>
      <c r="AW8" s="476">
        <v>5</v>
      </c>
      <c r="AX8" s="476">
        <v>1</v>
      </c>
      <c r="AY8" s="476">
        <f>4/4*2</f>
        <v>2</v>
      </c>
      <c r="AZ8" s="476">
        <f>2.4/2.4*1.5</f>
        <v>1.5</v>
      </c>
      <c r="BA8" s="476">
        <v>1.2</v>
      </c>
      <c r="BB8" s="476">
        <v>1</v>
      </c>
      <c r="BC8" s="476">
        <f>2/2*2.4</f>
        <v>2.4</v>
      </c>
      <c r="BD8" s="476">
        <f>1*2</f>
        <v>2</v>
      </c>
      <c r="BE8" s="476">
        <f>7.1/7.1*4.1</f>
        <v>4.0999999999999996</v>
      </c>
      <c r="BF8" s="476">
        <f>1*2</f>
        <v>2</v>
      </c>
      <c r="BG8" s="476">
        <f>1.5/1.5*0.4</f>
        <v>0.4</v>
      </c>
      <c r="BH8" s="476">
        <f>1*0.6</f>
        <v>0.6</v>
      </c>
      <c r="BI8" s="476">
        <f>1*0.6</f>
        <v>0.6</v>
      </c>
      <c r="BJ8" s="476">
        <f>1*2</f>
        <v>2</v>
      </c>
      <c r="BK8" s="476">
        <f>1*1.5</f>
        <v>1.5</v>
      </c>
      <c r="BL8" s="476">
        <f>1*3.5</f>
        <v>3.5</v>
      </c>
      <c r="BM8" s="476">
        <v>7</v>
      </c>
      <c r="BN8" s="476"/>
      <c r="BO8" s="476"/>
      <c r="BP8" s="476"/>
      <c r="BQ8" s="384"/>
      <c r="BR8" s="476"/>
      <c r="BS8" s="334">
        <f t="shared" ref="BS8:BS22" si="0">SUM(K8:BR8)</f>
        <v>151.89999999999998</v>
      </c>
      <c r="BT8" s="134"/>
      <c r="BU8" s="476">
        <f>2.4/2.4*2</f>
        <v>2</v>
      </c>
      <c r="BV8" s="476">
        <v>4</v>
      </c>
      <c r="BW8" s="476">
        <f>3/3*1.5</f>
        <v>1.5</v>
      </c>
      <c r="BX8" s="476">
        <f>3/3*1.5</f>
        <v>1.5</v>
      </c>
      <c r="BY8" s="476">
        <f>4/4*2</f>
        <v>2</v>
      </c>
      <c r="BZ8" s="476">
        <f>1*3</f>
        <v>3</v>
      </c>
      <c r="CA8" s="476">
        <v>0.7</v>
      </c>
      <c r="CB8" s="476">
        <v>1.8</v>
      </c>
      <c r="CC8" s="476">
        <v>1.2</v>
      </c>
      <c r="CD8" s="476">
        <v>1.5</v>
      </c>
      <c r="CE8" s="476">
        <v>0.6</v>
      </c>
      <c r="CF8" s="476">
        <v>1.1000000000000001</v>
      </c>
      <c r="CG8" s="476">
        <v>1.5</v>
      </c>
      <c r="CH8" s="476">
        <v>0.4</v>
      </c>
      <c r="CI8" s="476">
        <v>0.6</v>
      </c>
      <c r="CJ8" s="476">
        <f>1*6</f>
        <v>6</v>
      </c>
      <c r="CK8" s="476">
        <v>2</v>
      </c>
      <c r="CL8" s="476">
        <f>1*3</f>
        <v>3</v>
      </c>
      <c r="CM8" s="476">
        <f>0.6/0.6*0.5</f>
        <v>0.5</v>
      </c>
      <c r="CN8" s="476">
        <v>1</v>
      </c>
      <c r="CO8" s="476">
        <f>5/5*3</f>
        <v>3</v>
      </c>
      <c r="CP8" s="476">
        <f>5/5*2</f>
        <v>2</v>
      </c>
      <c r="CQ8" s="476">
        <f>1*2</f>
        <v>2</v>
      </c>
      <c r="CR8" s="476">
        <f>1*0.9</f>
        <v>0.9</v>
      </c>
      <c r="CS8" s="476">
        <f>1*2</f>
        <v>2</v>
      </c>
      <c r="CT8" s="476">
        <f>3/3*1.5</f>
        <v>1.5</v>
      </c>
      <c r="CU8" s="476">
        <f>3/3*1.5</f>
        <v>1.5</v>
      </c>
      <c r="CV8" s="476">
        <f>4/4*2</f>
        <v>2</v>
      </c>
      <c r="CW8" s="476">
        <v>0.3</v>
      </c>
      <c r="CX8" s="476">
        <f>1*4.2</f>
        <v>4.2</v>
      </c>
      <c r="CY8" s="333">
        <v>0.2</v>
      </c>
      <c r="CZ8" s="729">
        <v>1</v>
      </c>
      <c r="DA8" s="729">
        <v>1</v>
      </c>
      <c r="DB8" s="476">
        <f>1*0.6</f>
        <v>0.6</v>
      </c>
      <c r="DC8" s="476">
        <f>1*0.3</f>
        <v>0.3</v>
      </c>
      <c r="DD8" s="476">
        <v>3</v>
      </c>
      <c r="DE8" s="476">
        <v>2.4</v>
      </c>
      <c r="DF8" s="476">
        <v>3.1</v>
      </c>
      <c r="DG8" s="476">
        <f>1*3.9</f>
        <v>3.9</v>
      </c>
      <c r="DH8" s="476">
        <f>1*1.2</f>
        <v>1.2</v>
      </c>
      <c r="DI8" s="476">
        <f>4/4*5</f>
        <v>5</v>
      </c>
      <c r="DJ8" s="476">
        <f>1*2.5</f>
        <v>2.5</v>
      </c>
      <c r="DK8" s="476">
        <f>1*1.5</f>
        <v>1.5</v>
      </c>
      <c r="DL8" s="476">
        <f>1</f>
        <v>1</v>
      </c>
      <c r="DM8" s="476">
        <f>1*1.5</f>
        <v>1.5</v>
      </c>
      <c r="DN8" s="476">
        <f>4/4*3</f>
        <v>3</v>
      </c>
      <c r="DO8" s="476">
        <f>0.8/0.8*0.4</f>
        <v>0.4</v>
      </c>
      <c r="DP8" s="476">
        <f>1.8/1.8*0.9</f>
        <v>0.9</v>
      </c>
      <c r="DQ8" s="476">
        <f>1.2/1.2*0.6</f>
        <v>0.6</v>
      </c>
      <c r="DR8" s="476">
        <v>2</v>
      </c>
      <c r="DS8" s="476">
        <v>7</v>
      </c>
      <c r="DT8" s="477">
        <f t="shared" ref="DT8:DT22" si="1">SUM(BU8:DS8)</f>
        <v>97.40000000000002</v>
      </c>
      <c r="DU8" s="135"/>
      <c r="DV8" s="476">
        <v>4</v>
      </c>
      <c r="DW8" s="476">
        <f>1*2</f>
        <v>2</v>
      </c>
      <c r="DX8" s="476">
        <v>1.2</v>
      </c>
      <c r="DY8" s="476">
        <f>1*1.5</f>
        <v>1.5</v>
      </c>
      <c r="DZ8" s="476">
        <f>1*3</f>
        <v>3</v>
      </c>
      <c r="EA8" s="476">
        <f>1*5</f>
        <v>5</v>
      </c>
      <c r="EB8" s="474">
        <f>20/20*10</f>
        <v>10</v>
      </c>
      <c r="EC8" s="474">
        <f>20/20*10</f>
        <v>10</v>
      </c>
      <c r="ED8" s="476">
        <v>0.6</v>
      </c>
      <c r="EE8" s="476">
        <v>1</v>
      </c>
      <c r="EF8" s="476">
        <f>1*1.5</f>
        <v>1.5</v>
      </c>
      <c r="EG8" s="333">
        <v>8</v>
      </c>
      <c r="EH8" s="333">
        <f>12/12*8</f>
        <v>8</v>
      </c>
      <c r="EI8" s="333">
        <f>12/12*4</f>
        <v>4</v>
      </c>
      <c r="EJ8" s="476">
        <f>0.8/0.8*0.4</f>
        <v>0.4</v>
      </c>
      <c r="EK8" s="476">
        <f>1.2/1.2*0.6</f>
        <v>0.6</v>
      </c>
      <c r="EL8" s="476">
        <f>1.8/1.8*0.9</f>
        <v>0.9</v>
      </c>
      <c r="EM8" s="476">
        <v>1</v>
      </c>
      <c r="EN8" s="476">
        <f>1*2</f>
        <v>2</v>
      </c>
      <c r="EO8" s="476">
        <f>1</f>
        <v>1</v>
      </c>
      <c r="EP8" s="476">
        <f>5</f>
        <v>5</v>
      </c>
      <c r="EQ8" s="476">
        <v>0.3</v>
      </c>
      <c r="ER8" s="476">
        <f>1*2.5</f>
        <v>2.5</v>
      </c>
      <c r="ES8" s="476">
        <f>0.3/0.3*0.6</f>
        <v>0.6</v>
      </c>
      <c r="ET8" s="476">
        <v>1.5</v>
      </c>
      <c r="EU8" s="476">
        <f>1*4</f>
        <v>4</v>
      </c>
      <c r="EV8" s="476">
        <v>3</v>
      </c>
      <c r="EW8" s="474">
        <v>0.3</v>
      </c>
      <c r="EX8" s="474">
        <f>1*2</f>
        <v>2</v>
      </c>
      <c r="EY8" s="474">
        <f>6/6*3</f>
        <v>3</v>
      </c>
      <c r="EZ8" s="476">
        <v>5</v>
      </c>
      <c r="FA8" s="476">
        <f>1.5/1.5</f>
        <v>1</v>
      </c>
      <c r="FB8" s="476">
        <v>1</v>
      </c>
      <c r="FC8" s="476">
        <f>1*1.5</f>
        <v>1.5</v>
      </c>
      <c r="FD8" s="476">
        <f>1</f>
        <v>1</v>
      </c>
      <c r="FE8" s="476">
        <f>3</f>
        <v>3</v>
      </c>
      <c r="FF8" s="476">
        <f>1*0.3</f>
        <v>0.3</v>
      </c>
      <c r="FG8" s="476">
        <v>3</v>
      </c>
      <c r="FH8" s="476">
        <v>1.7</v>
      </c>
      <c r="FI8" s="476">
        <v>3</v>
      </c>
      <c r="FJ8" s="476">
        <f>1*5</f>
        <v>5</v>
      </c>
      <c r="FK8" s="476">
        <v>0.6</v>
      </c>
      <c r="FL8" s="476">
        <f>2/2*2.1</f>
        <v>2.1</v>
      </c>
      <c r="FM8" s="476">
        <v>5</v>
      </c>
      <c r="FN8" s="476">
        <v>0.3</v>
      </c>
      <c r="FO8" s="476">
        <v>0.4</v>
      </c>
      <c r="FP8" s="476">
        <v>0.6</v>
      </c>
      <c r="FQ8" s="476">
        <v>0.6</v>
      </c>
      <c r="FR8" s="474">
        <v>0.5</v>
      </c>
      <c r="FS8" s="474">
        <f>1*3</f>
        <v>3</v>
      </c>
      <c r="FT8" s="474">
        <f>1*1.9</f>
        <v>1.9</v>
      </c>
      <c r="FU8" s="476">
        <f>1*3</f>
        <v>3</v>
      </c>
      <c r="FV8" s="476">
        <f>1.8/1.8*0.5</f>
        <v>0.5</v>
      </c>
      <c r="FW8" s="498"/>
      <c r="FX8" s="497"/>
      <c r="FY8" s="474"/>
      <c r="FZ8" s="476"/>
      <c r="GA8" s="429">
        <f t="shared" ref="GA8:GA22" si="2">SUM(DV8:FZ8)</f>
        <v>131.89999999999998</v>
      </c>
      <c r="GB8" s="106"/>
      <c r="GC8" s="501"/>
      <c r="GD8" s="476"/>
      <c r="GE8" s="476"/>
      <c r="GF8" s="474"/>
      <c r="GG8" s="476"/>
      <c r="GH8" s="474"/>
      <c r="GI8" s="476"/>
      <c r="GJ8" s="476"/>
      <c r="GK8" s="476"/>
      <c r="GL8" s="476"/>
      <c r="GM8" s="476"/>
      <c r="GN8" s="476"/>
      <c r="GO8" s="476"/>
      <c r="GP8" s="476"/>
      <c r="GQ8" s="478"/>
      <c r="GR8" s="728"/>
      <c r="GS8" s="333"/>
      <c r="GT8" s="333"/>
      <c r="GU8" s="738"/>
      <c r="GV8" s="483"/>
      <c r="GW8" s="529">
        <f t="shared" ref="GW8:GW22" si="3">SUM(GC8:GV8)</f>
        <v>0</v>
      </c>
      <c r="GX8" s="528"/>
      <c r="GY8" s="484"/>
      <c r="GZ8" s="485"/>
      <c r="HA8" s="486"/>
      <c r="HB8" s="1369"/>
      <c r="HC8" s="1382"/>
      <c r="HD8" s="40"/>
      <c r="HE8" s="40"/>
    </row>
    <row r="9" spans="1:213" ht="15.9" customHeight="1" x14ac:dyDescent="0.3">
      <c r="A9" s="1322">
        <v>1</v>
      </c>
      <c r="B9" s="687" t="s">
        <v>236</v>
      </c>
      <c r="C9" s="304">
        <f>'2_квартал'!G9</f>
        <v>70.438000000000002</v>
      </c>
      <c r="D9" s="588">
        <v>98.1</v>
      </c>
      <c r="E9" s="191">
        <v>0.31</v>
      </c>
      <c r="F9" s="570"/>
      <c r="G9" s="461">
        <f>ROUND(AVERAGE(D9:F9),3)</f>
        <v>49.204999999999998</v>
      </c>
      <c r="H9" s="142">
        <v>0</v>
      </c>
      <c r="I9" s="142">
        <v>0</v>
      </c>
      <c r="J9" s="335"/>
      <c r="K9" s="339"/>
      <c r="L9" s="339"/>
      <c r="M9" s="339">
        <f>0.775+0.81</f>
        <v>1.585</v>
      </c>
      <c r="N9" s="339">
        <f>0.675*3</f>
        <v>2.0250000000000004</v>
      </c>
      <c r="O9" s="339">
        <v>6.3</v>
      </c>
      <c r="P9" s="339">
        <v>0.18099999999999999</v>
      </c>
      <c r="Q9" s="339">
        <f>45.36/15*7</f>
        <v>21.167999999999999</v>
      </c>
      <c r="R9" s="339">
        <f>45.36/15*10.4</f>
        <v>31.4496</v>
      </c>
      <c r="S9" s="339">
        <f>45.36/15*2.6</f>
        <v>7.8624000000000001</v>
      </c>
      <c r="T9" s="339">
        <v>0.17199999999999999</v>
      </c>
      <c r="U9" s="339">
        <f>0.675*9</f>
        <v>6.0750000000000002</v>
      </c>
      <c r="V9" s="339">
        <v>1.1080000000000001</v>
      </c>
      <c r="W9" s="339">
        <f>1.512*2</f>
        <v>3.024</v>
      </c>
      <c r="X9" s="339"/>
      <c r="Y9" s="338">
        <v>0.151</v>
      </c>
      <c r="Z9" s="336">
        <v>1.21</v>
      </c>
      <c r="AA9" s="337"/>
      <c r="AB9" s="336"/>
      <c r="AC9" s="339">
        <v>9.0999999999999998E-2</v>
      </c>
      <c r="AD9" s="339"/>
      <c r="AE9" s="339"/>
      <c r="AF9" s="339">
        <v>0.46200000000000002</v>
      </c>
      <c r="AG9" s="339"/>
      <c r="AH9" s="336">
        <v>0.20200000000000001</v>
      </c>
      <c r="AI9" s="336"/>
      <c r="AJ9" s="339"/>
      <c r="AK9" s="339"/>
      <c r="AL9" s="339"/>
      <c r="AM9" s="339">
        <f>0.675*3</f>
        <v>2.0250000000000004</v>
      </c>
      <c r="AN9" s="339"/>
      <c r="AO9" s="339">
        <v>12.6</v>
      </c>
      <c r="AP9" s="339">
        <f>0.171*5</f>
        <v>0.85500000000000009</v>
      </c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9">
        <f>0.181*2</f>
        <v>0.36199999999999999</v>
      </c>
      <c r="BE9" s="339"/>
      <c r="BF9" s="339"/>
      <c r="BG9" s="338"/>
      <c r="BH9" s="339"/>
      <c r="BI9" s="339"/>
      <c r="BJ9" s="339"/>
      <c r="BK9" s="339"/>
      <c r="BL9" s="339"/>
      <c r="BM9" s="339"/>
      <c r="BN9" s="339"/>
      <c r="BO9" s="339"/>
      <c r="BP9" s="338"/>
      <c r="BQ9" s="488"/>
      <c r="BR9" s="339"/>
      <c r="BS9" s="251">
        <f t="shared" si="0"/>
        <v>98.907999999999987</v>
      </c>
      <c r="BT9" s="335"/>
      <c r="BU9" s="339"/>
      <c r="BV9" s="339">
        <v>0.31</v>
      </c>
      <c r="BW9" s="339"/>
      <c r="BX9" s="339"/>
      <c r="BY9" s="339"/>
      <c r="BZ9" s="339"/>
      <c r="CA9" s="339"/>
      <c r="CB9" s="339"/>
      <c r="CC9" s="339"/>
      <c r="CD9" s="339"/>
      <c r="CE9" s="339"/>
      <c r="CF9" s="339"/>
      <c r="CG9" s="339"/>
      <c r="CH9" s="339"/>
      <c r="CI9" s="339"/>
      <c r="CJ9" s="338"/>
      <c r="CK9" s="339"/>
      <c r="CL9" s="339"/>
      <c r="CM9" s="339"/>
      <c r="CN9" s="339"/>
      <c r="CO9" s="339"/>
      <c r="CP9" s="339"/>
      <c r="CQ9" s="339"/>
      <c r="CR9" s="339"/>
      <c r="CS9" s="339"/>
      <c r="CT9" s="339"/>
      <c r="CU9" s="339"/>
      <c r="CV9" s="339"/>
      <c r="CW9" s="339"/>
      <c r="CX9" s="339"/>
      <c r="CY9" s="336"/>
      <c r="CZ9" s="337"/>
      <c r="DA9" s="337"/>
      <c r="DB9" s="339"/>
      <c r="DC9" s="339"/>
      <c r="DD9" s="339"/>
      <c r="DE9" s="339"/>
      <c r="DF9" s="339"/>
      <c r="DG9" s="339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39"/>
      <c r="DS9" s="339"/>
      <c r="DT9" s="251">
        <f t="shared" si="1"/>
        <v>0.31</v>
      </c>
      <c r="DU9" s="340"/>
      <c r="DV9" s="339"/>
      <c r="DW9" s="339"/>
      <c r="DX9" s="339"/>
      <c r="DY9" s="339"/>
      <c r="DZ9" s="339"/>
      <c r="EA9" s="339"/>
      <c r="EB9" s="339"/>
      <c r="EC9" s="339"/>
      <c r="ED9" s="339"/>
      <c r="EE9" s="339"/>
      <c r="EF9" s="339"/>
      <c r="EG9" s="336"/>
      <c r="EH9" s="336"/>
      <c r="EI9" s="336"/>
      <c r="EJ9" s="339"/>
      <c r="EK9" s="339"/>
      <c r="EL9" s="339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8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339"/>
      <c r="FJ9" s="339"/>
      <c r="FK9" s="33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8"/>
      <c r="FX9" s="339"/>
      <c r="FY9" s="339"/>
      <c r="FZ9" s="339"/>
      <c r="GA9" s="251">
        <f t="shared" si="2"/>
        <v>0</v>
      </c>
      <c r="GB9" s="149"/>
      <c r="GC9" s="779"/>
      <c r="GD9" s="339"/>
      <c r="GE9" s="339"/>
      <c r="GF9" s="339"/>
      <c r="GG9" s="339"/>
      <c r="GH9" s="339"/>
      <c r="GI9" s="339"/>
      <c r="GJ9" s="339"/>
      <c r="GK9" s="339"/>
      <c r="GL9" s="339"/>
      <c r="GM9" s="339"/>
      <c r="GN9" s="339"/>
      <c r="GO9" s="339"/>
      <c r="GP9" s="339"/>
      <c r="GQ9" s="343"/>
      <c r="GR9" s="341"/>
      <c r="GS9" s="336"/>
      <c r="GT9" s="336"/>
      <c r="GU9" s="739"/>
      <c r="GV9" s="489"/>
      <c r="GW9" s="490">
        <f t="shared" si="3"/>
        <v>0</v>
      </c>
      <c r="GX9" s="452">
        <f t="shared" ref="GX9:GX22" si="4">I9-GW9</f>
        <v>0</v>
      </c>
      <c r="GY9" s="604">
        <f t="shared" ref="GY9:GY22" si="5">I9</f>
        <v>0</v>
      </c>
      <c r="GZ9" s="626">
        <f>'2_квартал'!G9</f>
        <v>70.438000000000002</v>
      </c>
      <c r="HA9" s="163">
        <f t="shared" ref="HA9:HA22" si="6">E9</f>
        <v>0.31</v>
      </c>
      <c r="HB9" s="36" t="str">
        <f t="shared" ref="HB9:HB22" si="7">B9</f>
        <v>вит А 1000000</v>
      </c>
      <c r="HC9" s="38"/>
      <c r="HD9" s="602"/>
      <c r="HE9" s="22"/>
    </row>
    <row r="10" spans="1:213" ht="15" customHeight="1" x14ac:dyDescent="0.3">
      <c r="A10" s="1395"/>
      <c r="B10" s="726" t="s">
        <v>238</v>
      </c>
      <c r="C10" s="719"/>
      <c r="D10" s="588">
        <f>0.81+37.57</f>
        <v>38.380000000000003</v>
      </c>
      <c r="E10" s="191">
        <v>48.69</v>
      </c>
      <c r="F10" s="816">
        <f>113.74+15.16</f>
        <v>128.9</v>
      </c>
      <c r="G10" s="720">
        <f>ROUND(AVERAGE(D10:F10),3)</f>
        <v>71.989999999999995</v>
      </c>
      <c r="H10" s="756">
        <v>113.74</v>
      </c>
      <c r="I10" s="756">
        <v>84.84</v>
      </c>
      <c r="J10" s="94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725"/>
      <c r="V10" s="725"/>
      <c r="W10" s="725"/>
      <c r="X10" s="725"/>
      <c r="Y10" s="724"/>
      <c r="Z10" s="724"/>
      <c r="AA10" s="725">
        <v>13.103999999999999</v>
      </c>
      <c r="AB10" s="724"/>
      <c r="AC10" s="725"/>
      <c r="AD10" s="725"/>
      <c r="AE10" s="725"/>
      <c r="AF10" s="725"/>
      <c r="AG10" s="725"/>
      <c r="AH10" s="724"/>
      <c r="AI10" s="724">
        <v>7.56</v>
      </c>
      <c r="AJ10" s="725">
        <f>0.181*0.8</f>
        <v>0.14480000000000001</v>
      </c>
      <c r="AK10" s="725">
        <f>0.675*1.5</f>
        <v>1.0125000000000002</v>
      </c>
      <c r="AL10" s="725">
        <f>0.181*0.6</f>
        <v>0.10859999999999999</v>
      </c>
      <c r="AM10" s="319"/>
      <c r="AN10" s="725">
        <f>0.534*0.9</f>
        <v>0.48060000000000003</v>
      </c>
      <c r="AO10" s="725"/>
      <c r="AP10" s="725"/>
      <c r="AQ10" s="725"/>
      <c r="AR10" s="725"/>
      <c r="AS10" s="725">
        <f>0.534*3</f>
        <v>1.6020000000000001</v>
      </c>
      <c r="AT10" s="725">
        <v>0.72599999999999998</v>
      </c>
      <c r="AU10" s="725">
        <v>0.30199999999999999</v>
      </c>
      <c r="AV10" s="725">
        <f>4.032/4*2</f>
        <v>2.016</v>
      </c>
      <c r="AW10" s="725"/>
      <c r="AX10" s="725">
        <v>0.40300000000000002</v>
      </c>
      <c r="AY10" s="725">
        <f>4.032/4*2</f>
        <v>2.016</v>
      </c>
      <c r="AZ10" s="725">
        <f>1.585/2.4*1.5</f>
        <v>0.99062499999999998</v>
      </c>
      <c r="BA10" s="725">
        <v>0.72599999999999998</v>
      </c>
      <c r="BB10" s="725"/>
      <c r="BC10" s="725">
        <f>0.202/2*2.4</f>
        <v>0.2424</v>
      </c>
      <c r="BD10" s="725"/>
      <c r="BE10" s="725"/>
      <c r="BF10" s="725"/>
      <c r="BG10" s="725">
        <f>3.931/1.5*0.4</f>
        <v>1.0482666666666667</v>
      </c>
      <c r="BH10" s="725">
        <f>0.174*0.6</f>
        <v>0.10439999999999999</v>
      </c>
      <c r="BI10" s="725">
        <f>0.174*0.6</f>
        <v>0.10439999999999999</v>
      </c>
      <c r="BJ10" s="725">
        <f>0.181*2</f>
        <v>0.36199999999999999</v>
      </c>
      <c r="BK10" s="725">
        <f>0.595*1.5</f>
        <v>0.89249999999999996</v>
      </c>
      <c r="BL10" s="725">
        <f>0.675*3.5</f>
        <v>2.3625000000000003</v>
      </c>
      <c r="BM10" s="725">
        <v>1.27</v>
      </c>
      <c r="BN10" s="319"/>
      <c r="BO10" s="319"/>
      <c r="BP10" s="319"/>
      <c r="BQ10" s="460"/>
      <c r="BR10" s="319"/>
      <c r="BS10" s="158">
        <f t="shared" si="0"/>
        <v>37.578591666666654</v>
      </c>
      <c r="BT10" s="94"/>
      <c r="BU10" s="725">
        <f>1.585/2.4*2</f>
        <v>1.3208333333333333</v>
      </c>
      <c r="BV10" s="725">
        <v>0.41599999999999998</v>
      </c>
      <c r="BW10" s="725">
        <f>0.523/3*1.5</f>
        <v>0.26150000000000001</v>
      </c>
      <c r="BX10" s="725">
        <f>7.862/3*1.5</f>
        <v>3.931</v>
      </c>
      <c r="BY10" s="725">
        <f>0.698/4*2</f>
        <v>0.34899999999999998</v>
      </c>
      <c r="BZ10" s="725">
        <f>0.675*3</f>
        <v>2.0250000000000004</v>
      </c>
      <c r="CA10" s="725">
        <v>0.46200000000000002</v>
      </c>
      <c r="CB10" s="725"/>
      <c r="CC10" s="725"/>
      <c r="CD10" s="725">
        <v>1.6619999999999999</v>
      </c>
      <c r="CE10" s="725">
        <v>0.34499999999999997</v>
      </c>
      <c r="CF10" s="725">
        <v>0.192</v>
      </c>
      <c r="CG10" s="725">
        <v>1.512</v>
      </c>
      <c r="CH10" s="725">
        <v>7.0000000000000007E-2</v>
      </c>
      <c r="CI10" s="725"/>
      <c r="CJ10" s="724">
        <f>0.675*6</f>
        <v>4.0500000000000007</v>
      </c>
      <c r="CK10" s="725">
        <v>0.60499999999999998</v>
      </c>
      <c r="CL10" s="725">
        <f>0.66*3</f>
        <v>1.98</v>
      </c>
      <c r="CM10" s="725">
        <f>0.345/0.6*0.5</f>
        <v>0.28749999999999998</v>
      </c>
      <c r="CN10" s="725">
        <v>0.18099999999999999</v>
      </c>
      <c r="CO10" s="725">
        <f>2.52/5*3</f>
        <v>1.512</v>
      </c>
      <c r="CP10" s="725">
        <f>2.52/5*2</f>
        <v>1.008</v>
      </c>
      <c r="CQ10" s="725"/>
      <c r="CR10" s="725">
        <f>0.534*0.9</f>
        <v>0.48060000000000003</v>
      </c>
      <c r="CS10" s="725">
        <f>0.675*2</f>
        <v>1.35</v>
      </c>
      <c r="CT10" s="725">
        <f>7.862/3*1.5</f>
        <v>3.931</v>
      </c>
      <c r="CU10" s="725">
        <f>0.523/3*1.5</f>
        <v>0.26150000000000001</v>
      </c>
      <c r="CV10" s="725">
        <f>0.698/4*2</f>
        <v>0.34899999999999998</v>
      </c>
      <c r="CW10" s="725">
        <v>0.151</v>
      </c>
      <c r="CX10" s="725">
        <f>0.675*4.2</f>
        <v>2.8350000000000004</v>
      </c>
      <c r="CY10" s="724">
        <v>0.28999999999999998</v>
      </c>
      <c r="CZ10" s="725">
        <v>0.18099999999999999</v>
      </c>
      <c r="DA10" s="725">
        <v>0.18099999999999999</v>
      </c>
      <c r="DB10" s="725">
        <f>0.181*0.6</f>
        <v>0.10859999999999999</v>
      </c>
      <c r="DC10" s="725">
        <f>0.181*0.3</f>
        <v>5.4299999999999994E-2</v>
      </c>
      <c r="DD10" s="725">
        <v>0.75600000000000001</v>
      </c>
      <c r="DE10" s="725">
        <v>0.24199999999999999</v>
      </c>
      <c r="DF10" s="725">
        <v>1.8440000000000001</v>
      </c>
      <c r="DG10" s="725">
        <f>0.181*3.9</f>
        <v>0.70589999999999997</v>
      </c>
      <c r="DH10" s="725">
        <f>0.66*1.2</f>
        <v>0.79200000000000004</v>
      </c>
      <c r="DI10" s="725">
        <f>4.032/4*5</f>
        <v>5.04</v>
      </c>
      <c r="DJ10" s="725">
        <f>0.302*2.5</f>
        <v>0.755</v>
      </c>
      <c r="DK10" s="725">
        <f>0.534*1.5</f>
        <v>0.80100000000000005</v>
      </c>
      <c r="DL10" s="725">
        <f>0.534</f>
        <v>0.53400000000000003</v>
      </c>
      <c r="DM10" s="725">
        <f>0.403*1.5</f>
        <v>0.60450000000000004</v>
      </c>
      <c r="DN10" s="725">
        <f>0.726/4*3</f>
        <v>0.54449999999999998</v>
      </c>
      <c r="DO10" s="725">
        <f>0.528/0.8*0.4</f>
        <v>0.26400000000000001</v>
      </c>
      <c r="DP10" s="725"/>
      <c r="DQ10" s="725"/>
      <c r="DR10" s="725">
        <v>2.2160000000000002</v>
      </c>
      <c r="DS10" s="725">
        <v>1.27</v>
      </c>
      <c r="DT10" s="185">
        <f t="shared" si="1"/>
        <v>48.711733333333349</v>
      </c>
      <c r="DU10" s="57"/>
      <c r="DV10" s="725">
        <v>0.72599999999999998</v>
      </c>
      <c r="DW10" s="725">
        <f>0.66*2</f>
        <v>1.32</v>
      </c>
      <c r="DX10" s="725">
        <v>0.72599999999999998</v>
      </c>
      <c r="DY10" s="725">
        <f>0.181*1.5</f>
        <v>0.27149999999999996</v>
      </c>
      <c r="DZ10" s="725">
        <f>0.171*3</f>
        <v>0.51300000000000001</v>
      </c>
      <c r="EA10" s="725"/>
      <c r="EB10" s="725">
        <f>60.48/20*10</f>
        <v>30.240000000000002</v>
      </c>
      <c r="EC10" s="725">
        <f>60.48/20*10</f>
        <v>30.240000000000002</v>
      </c>
      <c r="ED10" s="725">
        <v>0.34499999999999997</v>
      </c>
      <c r="EE10" s="725">
        <v>0.18099999999999999</v>
      </c>
      <c r="EF10" s="725">
        <f>0.181*1.5</f>
        <v>0.27149999999999996</v>
      </c>
      <c r="EG10" s="724">
        <v>1.613</v>
      </c>
      <c r="EH10" s="724">
        <f>31.45/12*8</f>
        <v>20.966666666666665</v>
      </c>
      <c r="EI10" s="724">
        <f>31.45/12*4</f>
        <v>10.483333333333333</v>
      </c>
      <c r="EJ10" s="725">
        <f>0.528/0.8*0.4</f>
        <v>0.26400000000000001</v>
      </c>
      <c r="EK10" s="725"/>
      <c r="EL10" s="725"/>
      <c r="EM10" s="725">
        <f>0.675</f>
        <v>0.67500000000000004</v>
      </c>
      <c r="EN10" s="725">
        <f>0.181*2</f>
        <v>0.36199999999999999</v>
      </c>
      <c r="EO10" s="725">
        <f>0.181</f>
        <v>0.18099999999999999</v>
      </c>
      <c r="EP10" s="725"/>
      <c r="EQ10" s="725"/>
      <c r="ER10" s="725">
        <f>0.181*2.5</f>
        <v>0.45250000000000001</v>
      </c>
      <c r="ES10" s="725">
        <f>0.054/0.3*0.6</f>
        <v>0.108</v>
      </c>
      <c r="ET10" s="725">
        <v>0.27200000000000002</v>
      </c>
      <c r="EU10" s="725">
        <f>0.675*4</f>
        <v>2.7</v>
      </c>
      <c r="EV10" s="725"/>
      <c r="EW10" s="725">
        <v>9.0999999999999998E-2</v>
      </c>
      <c r="EX10" s="725">
        <f>0.675*2</f>
        <v>1.35</v>
      </c>
      <c r="EY10" s="725">
        <f>4.052/6*3</f>
        <v>2.0259999999999998</v>
      </c>
      <c r="EZ10" s="725">
        <v>5.04</v>
      </c>
      <c r="FA10" s="725">
        <f>0.605/1.5</f>
        <v>0.40333333333333332</v>
      </c>
      <c r="FB10" s="725">
        <v>0.252</v>
      </c>
      <c r="FC10" s="725">
        <f>0.675*1.5</f>
        <v>1.0125000000000002</v>
      </c>
      <c r="FD10" s="725">
        <f>0.181</f>
        <v>0.18099999999999999</v>
      </c>
      <c r="FE10" s="725">
        <f>1.981</f>
        <v>1.9810000000000001</v>
      </c>
      <c r="FF10" s="725">
        <f>0.675*0.3</f>
        <v>0.20250000000000001</v>
      </c>
      <c r="FG10" s="725"/>
      <c r="FH10" s="725">
        <v>0.17100000000000001</v>
      </c>
      <c r="FI10" s="725">
        <v>1.603</v>
      </c>
      <c r="FJ10" s="725">
        <f>0.171*5</f>
        <v>0.85500000000000009</v>
      </c>
      <c r="FK10" s="725">
        <v>0.109</v>
      </c>
      <c r="FL10" s="725">
        <f>1.351/2*2.1</f>
        <v>1.41855</v>
      </c>
      <c r="FM10" s="725">
        <f>2.52</f>
        <v>2.52</v>
      </c>
      <c r="FN10" s="725">
        <v>0.151</v>
      </c>
      <c r="FO10" s="725">
        <v>1.048</v>
      </c>
      <c r="FP10" s="725">
        <v>0.105</v>
      </c>
      <c r="FQ10" s="725">
        <v>0.105</v>
      </c>
      <c r="FR10" s="725">
        <v>0.10100000000000001</v>
      </c>
      <c r="FS10" s="725">
        <f>0.675*3</f>
        <v>2.0250000000000004</v>
      </c>
      <c r="FT10" s="725">
        <f>0.675*1.9</f>
        <v>1.2825</v>
      </c>
      <c r="FU10" s="725">
        <f>0.66*3</f>
        <v>1.98</v>
      </c>
      <c r="FV10" s="725"/>
      <c r="FW10" s="319"/>
      <c r="FX10" s="319"/>
      <c r="FY10" s="319"/>
      <c r="FZ10" s="319"/>
      <c r="GA10" s="158">
        <f t="shared" si="2"/>
        <v>128.92488333333333</v>
      </c>
      <c r="GB10" s="95"/>
      <c r="GC10" s="374"/>
      <c r="GD10" s="725"/>
      <c r="GE10" s="725"/>
      <c r="GF10" s="725"/>
      <c r="GG10" s="725"/>
      <c r="GH10" s="725"/>
      <c r="GI10" s="725"/>
      <c r="GJ10" s="725"/>
      <c r="GK10" s="725"/>
      <c r="GL10" s="725"/>
      <c r="GM10" s="725"/>
      <c r="GN10" s="725"/>
      <c r="GO10" s="725"/>
      <c r="GP10" s="725"/>
      <c r="GQ10" s="387"/>
      <c r="GR10" s="723"/>
      <c r="GS10" s="724"/>
      <c r="GT10" s="724"/>
      <c r="GU10" s="740"/>
      <c r="GV10" s="472"/>
      <c r="GW10" s="494">
        <f t="shared" si="3"/>
        <v>0</v>
      </c>
      <c r="GX10" s="663">
        <f t="shared" si="4"/>
        <v>84.84</v>
      </c>
      <c r="GY10" s="605">
        <f t="shared" si="5"/>
        <v>84.84</v>
      </c>
      <c r="GZ10" s="721"/>
      <c r="HA10" s="722">
        <f t="shared" si="6"/>
        <v>48.69</v>
      </c>
      <c r="HB10" s="36" t="str">
        <f t="shared" si="7"/>
        <v>Апсавит вит А1000</v>
      </c>
      <c r="HC10" s="38"/>
      <c r="HD10" s="602"/>
      <c r="HE10" s="22"/>
    </row>
    <row r="11" spans="1:213" ht="15.9" customHeight="1" x14ac:dyDescent="0.3">
      <c r="A11" s="1396">
        <f>A9+1</f>
        <v>2</v>
      </c>
      <c r="B11" s="690" t="s">
        <v>26</v>
      </c>
      <c r="C11" s="565">
        <f>'2_квартал'!G10</f>
        <v>35.777000000000001</v>
      </c>
      <c r="D11" s="588">
        <v>30.68</v>
      </c>
      <c r="E11" s="191">
        <v>1.45</v>
      </c>
      <c r="F11" s="570">
        <f>0.09+4.33</f>
        <v>4.42</v>
      </c>
      <c r="G11" s="299">
        <f t="shared" ref="G11:G83" si="8">ROUND(AVERAGE(D11:F11),3)</f>
        <v>12.183</v>
      </c>
      <c r="H11" s="93">
        <v>0.09</v>
      </c>
      <c r="I11" s="93">
        <f>45.67+50</f>
        <v>95.67</v>
      </c>
      <c r="J11" s="94"/>
      <c r="K11" s="319">
        <f>0.023/0.3*0.6</f>
        <v>4.6000000000000006E-2</v>
      </c>
      <c r="L11" s="319"/>
      <c r="M11" s="319">
        <v>0.73</v>
      </c>
      <c r="N11" s="319">
        <f>0.39*3</f>
        <v>1.17</v>
      </c>
      <c r="O11" s="319">
        <v>2.9</v>
      </c>
      <c r="P11" s="319">
        <v>9.5000000000000001E-2</v>
      </c>
      <c r="Q11" s="319">
        <f>12.838/15*7</f>
        <v>5.9910666666666668</v>
      </c>
      <c r="R11" s="319">
        <f>12.838/15*10.4</f>
        <v>8.9010133333333332</v>
      </c>
      <c r="S11" s="319">
        <f>12.838/15*2.6</f>
        <v>2.2252533333333333</v>
      </c>
      <c r="T11" s="319">
        <v>0.08</v>
      </c>
      <c r="U11" s="319">
        <f>0.39*9</f>
        <v>3.5100000000000002</v>
      </c>
      <c r="V11" s="319">
        <v>0.47499999999999998</v>
      </c>
      <c r="W11" s="319">
        <f>0.723*2</f>
        <v>1.446</v>
      </c>
      <c r="X11" s="319"/>
      <c r="Y11" s="245">
        <v>7.1999999999999995E-2</v>
      </c>
      <c r="Z11" s="177">
        <v>0.308</v>
      </c>
      <c r="AA11" s="272"/>
      <c r="AB11" s="24"/>
      <c r="AC11" s="319">
        <v>1.7000000000000001E-2</v>
      </c>
      <c r="AD11" s="319">
        <v>0.114</v>
      </c>
      <c r="AE11" s="319">
        <v>4.5999999999999999E-2</v>
      </c>
      <c r="AF11" s="319">
        <v>0.21299999999999999</v>
      </c>
      <c r="AG11" s="319">
        <v>2.3E-2</v>
      </c>
      <c r="AH11" s="177">
        <v>5.0999999999999997E-2</v>
      </c>
      <c r="AI11" s="177"/>
      <c r="AJ11" s="319"/>
      <c r="AK11" s="319"/>
      <c r="AL11" s="319"/>
      <c r="AM11" s="319">
        <f>0.39*3</f>
        <v>1.17</v>
      </c>
      <c r="AN11" s="319"/>
      <c r="AO11" s="319"/>
      <c r="AP11" s="319">
        <f>0.076*5</f>
        <v>0.38</v>
      </c>
      <c r="AQ11" s="319"/>
      <c r="AR11" s="319"/>
      <c r="AS11" s="319"/>
      <c r="AT11" s="319"/>
      <c r="AU11" s="319"/>
      <c r="AV11" s="319"/>
      <c r="AW11" s="319"/>
      <c r="AX11" s="319"/>
      <c r="AY11" s="319"/>
      <c r="AZ11" s="319"/>
      <c r="BA11" s="319">
        <v>0.13700000000000001</v>
      </c>
      <c r="BB11" s="319"/>
      <c r="BC11" s="319">
        <f>0.095/2*2.4</f>
        <v>0.11399999999999999</v>
      </c>
      <c r="BD11" s="319">
        <f>0.095*2</f>
        <v>0.19</v>
      </c>
      <c r="BE11" s="319"/>
      <c r="BF11" s="319"/>
      <c r="BG11" s="319">
        <f>0.856/1.5*0.4</f>
        <v>0.22826666666666667</v>
      </c>
      <c r="BH11" s="319">
        <f>0.038*0.6</f>
        <v>2.2799999999999997E-2</v>
      </c>
      <c r="BI11" s="319">
        <f>0.038*0.6</f>
        <v>2.2799999999999997E-2</v>
      </c>
      <c r="BJ11" s="319"/>
      <c r="BK11" s="319"/>
      <c r="BL11" s="319"/>
      <c r="BM11" s="319"/>
      <c r="BN11" s="319"/>
      <c r="BO11" s="319"/>
      <c r="BP11" s="319"/>
      <c r="BQ11" s="460"/>
      <c r="BR11" s="319"/>
      <c r="BS11" s="158">
        <f t="shared" si="0"/>
        <v>30.678200000000004</v>
      </c>
      <c r="BT11" s="94"/>
      <c r="BU11" s="319"/>
      <c r="BV11" s="319">
        <v>0.38800000000000001</v>
      </c>
      <c r="BW11" s="319"/>
      <c r="BX11" s="319"/>
      <c r="BY11" s="319"/>
      <c r="BZ11" s="319"/>
      <c r="CA11" s="319">
        <v>0.21299999999999999</v>
      </c>
      <c r="CB11" s="319">
        <v>0.13700000000000001</v>
      </c>
      <c r="CC11" s="319">
        <v>9.0999999999999998E-2</v>
      </c>
      <c r="CD11" s="319"/>
      <c r="CE11" s="319">
        <v>0.16300000000000001</v>
      </c>
      <c r="CF11" s="319"/>
      <c r="CG11" s="319"/>
      <c r="CH11" s="319"/>
      <c r="CI11" s="319"/>
      <c r="CJ11" s="319"/>
      <c r="CK11" s="319"/>
      <c r="CL11" s="319"/>
      <c r="CM11" s="319"/>
      <c r="CN11" s="319"/>
      <c r="CO11" s="319"/>
      <c r="CP11" s="319"/>
      <c r="CQ11" s="319"/>
      <c r="CR11" s="319"/>
      <c r="CS11" s="319"/>
      <c r="CT11" s="319"/>
      <c r="CU11" s="319"/>
      <c r="CV11" s="319"/>
      <c r="CW11" s="319">
        <v>7.1999999999999995E-2</v>
      </c>
      <c r="CX11" s="319"/>
      <c r="CY11" s="177"/>
      <c r="CZ11" s="32"/>
      <c r="DA11" s="32"/>
      <c r="DB11" s="319"/>
      <c r="DC11" s="319"/>
      <c r="DD11" s="319">
        <v>0.17100000000000001</v>
      </c>
      <c r="DE11" s="319">
        <v>0.114</v>
      </c>
      <c r="DF11" s="319"/>
      <c r="DG11" s="319"/>
      <c r="DH11" s="319"/>
      <c r="DI11" s="319"/>
      <c r="DJ11" s="319"/>
      <c r="DK11" s="319"/>
      <c r="DL11" s="319"/>
      <c r="DM11" s="319"/>
      <c r="DN11" s="319"/>
      <c r="DO11" s="319"/>
      <c r="DP11" s="319"/>
      <c r="DQ11" s="319"/>
      <c r="DR11" s="319"/>
      <c r="DS11" s="319">
        <v>0.66600000000000004</v>
      </c>
      <c r="DT11" s="185">
        <f t="shared" si="1"/>
        <v>2.0150000000000001</v>
      </c>
      <c r="DU11" s="57"/>
      <c r="DV11" s="319">
        <v>8.4000000000000005E-2</v>
      </c>
      <c r="DW11" s="319"/>
      <c r="DX11" s="319"/>
      <c r="DY11" s="319"/>
      <c r="DZ11" s="319"/>
      <c r="EA11" s="319"/>
      <c r="EB11" s="319"/>
      <c r="EC11" s="319"/>
      <c r="ED11" s="319"/>
      <c r="EE11" s="319"/>
      <c r="EF11" s="319"/>
      <c r="EG11" s="177"/>
      <c r="EH11" s="177"/>
      <c r="EI11" s="177"/>
      <c r="EJ11" s="319"/>
      <c r="EK11" s="319"/>
      <c r="EL11" s="319"/>
      <c r="EM11" s="319"/>
      <c r="EN11" s="319"/>
      <c r="EO11" s="319"/>
      <c r="EP11" s="319"/>
      <c r="EQ11" s="319"/>
      <c r="ER11" s="319"/>
      <c r="ES11" s="319"/>
      <c r="ET11" s="319"/>
      <c r="EU11" s="319"/>
      <c r="EV11" s="319"/>
      <c r="EW11" s="319"/>
      <c r="EX11" s="319"/>
      <c r="EY11" s="319">
        <f>2.339/6*3</f>
        <v>1.1695</v>
      </c>
      <c r="EZ11" s="319"/>
      <c r="FA11" s="319"/>
      <c r="FB11" s="319">
        <v>5.7000000000000002E-2</v>
      </c>
      <c r="FC11" s="319"/>
      <c r="FD11" s="319"/>
      <c r="FE11" s="319"/>
      <c r="FF11" s="319"/>
      <c r="FG11" s="319"/>
      <c r="FH11" s="319"/>
      <c r="FI11" s="319"/>
      <c r="FJ11" s="319">
        <f>0.076*5</f>
        <v>0.38</v>
      </c>
      <c r="FK11" s="319"/>
      <c r="FL11" s="319">
        <f>0.78/2*2.1</f>
        <v>0.81900000000000006</v>
      </c>
      <c r="FM11" s="319">
        <v>0.63700000000000001</v>
      </c>
      <c r="FN11" s="319">
        <v>7.1999999999999995E-2</v>
      </c>
      <c r="FO11" s="319">
        <v>0.22800000000000001</v>
      </c>
      <c r="FP11" s="319">
        <v>2.3E-2</v>
      </c>
      <c r="FQ11" s="319">
        <v>2.3E-2</v>
      </c>
      <c r="FR11" s="319">
        <v>1.9E-2</v>
      </c>
      <c r="FS11" s="319"/>
      <c r="FT11" s="319"/>
      <c r="FU11" s="319">
        <f>0.304*3</f>
        <v>0.91199999999999992</v>
      </c>
      <c r="FV11" s="319"/>
      <c r="FW11" s="319"/>
      <c r="FX11" s="319"/>
      <c r="FY11" s="319"/>
      <c r="FZ11" s="319"/>
      <c r="GA11" s="158">
        <f t="shared" si="2"/>
        <v>4.4235000000000007</v>
      </c>
      <c r="GB11" s="95"/>
      <c r="GC11" s="374"/>
      <c r="GD11" s="319"/>
      <c r="GE11" s="319"/>
      <c r="GF11" s="319"/>
      <c r="GG11" s="319"/>
      <c r="GH11" s="319"/>
      <c r="GI11" s="319"/>
      <c r="GJ11" s="319"/>
      <c r="GK11" s="319"/>
      <c r="GL11" s="319"/>
      <c r="GM11" s="319"/>
      <c r="GN11" s="319"/>
      <c r="GO11" s="319"/>
      <c r="GP11" s="319"/>
      <c r="GQ11" s="28"/>
      <c r="GR11" s="270"/>
      <c r="GS11" s="177"/>
      <c r="GT11" s="177"/>
      <c r="GU11" s="741"/>
      <c r="GV11" s="435"/>
      <c r="GW11" s="327">
        <f t="shared" si="3"/>
        <v>0</v>
      </c>
      <c r="GX11" s="625">
        <f t="shared" si="4"/>
        <v>95.67</v>
      </c>
      <c r="GY11" s="605">
        <f t="shared" si="5"/>
        <v>95.67</v>
      </c>
      <c r="GZ11" s="627">
        <f>'2_квартал'!G10</f>
        <v>35.777000000000001</v>
      </c>
      <c r="HA11" s="239">
        <f t="shared" si="6"/>
        <v>1.45</v>
      </c>
      <c r="HB11" s="36" t="str">
        <f t="shared" si="7"/>
        <v>вит Д3, нутравит Д3</v>
      </c>
      <c r="HC11" s="230"/>
      <c r="HD11" s="22"/>
      <c r="HE11" s="22"/>
    </row>
    <row r="12" spans="1:213" ht="15.9" customHeight="1" x14ac:dyDescent="0.3">
      <c r="A12" s="1395"/>
      <c r="B12" s="726" t="s">
        <v>237</v>
      </c>
      <c r="C12" s="565"/>
      <c r="D12" s="588">
        <v>19.37</v>
      </c>
      <c r="E12" s="191">
        <v>19.75</v>
      </c>
      <c r="F12" s="570">
        <v>37.090000000000003</v>
      </c>
      <c r="G12" s="299">
        <f t="shared" si="8"/>
        <v>25.402999999999999</v>
      </c>
      <c r="H12" s="756">
        <v>40.880000000000003</v>
      </c>
      <c r="I12" s="756">
        <v>3.79</v>
      </c>
      <c r="J12" s="94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725"/>
      <c r="V12" s="725"/>
      <c r="W12" s="725"/>
      <c r="X12" s="725"/>
      <c r="Y12" s="724"/>
      <c r="Z12" s="730"/>
      <c r="AA12" s="732">
        <v>2.9079999999999999</v>
      </c>
      <c r="AB12" s="724"/>
      <c r="AC12" s="725"/>
      <c r="AD12" s="725"/>
      <c r="AE12" s="725"/>
      <c r="AF12" s="725"/>
      <c r="AG12" s="725"/>
      <c r="AH12" s="730"/>
      <c r="AI12" s="730">
        <v>3.6829999999999998</v>
      </c>
      <c r="AJ12" s="725">
        <f>0.097*0.8</f>
        <v>7.7600000000000002E-2</v>
      </c>
      <c r="AK12" s="725">
        <f>0.397*1.5</f>
        <v>0.59550000000000003</v>
      </c>
      <c r="AL12" s="725">
        <f>0.097*0.6</f>
        <v>5.8200000000000002E-2</v>
      </c>
      <c r="AM12" s="319"/>
      <c r="AN12" s="725">
        <f>0.194*0.9</f>
        <v>0.17460000000000001</v>
      </c>
      <c r="AO12" s="725">
        <v>5.9119999999999999</v>
      </c>
      <c r="AP12" s="725"/>
      <c r="AQ12" s="725"/>
      <c r="AR12" s="725"/>
      <c r="AS12" s="725">
        <f>0.194*3</f>
        <v>0.58200000000000007</v>
      </c>
      <c r="AT12" s="725">
        <v>0.38800000000000001</v>
      </c>
      <c r="AU12" s="725">
        <v>0.16500000000000001</v>
      </c>
      <c r="AV12" s="725">
        <f>1.59/4*2</f>
        <v>0.79500000000000004</v>
      </c>
      <c r="AW12" s="725"/>
      <c r="AX12" s="725">
        <v>0.161</v>
      </c>
      <c r="AY12" s="725">
        <f>1.59/4*2</f>
        <v>0.79500000000000004</v>
      </c>
      <c r="AZ12" s="725">
        <f>0.744/2.4*1.5</f>
        <v>0.46499999999999997</v>
      </c>
      <c r="BA12" s="725"/>
      <c r="BB12" s="725"/>
      <c r="BC12" s="725"/>
      <c r="BD12" s="725"/>
      <c r="BE12" s="725"/>
      <c r="BF12" s="725"/>
      <c r="BG12" s="725"/>
      <c r="BH12" s="725"/>
      <c r="BI12" s="725"/>
      <c r="BJ12" s="725">
        <f>0.097*2</f>
        <v>0.19400000000000001</v>
      </c>
      <c r="BK12" s="725">
        <f>0.235*1.5</f>
        <v>0.35249999999999998</v>
      </c>
      <c r="BL12" s="725">
        <f>0.397*3.5</f>
        <v>1.3895</v>
      </c>
      <c r="BM12" s="725">
        <v>0.67800000000000005</v>
      </c>
      <c r="BN12" s="319"/>
      <c r="BO12" s="319"/>
      <c r="BP12" s="319"/>
      <c r="BQ12" s="460"/>
      <c r="BR12" s="319"/>
      <c r="BS12" s="158">
        <f t="shared" si="0"/>
        <v>19.373899999999995</v>
      </c>
      <c r="BT12" s="94"/>
      <c r="BU12" s="725">
        <f>0.744/2.4*2</f>
        <v>0.62</v>
      </c>
      <c r="BV12" s="319"/>
      <c r="BW12" s="725">
        <f>0.116/3*1.5</f>
        <v>5.8000000000000003E-2</v>
      </c>
      <c r="BX12" s="725">
        <f>1.745/3*1.5</f>
        <v>0.87250000000000005</v>
      </c>
      <c r="BY12" s="725">
        <f>0.155/4*2</f>
        <v>7.7499999999999999E-2</v>
      </c>
      <c r="BZ12" s="725">
        <f>0.397*3</f>
        <v>1.1910000000000001</v>
      </c>
      <c r="CA12" s="725"/>
      <c r="CB12" s="725"/>
      <c r="CC12" s="725"/>
      <c r="CD12" s="725">
        <v>0.72699999999999998</v>
      </c>
      <c r="CE12" s="725"/>
      <c r="CF12" s="725">
        <v>4.2999999999999997E-2</v>
      </c>
      <c r="CG12" s="725">
        <v>1.018</v>
      </c>
      <c r="CH12" s="725">
        <v>1.6E-2</v>
      </c>
      <c r="CI12" s="725"/>
      <c r="CJ12" s="725">
        <f>0.397*6</f>
        <v>2.3820000000000001</v>
      </c>
      <c r="CK12" s="725">
        <v>0.23300000000000001</v>
      </c>
      <c r="CL12" s="725">
        <f>0.31*3</f>
        <v>0.92999999999999994</v>
      </c>
      <c r="CM12" s="725">
        <f>0.163/0.6*0.5</f>
        <v>0.13583333333333333</v>
      </c>
      <c r="CN12" s="725">
        <v>9.7000000000000003E-2</v>
      </c>
      <c r="CO12" s="725">
        <f>0.649/5*3</f>
        <v>0.38939999999999997</v>
      </c>
      <c r="CP12" s="725">
        <f>0.649/5*2</f>
        <v>0.2596</v>
      </c>
      <c r="CQ12" s="725"/>
      <c r="CR12" s="725">
        <f>0.194*0.9</f>
        <v>0.17460000000000001</v>
      </c>
      <c r="CS12" s="725">
        <f>0.397*2</f>
        <v>0.79400000000000004</v>
      </c>
      <c r="CT12" s="725">
        <f>1.745/3*1.5</f>
        <v>0.87250000000000005</v>
      </c>
      <c r="CU12" s="725">
        <f>0.116/3*1.5</f>
        <v>5.8000000000000003E-2</v>
      </c>
      <c r="CV12" s="725">
        <f>0.155/4*2</f>
        <v>7.7499999999999999E-2</v>
      </c>
      <c r="CW12" s="725"/>
      <c r="CX12" s="725">
        <f>0.397*4.2</f>
        <v>1.6674000000000002</v>
      </c>
      <c r="CY12" s="730">
        <v>0.113</v>
      </c>
      <c r="CZ12" s="725">
        <v>9.7000000000000003E-2</v>
      </c>
      <c r="DA12" s="725">
        <v>9.7000000000000003E-2</v>
      </c>
      <c r="DB12" s="725">
        <f>0.097*0.6</f>
        <v>5.8200000000000002E-2</v>
      </c>
      <c r="DC12" s="725">
        <f>0.097*0.3</f>
        <v>2.9100000000000001E-2</v>
      </c>
      <c r="DD12" s="725"/>
      <c r="DE12" s="725"/>
      <c r="DF12" s="725">
        <v>0.72699999999999998</v>
      </c>
      <c r="DG12" s="725">
        <f>0.097*3.9</f>
        <v>0.37830000000000003</v>
      </c>
      <c r="DH12" s="725">
        <f>0.31*1.2</f>
        <v>0.372</v>
      </c>
      <c r="DI12" s="725">
        <f>1.59/4*5</f>
        <v>1.9875</v>
      </c>
      <c r="DJ12" s="725">
        <f>0.165*2.5</f>
        <v>0.41250000000000003</v>
      </c>
      <c r="DK12" s="725">
        <f>0.194*1.5</f>
        <v>0.29100000000000004</v>
      </c>
      <c r="DL12" s="725">
        <f>0.194</f>
        <v>0.19400000000000001</v>
      </c>
      <c r="DM12" s="725">
        <f>0.161*1.5</f>
        <v>0.24149999999999999</v>
      </c>
      <c r="DN12" s="725">
        <f>0.388/4*3</f>
        <v>0.29100000000000004</v>
      </c>
      <c r="DO12" s="319">
        <f>0.248/0.8*0.4</f>
        <v>0.124</v>
      </c>
      <c r="DP12" s="319">
        <f>0.14/1.8*0.9</f>
        <v>7.0000000000000007E-2</v>
      </c>
      <c r="DQ12" s="319">
        <f>0.093/1.2*0.6</f>
        <v>4.65E-2</v>
      </c>
      <c r="DR12" s="725">
        <v>0.96899999999999997</v>
      </c>
      <c r="DS12" s="725"/>
      <c r="DT12" s="185">
        <f t="shared" si="1"/>
        <v>19.192433333333337</v>
      </c>
      <c r="DU12" s="57"/>
      <c r="DV12" s="725">
        <f>0.302</f>
        <v>0.30199999999999999</v>
      </c>
      <c r="DW12" s="725">
        <f>0.31*2</f>
        <v>0.62</v>
      </c>
      <c r="DX12" s="725">
        <v>0.14000000000000001</v>
      </c>
      <c r="DY12" s="725">
        <f>0.097*1.5</f>
        <v>0.14550000000000002</v>
      </c>
      <c r="DZ12" s="725">
        <f>0.078*3</f>
        <v>0.23399999999999999</v>
      </c>
      <c r="EA12" s="725"/>
      <c r="EB12" s="725">
        <f>17.446/20*10</f>
        <v>8.7230000000000008</v>
      </c>
      <c r="EC12" s="725">
        <f>17.446/20*10</f>
        <v>8.7230000000000008</v>
      </c>
      <c r="ED12" s="725">
        <v>0.16300000000000001</v>
      </c>
      <c r="EE12" s="725">
        <v>9.7000000000000003E-2</v>
      </c>
      <c r="EF12" s="725">
        <f>0.097*1.5</f>
        <v>0.14550000000000002</v>
      </c>
      <c r="EG12" s="730">
        <v>0.41899999999999998</v>
      </c>
      <c r="EH12" s="730">
        <f>6.978/12*8</f>
        <v>4.6520000000000001</v>
      </c>
      <c r="EI12" s="730">
        <f>6.978/12*4</f>
        <v>2.3260000000000001</v>
      </c>
      <c r="EJ12" s="725">
        <f>0.248/0.8*0.4</f>
        <v>0.124</v>
      </c>
      <c r="EK12" s="725">
        <f>0.093/1.2*0.6</f>
        <v>4.65E-2</v>
      </c>
      <c r="EL12" s="725">
        <f>0.14/1.8*0.9</f>
        <v>7.0000000000000007E-2</v>
      </c>
      <c r="EM12" s="725">
        <f>0.397</f>
        <v>0.39700000000000002</v>
      </c>
      <c r="EN12" s="725">
        <f>0.097*2</f>
        <v>0.19400000000000001</v>
      </c>
      <c r="EO12" s="725">
        <f>0.097</f>
        <v>9.7000000000000003E-2</v>
      </c>
      <c r="EP12" s="319"/>
      <c r="EQ12" s="725">
        <v>2.4E-2</v>
      </c>
      <c r="ER12" s="725">
        <f>0.097*2.5</f>
        <v>0.24249999999999999</v>
      </c>
      <c r="ES12" s="725">
        <f>0.029/0.3*0.6</f>
        <v>5.8000000000000003E-2</v>
      </c>
      <c r="ET12" s="725">
        <v>0.14499999999999999</v>
      </c>
      <c r="EU12" s="725">
        <f>0.397*4</f>
        <v>1.5880000000000001</v>
      </c>
      <c r="EV12" s="725"/>
      <c r="EW12" s="725">
        <v>1.7999999999999999E-2</v>
      </c>
      <c r="EX12" s="725">
        <f>0.397*2</f>
        <v>0.79400000000000004</v>
      </c>
      <c r="EY12" s="725"/>
      <c r="EZ12" s="725">
        <v>1.9870000000000001</v>
      </c>
      <c r="FA12" s="725">
        <f>0.241/1.5</f>
        <v>0.16066666666666665</v>
      </c>
      <c r="FB12" s="725"/>
      <c r="FC12" s="725">
        <f>0.397*1.5</f>
        <v>0.59550000000000003</v>
      </c>
      <c r="FD12" s="725">
        <f>0.097</f>
        <v>9.7000000000000003E-2</v>
      </c>
      <c r="FE12" s="725">
        <f>0.93</f>
        <v>0.93</v>
      </c>
      <c r="FF12" s="725">
        <f>0.397*0.3</f>
        <v>0.1191</v>
      </c>
      <c r="FG12" s="725"/>
      <c r="FH12" s="725">
        <v>8.2000000000000003E-2</v>
      </c>
      <c r="FI12" s="725">
        <v>0.58199999999999996</v>
      </c>
      <c r="FJ12" s="319"/>
      <c r="FK12" s="725">
        <v>5.8000000000000003E-2</v>
      </c>
      <c r="FL12" s="725"/>
      <c r="FM12" s="725"/>
      <c r="FN12" s="725"/>
      <c r="FO12" s="725"/>
      <c r="FP12" s="725"/>
      <c r="FQ12" s="725"/>
      <c r="FR12" s="725"/>
      <c r="FS12" s="725">
        <f>0.397*3</f>
        <v>1.1910000000000001</v>
      </c>
      <c r="FT12" s="725">
        <f>0.397*1.9</f>
        <v>0.75429999999999997</v>
      </c>
      <c r="FU12" s="725"/>
      <c r="FV12" s="725">
        <f>0.14/1.8*0.5</f>
        <v>3.888888888888889E-2</v>
      </c>
      <c r="FW12" s="319"/>
      <c r="FX12" s="319"/>
      <c r="FY12" s="319"/>
      <c r="FZ12" s="319"/>
      <c r="GA12" s="158">
        <f t="shared" si="2"/>
        <v>37.083455555555574</v>
      </c>
      <c r="GB12" s="95"/>
      <c r="GC12" s="374"/>
      <c r="GD12" s="725"/>
      <c r="GE12" s="725"/>
      <c r="GF12" s="725"/>
      <c r="GG12" s="725"/>
      <c r="GH12" s="725"/>
      <c r="GI12" s="725"/>
      <c r="GJ12" s="725"/>
      <c r="GK12" s="725"/>
      <c r="GL12" s="725"/>
      <c r="GM12" s="319"/>
      <c r="GN12" s="725"/>
      <c r="GO12" s="725"/>
      <c r="GP12" s="725"/>
      <c r="GQ12" s="387"/>
      <c r="GR12" s="731"/>
      <c r="GS12" s="730"/>
      <c r="GT12" s="730"/>
      <c r="GU12" s="742"/>
      <c r="GV12" s="435"/>
      <c r="GW12" s="438">
        <f t="shared" si="3"/>
        <v>0</v>
      </c>
      <c r="GX12" s="788">
        <f t="shared" si="4"/>
        <v>3.79</v>
      </c>
      <c r="GY12" s="605">
        <f t="shared" si="5"/>
        <v>3.79</v>
      </c>
      <c r="GZ12" s="627"/>
      <c r="HA12" s="239">
        <f t="shared" si="6"/>
        <v>19.75</v>
      </c>
      <c r="HB12" s="36" t="str">
        <f t="shared" si="7"/>
        <v>Колевит вит Д3</v>
      </c>
      <c r="HC12" s="230"/>
      <c r="HD12" s="22"/>
      <c r="HE12" s="22"/>
    </row>
    <row r="13" spans="1:213" ht="15.9" customHeight="1" x14ac:dyDescent="0.3">
      <c r="A13" s="127">
        <f>A11+1</f>
        <v>3</v>
      </c>
      <c r="B13" s="688" t="s">
        <v>30</v>
      </c>
      <c r="C13" s="565">
        <f>'2_квартал'!G11</f>
        <v>775.12</v>
      </c>
      <c r="D13" s="588">
        <f>842.67+138.82</f>
        <v>981.49</v>
      </c>
      <c r="E13" s="191">
        <f>297.64+412.48</f>
        <v>710.12</v>
      </c>
      <c r="F13" s="570">
        <v>938.97</v>
      </c>
      <c r="G13" s="299">
        <f t="shared" si="8"/>
        <v>876.86</v>
      </c>
      <c r="H13" s="93">
        <v>1448.7</v>
      </c>
      <c r="I13" s="93">
        <v>509.73</v>
      </c>
      <c r="J13" s="94"/>
      <c r="K13" s="319">
        <f>2.298/0.3*0.6</f>
        <v>4.5960000000000001</v>
      </c>
      <c r="L13" s="319"/>
      <c r="M13" s="319">
        <v>45.965000000000003</v>
      </c>
      <c r="N13" s="319">
        <f>8.971*3</f>
        <v>26.913</v>
      </c>
      <c r="O13" s="319">
        <v>60.48</v>
      </c>
      <c r="P13" s="319">
        <v>9.4749999999999996</v>
      </c>
      <c r="Q13" s="319">
        <f>181.44/15*7</f>
        <v>84.671999999999997</v>
      </c>
      <c r="R13" s="319">
        <f>181.44/15*10.4</f>
        <v>125.7984</v>
      </c>
      <c r="S13" s="319">
        <f>181.44/15*2.6</f>
        <v>31.4496</v>
      </c>
      <c r="T13" s="319">
        <v>3.145</v>
      </c>
      <c r="U13" s="319">
        <f>8.971*9</f>
        <v>80.739000000000004</v>
      </c>
      <c r="V13" s="319">
        <v>14.092000000000001</v>
      </c>
      <c r="W13" s="319">
        <f>2.016*2</f>
        <v>4.032</v>
      </c>
      <c r="X13" s="319"/>
      <c r="Y13" s="245">
        <v>0.20200000000000001</v>
      </c>
      <c r="Z13" s="177">
        <v>12.096</v>
      </c>
      <c r="AA13" s="272">
        <v>15.13</v>
      </c>
      <c r="AB13" s="24"/>
      <c r="AC13" s="319">
        <v>0.42299999999999999</v>
      </c>
      <c r="AD13" s="319">
        <v>4.234</v>
      </c>
      <c r="AE13" s="319">
        <v>5.4429999999999996</v>
      </c>
      <c r="AF13" s="319">
        <v>7.056</v>
      </c>
      <c r="AG13" s="319">
        <v>2.298</v>
      </c>
      <c r="AH13" s="177">
        <v>2.016</v>
      </c>
      <c r="AI13" s="177">
        <v>10.08</v>
      </c>
      <c r="AJ13" s="319">
        <f>2.415*0.8</f>
        <v>1.9320000000000002</v>
      </c>
      <c r="AK13" s="319">
        <f>8.971*1.5</f>
        <v>13.4565</v>
      </c>
      <c r="AL13" s="319">
        <f>2.415*0.6</f>
        <v>1.4490000000000001</v>
      </c>
      <c r="AM13" s="319">
        <f>8.971*3</f>
        <v>26.913</v>
      </c>
      <c r="AN13" s="319">
        <f>10.08*0.9</f>
        <v>9.072000000000001</v>
      </c>
      <c r="AO13" s="319">
        <v>120.96</v>
      </c>
      <c r="AP13" s="319">
        <f>2.923*5</f>
        <v>14.615</v>
      </c>
      <c r="AQ13" s="319"/>
      <c r="AR13" s="319"/>
      <c r="AS13" s="319">
        <f>10.08*3</f>
        <v>30.240000000000002</v>
      </c>
      <c r="AT13" s="319">
        <v>9.6769999999999996</v>
      </c>
      <c r="AU13" s="319">
        <v>8.0640000000000001</v>
      </c>
      <c r="AV13" s="319">
        <f>35.875/4*2</f>
        <v>17.9375</v>
      </c>
      <c r="AW13" s="319">
        <f>7.56*2</f>
        <v>15.12</v>
      </c>
      <c r="AX13" s="319">
        <v>14.776999999999999</v>
      </c>
      <c r="AY13" s="319">
        <f>35.875/4*2</f>
        <v>17.9375</v>
      </c>
      <c r="AZ13" s="319">
        <f>45.965/2.4*1.5</f>
        <v>28.728125000000006</v>
      </c>
      <c r="BA13" s="319">
        <v>4.3499999999999996</v>
      </c>
      <c r="BB13" s="319">
        <f>1.512*2</f>
        <v>3.024</v>
      </c>
      <c r="BC13" s="319">
        <f>3.427/2*2.4</f>
        <v>4.1124000000000001</v>
      </c>
      <c r="BD13" s="319">
        <f>2.415*2</f>
        <v>4.83</v>
      </c>
      <c r="BE13" s="319"/>
      <c r="BF13" s="319"/>
      <c r="BG13" s="319">
        <f>4.536/1.5*0.4</f>
        <v>1.2096</v>
      </c>
      <c r="BH13" s="319">
        <f>0.403*0.6</f>
        <v>0.24180000000000001</v>
      </c>
      <c r="BI13" s="319">
        <f>0.202*0.6</f>
        <v>0.1212</v>
      </c>
      <c r="BJ13" s="319">
        <f>9.475*2</f>
        <v>18.95</v>
      </c>
      <c r="BK13" s="319">
        <f>10.08*1.5</f>
        <v>15.120000000000001</v>
      </c>
      <c r="BL13" s="319">
        <f>(4.481+4.49)*3.5</f>
        <v>31.398499999999999</v>
      </c>
      <c r="BM13" s="319">
        <v>16.934000000000001</v>
      </c>
      <c r="BN13" s="319"/>
      <c r="BO13" s="319"/>
      <c r="BP13" s="319"/>
      <c r="BQ13" s="460"/>
      <c r="BR13" s="319"/>
      <c r="BS13" s="158">
        <f t="shared" si="0"/>
        <v>981.50512500000025</v>
      </c>
      <c r="BT13" s="94"/>
      <c r="BU13" s="319">
        <f>45.965/2.4*2</f>
        <v>38.304166666666674</v>
      </c>
      <c r="BV13" s="319">
        <v>37.901000000000003</v>
      </c>
      <c r="BW13" s="319">
        <f>0.605/3*1.5</f>
        <v>0.30249999999999999</v>
      </c>
      <c r="BX13" s="319">
        <f>9.072/3*1.5</f>
        <v>4.5359999999999996</v>
      </c>
      <c r="BY13" s="319">
        <f>1.613/4*2</f>
        <v>0.80649999999999999</v>
      </c>
      <c r="BZ13" s="319">
        <f>4.486*2*3</f>
        <v>26.915999999999997</v>
      </c>
      <c r="CA13" s="319">
        <v>7.056</v>
      </c>
      <c r="CB13" s="319">
        <v>5.08</v>
      </c>
      <c r="CC13" s="319">
        <v>10.885999999999999</v>
      </c>
      <c r="CD13" s="319">
        <f>10.569*2</f>
        <v>21.138000000000002</v>
      </c>
      <c r="CE13" s="319">
        <v>6.29</v>
      </c>
      <c r="CF13" s="319">
        <v>0.222</v>
      </c>
      <c r="CG13" s="725">
        <v>4.5359999999999996</v>
      </c>
      <c r="CH13" s="319">
        <v>0.161</v>
      </c>
      <c r="CI13" s="319">
        <v>0.48399999999999999</v>
      </c>
      <c r="CJ13" s="319">
        <f>4.486*2*6</f>
        <v>53.831999999999994</v>
      </c>
      <c r="CK13" s="319">
        <f>11.088*2</f>
        <v>22.175999999999998</v>
      </c>
      <c r="CL13" s="319">
        <f>9.576*2*3</f>
        <v>57.456000000000003</v>
      </c>
      <c r="CM13" s="319">
        <f>6.29/0.6*0.5</f>
        <v>5.2416666666666671</v>
      </c>
      <c r="CN13" s="319">
        <f>4.738*2</f>
        <v>9.4760000000000009</v>
      </c>
      <c r="CO13" s="319">
        <f>10.08*2/5*3</f>
        <v>12.096</v>
      </c>
      <c r="CP13" s="319">
        <f>10.08*2/5*2</f>
        <v>8.0640000000000001</v>
      </c>
      <c r="CQ13" s="319"/>
      <c r="CR13" s="319">
        <f>5.04*2*0.9</f>
        <v>9.072000000000001</v>
      </c>
      <c r="CS13" s="319">
        <f>4.486*2*2</f>
        <v>17.943999999999999</v>
      </c>
      <c r="CT13" s="319">
        <f>9.072/3*1.5</f>
        <v>4.5359999999999996</v>
      </c>
      <c r="CU13" s="319">
        <f>0.605/3*1.5</f>
        <v>0.30249999999999999</v>
      </c>
      <c r="CV13" s="319">
        <f>1.613/4*2</f>
        <v>0.80649999999999999</v>
      </c>
      <c r="CW13" s="319">
        <v>0.20200000000000001</v>
      </c>
      <c r="CX13" s="319">
        <f>(4.481+4.49)*4.2</f>
        <v>37.678200000000004</v>
      </c>
      <c r="CY13" s="177">
        <v>2.3220000000000001</v>
      </c>
      <c r="CZ13" s="32">
        <f>4.738*2</f>
        <v>9.4760000000000009</v>
      </c>
      <c r="DA13" s="32">
        <f>1.21+1.209</f>
        <v>2.419</v>
      </c>
      <c r="DB13" s="319">
        <f>(1.212+1.208)*0.6</f>
        <v>1.452</v>
      </c>
      <c r="DC13" s="319">
        <f>(4.74+4.736)*0.3</f>
        <v>2.8427999999999995</v>
      </c>
      <c r="DD13" s="319">
        <v>16.033000000000001</v>
      </c>
      <c r="DE13" s="725">
        <v>4.1130000000000004</v>
      </c>
      <c r="DF13" s="319">
        <f>15.624*2</f>
        <v>31.248000000000001</v>
      </c>
      <c r="DG13" s="319">
        <f>4.738*2*3.9</f>
        <v>36.956400000000002</v>
      </c>
      <c r="DH13" s="319">
        <f>9.576*2*1.2</f>
        <v>22.982400000000002</v>
      </c>
      <c r="DI13" s="319">
        <f>35.885/4*5</f>
        <v>44.856249999999996</v>
      </c>
      <c r="DJ13" s="319">
        <f>8.064*2.5</f>
        <v>20.16</v>
      </c>
      <c r="DK13" s="319">
        <f>10.08*1.5</f>
        <v>15.120000000000001</v>
      </c>
      <c r="DL13" s="319">
        <f>10.08</f>
        <v>10.08</v>
      </c>
      <c r="DM13" s="319">
        <f>14.777*1.5</f>
        <v>22.165499999999998</v>
      </c>
      <c r="DN13" s="319">
        <f>9.677/4*3</f>
        <v>7.2577499999999997</v>
      </c>
      <c r="DO13" s="319">
        <f>8.064/0.8*0.4</f>
        <v>4.032</v>
      </c>
      <c r="DP13" s="319">
        <f>5.08/1.8*0.9</f>
        <v>2.54</v>
      </c>
      <c r="DQ13" s="319">
        <f>10.886/1.2*0.6</f>
        <v>5.4430000000000005</v>
      </c>
      <c r="DR13" s="319">
        <v>28.184000000000001</v>
      </c>
      <c r="DS13" s="319">
        <v>16.934000000000001</v>
      </c>
      <c r="DT13" s="275">
        <f t="shared" si="1"/>
        <v>710.11913333333337</v>
      </c>
      <c r="DU13" s="57"/>
      <c r="DV13" s="319">
        <v>37.901000000000003</v>
      </c>
      <c r="DW13" s="319">
        <f>19.152*2</f>
        <v>38.304000000000002</v>
      </c>
      <c r="DX13" s="319">
        <v>4.3550000000000004</v>
      </c>
      <c r="DY13" s="319">
        <f>9.475*1.5</f>
        <v>14.212499999999999</v>
      </c>
      <c r="DZ13" s="319">
        <f>2.923*3</f>
        <v>8.7690000000000001</v>
      </c>
      <c r="EA13" s="319"/>
      <c r="EB13" s="319">
        <f>241.92/20*10</f>
        <v>120.96000000000001</v>
      </c>
      <c r="EC13" s="319">
        <f>241.92/20*10</f>
        <v>120.96000000000001</v>
      </c>
      <c r="ED13" s="319">
        <v>6.29</v>
      </c>
      <c r="EE13" s="319">
        <v>9.4749999999999996</v>
      </c>
      <c r="EF13" s="319">
        <f>2.419*1.5</f>
        <v>3.6284999999999998</v>
      </c>
      <c r="EG13" s="177">
        <v>16.128</v>
      </c>
      <c r="EH13" s="177">
        <f>36.312/12*8</f>
        <v>24.207999999999998</v>
      </c>
      <c r="EI13" s="177">
        <f>36.312/12*4</f>
        <v>12.103999999999999</v>
      </c>
      <c r="EJ13" s="319">
        <f>8.064/0.8*0.4</f>
        <v>4.032</v>
      </c>
      <c r="EK13" s="319">
        <f>10.886/1.2*0.6</f>
        <v>5.4430000000000005</v>
      </c>
      <c r="EL13" s="319">
        <f>5.08/1.8*0.9</f>
        <v>2.54</v>
      </c>
      <c r="EM13" s="319">
        <f>8.971</f>
        <v>8.9710000000000001</v>
      </c>
      <c r="EN13" s="319">
        <f>9.475*2</f>
        <v>18.95</v>
      </c>
      <c r="EO13" s="319">
        <f>2.419</f>
        <v>2.419</v>
      </c>
      <c r="EP13" s="319">
        <f>15.12</f>
        <v>15.12</v>
      </c>
      <c r="EQ13" s="319">
        <v>2.298</v>
      </c>
      <c r="ER13" s="319">
        <f>9.475*2.5</f>
        <v>23.6875</v>
      </c>
      <c r="ES13" s="319">
        <f>2.843/0.3*0.6</f>
        <v>5.6859999999999999</v>
      </c>
      <c r="ET13" s="319">
        <v>3.629</v>
      </c>
      <c r="EU13" s="319">
        <f>8.971*4</f>
        <v>35.884</v>
      </c>
      <c r="EV13" s="319">
        <v>6.048</v>
      </c>
      <c r="EW13" s="319">
        <v>0.42299999999999999</v>
      </c>
      <c r="EX13" s="319">
        <f>8.971*2</f>
        <v>17.942</v>
      </c>
      <c r="EY13" s="319">
        <f>53.827/6*3</f>
        <v>26.913499999999999</v>
      </c>
      <c r="EZ13" s="319">
        <v>44.856000000000002</v>
      </c>
      <c r="FA13" s="319">
        <f>22.166/1.5</f>
        <v>14.777333333333333</v>
      </c>
      <c r="FB13" s="319">
        <v>5.3440000000000003</v>
      </c>
      <c r="FC13" s="319">
        <f>8.971*1.5</f>
        <v>13.4565</v>
      </c>
      <c r="FD13" s="319">
        <f>9.475</f>
        <v>9.4749999999999996</v>
      </c>
      <c r="FE13" s="319">
        <f>57.456</f>
        <v>57.456000000000003</v>
      </c>
      <c r="FF13" s="319">
        <f>8.971*0.3</f>
        <v>2.6913</v>
      </c>
      <c r="FG13" s="319"/>
      <c r="FH13" s="725">
        <v>2.9129999999999998</v>
      </c>
      <c r="FI13" s="319">
        <v>30.24</v>
      </c>
      <c r="FJ13" s="319">
        <f>2.923*5</f>
        <v>14.615</v>
      </c>
      <c r="FK13" s="319">
        <v>1.452</v>
      </c>
      <c r="FL13" s="319">
        <f>17.942/2*2.1</f>
        <v>18.839100000000002</v>
      </c>
      <c r="FM13" s="319">
        <v>20.16</v>
      </c>
      <c r="FN13" s="319">
        <v>0.20200000000000001</v>
      </c>
      <c r="FO13" s="319">
        <v>1.21</v>
      </c>
      <c r="FP13" s="319">
        <v>0.24199999999999999</v>
      </c>
      <c r="FQ13" s="319">
        <v>0.121</v>
      </c>
      <c r="FR13" s="319">
        <v>0.80600000000000005</v>
      </c>
      <c r="FS13" s="319">
        <f>8.971*3</f>
        <v>26.913</v>
      </c>
      <c r="FT13" s="319">
        <f>8.971*1.9</f>
        <v>17.044899999999998</v>
      </c>
      <c r="FU13" s="319">
        <f>19.152*3</f>
        <v>57.456000000000003</v>
      </c>
      <c r="FV13" s="319">
        <f>5.08/1.8*0.5</f>
        <v>1.4111111111111112</v>
      </c>
      <c r="FW13" s="319"/>
      <c r="FX13" s="319"/>
      <c r="FY13" s="319"/>
      <c r="FZ13" s="319"/>
      <c r="GA13" s="158">
        <f t="shared" si="2"/>
        <v>938.96224444444454</v>
      </c>
      <c r="GB13" s="95"/>
      <c r="GC13" s="374"/>
      <c r="GD13" s="319"/>
      <c r="GE13" s="319"/>
      <c r="GF13" s="319"/>
      <c r="GG13" s="319"/>
      <c r="GH13" s="319"/>
      <c r="GI13" s="319"/>
      <c r="GJ13" s="319"/>
      <c r="GK13" s="319"/>
      <c r="GL13" s="319"/>
      <c r="GM13" s="319"/>
      <c r="GN13" s="319"/>
      <c r="GO13" s="319"/>
      <c r="GP13" s="319"/>
      <c r="GQ13" s="28"/>
      <c r="GR13" s="270"/>
      <c r="GS13" s="177"/>
      <c r="GT13" s="177"/>
      <c r="GU13" s="741"/>
      <c r="GV13" s="435"/>
      <c r="GW13" s="327">
        <f t="shared" si="3"/>
        <v>0</v>
      </c>
      <c r="GX13" s="625">
        <f t="shared" si="4"/>
        <v>509.73</v>
      </c>
      <c r="GY13" s="605">
        <f t="shared" si="5"/>
        <v>509.73</v>
      </c>
      <c r="GZ13" s="627">
        <f>'2_квартал'!G11</f>
        <v>775.12</v>
      </c>
      <c r="HA13" s="239">
        <f t="shared" si="6"/>
        <v>710.12</v>
      </c>
      <c r="HB13" s="36" t="str">
        <f t="shared" si="7"/>
        <v>вит Е, токомикс 500</v>
      </c>
      <c r="HC13" s="230"/>
      <c r="HD13" s="22"/>
      <c r="HE13" s="22"/>
    </row>
    <row r="14" spans="1:213" ht="15.9" customHeight="1" x14ac:dyDescent="0.3">
      <c r="A14" s="127">
        <f t="shared" ref="A14:A22" si="9">A13+1</f>
        <v>4</v>
      </c>
      <c r="B14" s="689" t="s">
        <v>25</v>
      </c>
      <c r="C14" s="565">
        <f>'2_квартал'!G12</f>
        <v>0</v>
      </c>
      <c r="D14" s="263">
        <v>0</v>
      </c>
      <c r="E14" s="241">
        <v>0</v>
      </c>
      <c r="F14" s="571">
        <v>0</v>
      </c>
      <c r="G14" s="299">
        <f t="shared" si="8"/>
        <v>0</v>
      </c>
      <c r="H14" s="93">
        <v>0</v>
      </c>
      <c r="I14" s="93">
        <v>0</v>
      </c>
      <c r="J14" s="112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245"/>
      <c r="Z14" s="177"/>
      <c r="AA14" s="272"/>
      <c r="AB14" s="24"/>
      <c r="AC14" s="319"/>
      <c r="AD14" s="319"/>
      <c r="AE14" s="319"/>
      <c r="AF14" s="319"/>
      <c r="AG14" s="319"/>
      <c r="AH14" s="177"/>
      <c r="AI14" s="177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/>
      <c r="BE14" s="319"/>
      <c r="BF14" s="319"/>
      <c r="BG14" s="319"/>
      <c r="BH14" s="319"/>
      <c r="BI14" s="319"/>
      <c r="BJ14" s="319"/>
      <c r="BK14" s="319"/>
      <c r="BL14" s="319"/>
      <c r="BM14" s="319"/>
      <c r="BN14" s="319"/>
      <c r="BO14" s="319"/>
      <c r="BP14" s="319"/>
      <c r="BQ14" s="460"/>
      <c r="BR14" s="319"/>
      <c r="BS14" s="158">
        <f t="shared" si="0"/>
        <v>0</v>
      </c>
      <c r="BT14" s="112"/>
      <c r="BU14" s="319"/>
      <c r="BV14" s="319"/>
      <c r="BW14" s="319"/>
      <c r="BX14" s="319"/>
      <c r="BY14" s="319"/>
      <c r="BZ14" s="319"/>
      <c r="CA14" s="319"/>
      <c r="CB14" s="319"/>
      <c r="CC14" s="319"/>
      <c r="CD14" s="319"/>
      <c r="CE14" s="319"/>
      <c r="CF14" s="319"/>
      <c r="CG14" s="319"/>
      <c r="CH14" s="319"/>
      <c r="CI14" s="319"/>
      <c r="CJ14" s="319"/>
      <c r="CK14" s="319"/>
      <c r="CL14" s="319"/>
      <c r="CM14" s="319"/>
      <c r="CN14" s="319"/>
      <c r="CO14" s="319"/>
      <c r="CP14" s="319"/>
      <c r="CQ14" s="319"/>
      <c r="CR14" s="319"/>
      <c r="CS14" s="319"/>
      <c r="CT14" s="319"/>
      <c r="CU14" s="319"/>
      <c r="CV14" s="319"/>
      <c r="CW14" s="319"/>
      <c r="CX14" s="319"/>
      <c r="CY14" s="177"/>
      <c r="CZ14" s="32"/>
      <c r="DA14" s="32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319"/>
      <c r="DT14" s="419">
        <f t="shared" si="1"/>
        <v>0</v>
      </c>
      <c r="DU14" s="57"/>
      <c r="DV14" s="319"/>
      <c r="DW14" s="319"/>
      <c r="DX14" s="319"/>
      <c r="DY14" s="319"/>
      <c r="DZ14" s="319"/>
      <c r="EA14" s="319"/>
      <c r="EB14" s="319"/>
      <c r="EC14" s="319"/>
      <c r="ED14" s="319"/>
      <c r="EE14" s="319"/>
      <c r="EF14" s="319"/>
      <c r="EG14" s="177"/>
      <c r="EH14" s="177"/>
      <c r="EI14" s="177"/>
      <c r="EJ14" s="319"/>
      <c r="EK14" s="319"/>
      <c r="EL14" s="319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319"/>
      <c r="FQ14" s="319"/>
      <c r="FR14" s="319"/>
      <c r="FS14" s="319"/>
      <c r="FT14" s="319"/>
      <c r="FU14" s="319"/>
      <c r="FV14" s="319"/>
      <c r="FW14" s="319"/>
      <c r="FX14" s="319"/>
      <c r="FY14" s="319"/>
      <c r="FZ14" s="319"/>
      <c r="GA14" s="158">
        <f t="shared" si="2"/>
        <v>0</v>
      </c>
      <c r="GB14" s="113"/>
      <c r="GC14" s="374"/>
      <c r="GD14" s="319"/>
      <c r="GE14" s="319"/>
      <c r="GF14" s="319"/>
      <c r="GG14" s="319"/>
      <c r="GH14" s="319"/>
      <c r="GI14" s="319"/>
      <c r="GJ14" s="319"/>
      <c r="GK14" s="319"/>
      <c r="GL14" s="319"/>
      <c r="GM14" s="319"/>
      <c r="GN14" s="319"/>
      <c r="GO14" s="319"/>
      <c r="GP14" s="319"/>
      <c r="GQ14" s="28"/>
      <c r="GR14" s="270"/>
      <c r="GS14" s="177"/>
      <c r="GT14" s="177"/>
      <c r="GU14" s="741"/>
      <c r="GV14" s="435"/>
      <c r="GW14" s="584">
        <f t="shared" si="3"/>
        <v>0</v>
      </c>
      <c r="GX14" s="445">
        <f t="shared" si="4"/>
        <v>0</v>
      </c>
      <c r="GY14" s="605">
        <f t="shared" si="5"/>
        <v>0</v>
      </c>
      <c r="GZ14" s="627">
        <f>'2_квартал'!G12</f>
        <v>0</v>
      </c>
      <c r="HA14" s="239">
        <f t="shared" si="6"/>
        <v>0</v>
      </c>
      <c r="HB14" s="36" t="str">
        <f t="shared" si="7"/>
        <v>вит В1 (тиамин)</v>
      </c>
      <c r="HC14" s="38"/>
      <c r="HD14" s="14"/>
      <c r="HE14" s="14"/>
    </row>
    <row r="15" spans="1:213" ht="15.9" customHeight="1" x14ac:dyDescent="0.3">
      <c r="A15" s="127">
        <f t="shared" si="9"/>
        <v>5</v>
      </c>
      <c r="B15" s="688" t="s">
        <v>3</v>
      </c>
      <c r="C15" s="565">
        <f>'2_квартал'!G13</f>
        <v>0</v>
      </c>
      <c r="D15" s="263">
        <v>3.22</v>
      </c>
      <c r="E15" s="241">
        <v>2.11</v>
      </c>
      <c r="F15" s="571">
        <v>0.72</v>
      </c>
      <c r="G15" s="299">
        <f t="shared" si="8"/>
        <v>2.0169999999999999</v>
      </c>
      <c r="H15" s="93">
        <v>7.73</v>
      </c>
      <c r="I15" s="93">
        <v>7.01</v>
      </c>
      <c r="J15" s="94"/>
      <c r="K15" s="319"/>
      <c r="L15" s="319"/>
      <c r="M15" s="319">
        <v>0.121</v>
      </c>
      <c r="N15" s="319"/>
      <c r="O15" s="319"/>
      <c r="P15" s="319"/>
      <c r="Q15" s="319">
        <f>0.756/15*7</f>
        <v>0.3528</v>
      </c>
      <c r="R15" s="319">
        <f>0.756/15*10.4</f>
        <v>0.52416000000000007</v>
      </c>
      <c r="S15" s="319">
        <f>0.756/15*2.6</f>
        <v>0.13104000000000002</v>
      </c>
      <c r="T15" s="319"/>
      <c r="U15" s="319"/>
      <c r="V15" s="319"/>
      <c r="W15" s="319">
        <f>0.05*2</f>
        <v>0.1</v>
      </c>
      <c r="X15" s="319"/>
      <c r="Y15" s="245"/>
      <c r="Z15" s="177"/>
      <c r="AA15" s="272"/>
      <c r="AB15" s="24"/>
      <c r="AC15" s="319">
        <v>3.6999999999999998E-2</v>
      </c>
      <c r="AD15" s="319">
        <v>7.5999999999999998E-2</v>
      </c>
      <c r="AE15" s="319">
        <v>0.03</v>
      </c>
      <c r="AF15" s="319">
        <v>3.5000000000000003E-2</v>
      </c>
      <c r="AG15" s="319"/>
      <c r="AH15" s="177"/>
      <c r="AI15" s="177"/>
      <c r="AJ15" s="319">
        <f>0.05*0.8</f>
        <v>4.0000000000000008E-2</v>
      </c>
      <c r="AK15" s="319">
        <f>0.05*1.5</f>
        <v>7.5000000000000011E-2</v>
      </c>
      <c r="AL15" s="319"/>
      <c r="AM15" s="319"/>
      <c r="AN15" s="319"/>
      <c r="AO15" s="319"/>
      <c r="AP15" s="319">
        <f>0.05*5</f>
        <v>0.25</v>
      </c>
      <c r="AQ15" s="319"/>
      <c r="AR15" s="319"/>
      <c r="AS15" s="319"/>
      <c r="AT15" s="319"/>
      <c r="AU15" s="319"/>
      <c r="AV15" s="319"/>
      <c r="AW15" s="319">
        <v>0.252</v>
      </c>
      <c r="AX15" s="319"/>
      <c r="AY15" s="319"/>
      <c r="AZ15" s="319">
        <f>0.121/2.4*1.5</f>
        <v>7.5624999999999998E-2</v>
      </c>
      <c r="BA15" s="319">
        <v>0.06</v>
      </c>
      <c r="BB15" s="319">
        <v>0.05</v>
      </c>
      <c r="BC15" s="319">
        <f>0.249/2*2.4</f>
        <v>0.29880000000000001</v>
      </c>
      <c r="BD15" s="319">
        <f>0.05*2</f>
        <v>0.1</v>
      </c>
      <c r="BE15" s="319"/>
      <c r="BF15" s="319"/>
      <c r="BG15" s="319">
        <f>0.076/1.5*0.4</f>
        <v>2.0266666666666669E-2</v>
      </c>
      <c r="BH15" s="319">
        <f>0.05*0.6</f>
        <v>0.03</v>
      </c>
      <c r="BI15" s="319">
        <f>0.05*0.6</f>
        <v>0.03</v>
      </c>
      <c r="BJ15" s="319">
        <f>0.05*2</f>
        <v>0.1</v>
      </c>
      <c r="BK15" s="319">
        <f>0.05*1.5</f>
        <v>7.5000000000000011E-2</v>
      </c>
      <c r="BL15" s="319"/>
      <c r="BM15" s="319">
        <v>0.35299999999999998</v>
      </c>
      <c r="BN15" s="319"/>
      <c r="BO15" s="319"/>
      <c r="BP15" s="319"/>
      <c r="BQ15" s="460"/>
      <c r="BR15" s="319"/>
      <c r="BS15" s="158">
        <f t="shared" si="0"/>
        <v>3.2166916666666667</v>
      </c>
      <c r="BT15" s="94"/>
      <c r="BU15" s="319">
        <f>0.121/2.4*2</f>
        <v>0.10083333333333333</v>
      </c>
      <c r="BV15" s="319">
        <v>0.20200000000000001</v>
      </c>
      <c r="BW15" s="319"/>
      <c r="BX15" s="319"/>
      <c r="BY15" s="319"/>
      <c r="BZ15" s="319"/>
      <c r="CA15" s="319">
        <v>3.5000000000000003E-2</v>
      </c>
      <c r="CB15" s="319">
        <v>9.0999999999999998E-2</v>
      </c>
      <c r="CC15" s="319">
        <v>0.06</v>
      </c>
      <c r="CD15" s="319"/>
      <c r="CE15" s="319"/>
      <c r="CF15" s="319"/>
      <c r="CG15" s="319"/>
      <c r="CH15" s="319"/>
      <c r="CI15" s="319"/>
      <c r="CJ15" s="319"/>
      <c r="CK15" s="319"/>
      <c r="CL15" s="319">
        <f>0.05*3</f>
        <v>0.15000000000000002</v>
      </c>
      <c r="CM15" s="319"/>
      <c r="CN15" s="319"/>
      <c r="CO15" s="319">
        <f>0.252/5*3</f>
        <v>0.1512</v>
      </c>
      <c r="CP15" s="319">
        <f>0.252/5*2</f>
        <v>0.1008</v>
      </c>
      <c r="CQ15" s="319"/>
      <c r="CR15" s="319"/>
      <c r="CS15" s="319">
        <f>0.05*2</f>
        <v>0.1</v>
      </c>
      <c r="CT15" s="319"/>
      <c r="CU15" s="319"/>
      <c r="CV15" s="319"/>
      <c r="CW15" s="319"/>
      <c r="CX15" s="319"/>
      <c r="CY15" s="177">
        <v>0.33400000000000002</v>
      </c>
      <c r="CZ15" s="32">
        <v>0.05</v>
      </c>
      <c r="DA15" s="32">
        <v>0.05</v>
      </c>
      <c r="DB15" s="319"/>
      <c r="DC15" s="319"/>
      <c r="DD15" s="319">
        <v>3.6999999999999998E-2</v>
      </c>
      <c r="DE15" s="319">
        <v>0.29899999999999999</v>
      </c>
      <c r="DF15" s="319">
        <v>0.154</v>
      </c>
      <c r="DG15" s="319">
        <f>0.05*3.9</f>
        <v>0.19500000000000001</v>
      </c>
      <c r="DH15" s="319"/>
      <c r="DI15" s="319"/>
      <c r="DJ15" s="319"/>
      <c r="DK15" s="319"/>
      <c r="DL15" s="319"/>
      <c r="DM15" s="319"/>
      <c r="DN15" s="319"/>
      <c r="DO15" s="319"/>
      <c r="DP15" s="319"/>
      <c r="DQ15" s="319"/>
      <c r="DR15" s="319"/>
      <c r="DS15" s="319"/>
      <c r="DT15" s="419">
        <f t="shared" si="1"/>
        <v>2.109833333333333</v>
      </c>
      <c r="DU15" s="57"/>
      <c r="DV15" s="319"/>
      <c r="DW15" s="319"/>
      <c r="DX15" s="319"/>
      <c r="DY15" s="319"/>
      <c r="DZ15" s="319"/>
      <c r="EA15" s="319"/>
      <c r="EB15" s="319"/>
      <c r="EC15" s="319"/>
      <c r="ED15" s="319"/>
      <c r="EE15" s="319">
        <v>0.05</v>
      </c>
      <c r="EF15" s="319">
        <f>0.05*1.5</f>
        <v>7.5000000000000011E-2</v>
      </c>
      <c r="EG15" s="177"/>
      <c r="EH15" s="177"/>
      <c r="EI15" s="177"/>
      <c r="EJ15" s="319"/>
      <c r="EK15" s="319"/>
      <c r="EL15" s="319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>
        <v>3.6999999999999998E-2</v>
      </c>
      <c r="EX15" s="319"/>
      <c r="EY15" s="319"/>
      <c r="EZ15" s="319"/>
      <c r="FA15" s="319"/>
      <c r="FB15" s="319">
        <v>1.2E-2</v>
      </c>
      <c r="FC15" s="319"/>
      <c r="FD15" s="319"/>
      <c r="FE15" s="319"/>
      <c r="FF15" s="319"/>
      <c r="FG15" s="319"/>
      <c r="FH15" s="319">
        <v>0.21199999999999999</v>
      </c>
      <c r="FI15" s="319"/>
      <c r="FJ15" s="319"/>
      <c r="FK15" s="319"/>
      <c r="FL15" s="319"/>
      <c r="FM15" s="319">
        <v>0.252</v>
      </c>
      <c r="FN15" s="319"/>
      <c r="FO15" s="319">
        <v>0.02</v>
      </c>
      <c r="FP15" s="319">
        <v>0.03</v>
      </c>
      <c r="FQ15" s="319">
        <v>0.03</v>
      </c>
      <c r="FR15" s="319"/>
      <c r="FS15" s="319"/>
      <c r="FT15" s="319"/>
      <c r="FU15" s="319"/>
      <c r="FV15" s="319"/>
      <c r="FW15" s="319"/>
      <c r="FX15" s="319"/>
      <c r="FY15" s="319"/>
      <c r="FZ15" s="319"/>
      <c r="GA15" s="158">
        <f t="shared" si="2"/>
        <v>0.71800000000000008</v>
      </c>
      <c r="GB15" s="95"/>
      <c r="GC15" s="374"/>
      <c r="GD15" s="319"/>
      <c r="GE15" s="319"/>
      <c r="GF15" s="319"/>
      <c r="GG15" s="319"/>
      <c r="GH15" s="319"/>
      <c r="GI15" s="319"/>
      <c r="GJ15" s="319"/>
      <c r="GK15" s="319"/>
      <c r="GL15" s="319"/>
      <c r="GM15" s="319"/>
      <c r="GN15" s="319"/>
      <c r="GO15" s="319"/>
      <c r="GP15" s="319"/>
      <c r="GQ15" s="28"/>
      <c r="GR15" s="270"/>
      <c r="GS15" s="177"/>
      <c r="GT15" s="177"/>
      <c r="GU15" s="741"/>
      <c r="GV15" s="435"/>
      <c r="GW15" s="327">
        <f t="shared" si="3"/>
        <v>0</v>
      </c>
      <c r="GX15" s="557">
        <f t="shared" si="4"/>
        <v>7.01</v>
      </c>
      <c r="GY15" s="605">
        <f t="shared" si="5"/>
        <v>7.01</v>
      </c>
      <c r="GZ15" s="627">
        <f>'2_квартал'!G13</f>
        <v>0</v>
      </c>
      <c r="HA15" s="239">
        <f t="shared" si="6"/>
        <v>2.11</v>
      </c>
      <c r="HB15" s="36" t="str">
        <f t="shared" si="7"/>
        <v>вит В2</v>
      </c>
      <c r="HC15" s="82"/>
      <c r="HD15" s="560">
        <v>46133</v>
      </c>
      <c r="HE15" s="22"/>
    </row>
    <row r="16" spans="1:213" ht="15.9" customHeight="1" x14ac:dyDescent="0.3">
      <c r="A16" s="127">
        <f t="shared" si="9"/>
        <v>6</v>
      </c>
      <c r="B16" s="688" t="s">
        <v>17</v>
      </c>
      <c r="C16" s="565">
        <f>'2_квартал'!G14</f>
        <v>3.625</v>
      </c>
      <c r="D16" s="263">
        <v>0.31</v>
      </c>
      <c r="E16" s="241">
        <v>1.1100000000000001</v>
      </c>
      <c r="F16" s="571">
        <v>0.28000000000000003</v>
      </c>
      <c r="G16" s="299">
        <f t="shared" si="8"/>
        <v>0.56699999999999995</v>
      </c>
      <c r="H16" s="93">
        <v>15.15</v>
      </c>
      <c r="I16" s="93">
        <v>14.87</v>
      </c>
      <c r="J16" s="94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245"/>
      <c r="Z16" s="177"/>
      <c r="AA16" s="272"/>
      <c r="AB16" s="24"/>
      <c r="AC16" s="319">
        <v>6.2E-2</v>
      </c>
      <c r="AD16" s="319"/>
      <c r="AE16" s="319"/>
      <c r="AF16" s="319"/>
      <c r="AG16" s="319"/>
      <c r="AH16" s="177"/>
      <c r="AI16" s="177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  <c r="AZ16" s="319"/>
      <c r="BA16" s="319"/>
      <c r="BB16" s="319"/>
      <c r="BC16" s="319">
        <f>0.206/2*2.4</f>
        <v>0.24719999999999998</v>
      </c>
      <c r="BD16" s="319"/>
      <c r="BE16" s="319"/>
      <c r="BF16" s="319"/>
      <c r="BG16" s="319"/>
      <c r="BH16" s="319"/>
      <c r="BI16" s="319"/>
      <c r="BJ16" s="319"/>
      <c r="BK16" s="319"/>
      <c r="BL16" s="319"/>
      <c r="BM16" s="319"/>
      <c r="BN16" s="319"/>
      <c r="BO16" s="319"/>
      <c r="BP16" s="319"/>
      <c r="BQ16" s="460"/>
      <c r="BR16" s="319"/>
      <c r="BS16" s="158">
        <f t="shared" si="0"/>
        <v>0.30919999999999997</v>
      </c>
      <c r="BT16" s="94"/>
      <c r="BU16" s="319"/>
      <c r="BV16" s="319"/>
      <c r="BW16" s="319"/>
      <c r="BX16" s="319"/>
      <c r="BY16" s="319"/>
      <c r="BZ16" s="319"/>
      <c r="CA16" s="319"/>
      <c r="CB16" s="319"/>
      <c r="CC16" s="319"/>
      <c r="CD16" s="319"/>
      <c r="CE16" s="319"/>
      <c r="CF16" s="319"/>
      <c r="CG16" s="319"/>
      <c r="CH16" s="319"/>
      <c r="CI16" s="319"/>
      <c r="CJ16" s="319"/>
      <c r="CK16" s="319"/>
      <c r="CL16" s="319"/>
      <c r="CM16" s="319"/>
      <c r="CN16" s="319"/>
      <c r="CO16" s="319"/>
      <c r="CP16" s="319"/>
      <c r="CQ16" s="319"/>
      <c r="CR16" s="319"/>
      <c r="CS16" s="319"/>
      <c r="CT16" s="319"/>
      <c r="CU16" s="319"/>
      <c r="CV16" s="319"/>
      <c r="CW16" s="319"/>
      <c r="CX16" s="319"/>
      <c r="CY16" s="177">
        <v>0.71099999999999997</v>
      </c>
      <c r="CZ16" s="32"/>
      <c r="DA16" s="32"/>
      <c r="DB16" s="319"/>
      <c r="DC16" s="319"/>
      <c r="DD16" s="319">
        <v>0.154</v>
      </c>
      <c r="DE16" s="319">
        <v>0.247</v>
      </c>
      <c r="DF16" s="319"/>
      <c r="DG16" s="319"/>
      <c r="DH16" s="319"/>
      <c r="DI16" s="319"/>
      <c r="DJ16" s="319"/>
      <c r="DK16" s="319"/>
      <c r="DL16" s="319"/>
      <c r="DM16" s="319"/>
      <c r="DN16" s="319"/>
      <c r="DO16" s="319"/>
      <c r="DP16" s="319"/>
      <c r="DQ16" s="319"/>
      <c r="DR16" s="319"/>
      <c r="DS16" s="319"/>
      <c r="DT16" s="419">
        <f t="shared" si="1"/>
        <v>1.1120000000000001</v>
      </c>
      <c r="DU16" s="57"/>
      <c r="DV16" s="319"/>
      <c r="DW16" s="319"/>
      <c r="DX16" s="319"/>
      <c r="DY16" s="319"/>
      <c r="DZ16" s="319"/>
      <c r="EA16" s="319"/>
      <c r="EB16" s="319"/>
      <c r="EC16" s="319"/>
      <c r="ED16" s="319"/>
      <c r="EE16" s="319"/>
      <c r="EF16" s="319"/>
      <c r="EG16" s="177"/>
      <c r="EH16" s="177"/>
      <c r="EI16" s="177"/>
      <c r="EJ16" s="319"/>
      <c r="EK16" s="319"/>
      <c r="EL16" s="319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>
        <v>6.2E-2</v>
      </c>
      <c r="EX16" s="319"/>
      <c r="EY16" s="319"/>
      <c r="EZ16" s="319"/>
      <c r="FA16" s="319"/>
      <c r="FB16" s="319">
        <v>5.0999999999999997E-2</v>
      </c>
      <c r="FC16" s="319"/>
      <c r="FD16" s="319"/>
      <c r="FE16" s="319"/>
      <c r="FF16" s="319"/>
      <c r="FG16" s="319"/>
      <c r="FH16" s="319">
        <v>0.17499999999999999</v>
      </c>
      <c r="FI16" s="319"/>
      <c r="FJ16" s="319"/>
      <c r="FK16" s="319"/>
      <c r="FL16" s="319"/>
      <c r="FM16" s="319"/>
      <c r="FN16" s="319"/>
      <c r="FO16" s="319"/>
      <c r="FP16" s="319"/>
      <c r="FQ16" s="319"/>
      <c r="FR16" s="319"/>
      <c r="FS16" s="319"/>
      <c r="FT16" s="319"/>
      <c r="FU16" s="319"/>
      <c r="FV16" s="319"/>
      <c r="FW16" s="319"/>
      <c r="FX16" s="319"/>
      <c r="FY16" s="319"/>
      <c r="FZ16" s="319"/>
      <c r="GA16" s="158">
        <f t="shared" si="2"/>
        <v>0.28799999999999998</v>
      </c>
      <c r="GB16" s="95"/>
      <c r="GC16" s="374"/>
      <c r="GD16" s="319"/>
      <c r="GE16" s="319"/>
      <c r="GF16" s="319"/>
      <c r="GG16" s="319"/>
      <c r="GH16" s="319"/>
      <c r="GI16" s="319"/>
      <c r="GJ16" s="319"/>
      <c r="GK16" s="319"/>
      <c r="GL16" s="319"/>
      <c r="GM16" s="319"/>
      <c r="GN16" s="319"/>
      <c r="GO16" s="319"/>
      <c r="GP16" s="319"/>
      <c r="GQ16" s="28"/>
      <c r="GR16" s="270"/>
      <c r="GS16" s="177"/>
      <c r="GT16" s="177"/>
      <c r="GU16" s="741"/>
      <c r="GV16" s="435"/>
      <c r="GW16" s="327">
        <f t="shared" si="3"/>
        <v>0</v>
      </c>
      <c r="GX16" s="445">
        <f t="shared" si="4"/>
        <v>14.87</v>
      </c>
      <c r="GY16" s="605">
        <f t="shared" si="5"/>
        <v>14.87</v>
      </c>
      <c r="GZ16" s="627">
        <f>'2_квартал'!G14</f>
        <v>3.625</v>
      </c>
      <c r="HA16" s="239">
        <f t="shared" si="6"/>
        <v>1.1100000000000001</v>
      </c>
      <c r="HB16" s="36" t="str">
        <f t="shared" si="7"/>
        <v>вит В3, Нутравит В5 (кальпан)</v>
      </c>
      <c r="HC16" s="230"/>
      <c r="HD16" s="559"/>
      <c r="HE16" s="22"/>
    </row>
    <row r="17" spans="1:213" ht="15.9" customHeight="1" x14ac:dyDescent="0.3">
      <c r="A17" s="127">
        <f t="shared" si="9"/>
        <v>7</v>
      </c>
      <c r="B17" s="688" t="s">
        <v>6</v>
      </c>
      <c r="C17" s="565">
        <f>'2_квартал'!G15</f>
        <v>0.86</v>
      </c>
      <c r="D17" s="263">
        <v>0.27</v>
      </c>
      <c r="E17" s="241">
        <v>1.57</v>
      </c>
      <c r="F17" s="571">
        <v>0.35</v>
      </c>
      <c r="G17" s="299">
        <f t="shared" si="8"/>
        <v>0.73</v>
      </c>
      <c r="H17" s="93">
        <v>21.646999999999998</v>
      </c>
      <c r="I17" s="93">
        <v>21.297000000000001</v>
      </c>
      <c r="J17" s="94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245"/>
      <c r="Z17" s="177"/>
      <c r="AA17" s="272"/>
      <c r="AB17" s="24"/>
      <c r="AC17" s="319">
        <v>3.1E-2</v>
      </c>
      <c r="AD17" s="319"/>
      <c r="AE17" s="319"/>
      <c r="AF17" s="319"/>
      <c r="AG17" s="319"/>
      <c r="AH17" s="177"/>
      <c r="AI17" s="177"/>
      <c r="AJ17" s="319"/>
      <c r="AK17" s="319"/>
      <c r="AL17" s="319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/>
      <c r="AX17" s="319"/>
      <c r="AY17" s="319"/>
      <c r="AZ17" s="319"/>
      <c r="BA17" s="319"/>
      <c r="BB17" s="319"/>
      <c r="BC17" s="319">
        <f>0.204/2*2.4</f>
        <v>0.24479999999999996</v>
      </c>
      <c r="BD17" s="319"/>
      <c r="BE17" s="319"/>
      <c r="BF17" s="319"/>
      <c r="BG17" s="319"/>
      <c r="BH17" s="319"/>
      <c r="BI17" s="319"/>
      <c r="BJ17" s="319"/>
      <c r="BK17" s="319"/>
      <c r="BL17" s="319"/>
      <c r="BM17" s="319"/>
      <c r="BN17" s="319"/>
      <c r="BO17" s="319"/>
      <c r="BP17" s="319"/>
      <c r="BQ17" s="460"/>
      <c r="BR17" s="319"/>
      <c r="BS17" s="158">
        <f t="shared" si="0"/>
        <v>0.27579999999999993</v>
      </c>
      <c r="BT17" s="94"/>
      <c r="BU17" s="319"/>
      <c r="BV17" s="319"/>
      <c r="BW17" s="319"/>
      <c r="BX17" s="319"/>
      <c r="BY17" s="319"/>
      <c r="BZ17" s="319"/>
      <c r="CA17" s="319"/>
      <c r="CB17" s="319"/>
      <c r="CC17" s="319"/>
      <c r="CD17" s="319"/>
      <c r="CE17" s="319"/>
      <c r="CF17" s="319"/>
      <c r="CG17" s="319"/>
      <c r="CH17" s="319"/>
      <c r="CI17" s="319"/>
      <c r="CJ17" s="319"/>
      <c r="CK17" s="319"/>
      <c r="CL17" s="319"/>
      <c r="CM17" s="319"/>
      <c r="CN17" s="319"/>
      <c r="CO17" s="319"/>
      <c r="CP17" s="319"/>
      <c r="CQ17" s="319"/>
      <c r="CR17" s="319"/>
      <c r="CS17" s="319"/>
      <c r="CT17" s="319"/>
      <c r="CU17" s="319"/>
      <c r="CV17" s="319"/>
      <c r="CW17" s="319"/>
      <c r="CX17" s="319"/>
      <c r="CY17" s="177">
        <v>0.86599999999999999</v>
      </c>
      <c r="CZ17" s="32"/>
      <c r="DA17" s="32"/>
      <c r="DB17" s="319"/>
      <c r="DC17" s="319"/>
      <c r="DD17" s="319">
        <v>0.45800000000000002</v>
      </c>
      <c r="DE17" s="319">
        <v>0.24399999999999999</v>
      </c>
      <c r="DF17" s="319"/>
      <c r="DG17" s="319"/>
      <c r="DH17" s="319"/>
      <c r="DI17" s="319"/>
      <c r="DJ17" s="319"/>
      <c r="DK17" s="319"/>
      <c r="DL17" s="319"/>
      <c r="DM17" s="319"/>
      <c r="DN17" s="319"/>
      <c r="DO17" s="319"/>
      <c r="DP17" s="319"/>
      <c r="DQ17" s="319"/>
      <c r="DR17" s="319"/>
      <c r="DS17" s="319"/>
      <c r="DT17" s="419">
        <f t="shared" si="1"/>
        <v>1.5680000000000001</v>
      </c>
      <c r="DU17" s="57"/>
      <c r="DV17" s="319"/>
      <c r="DW17" s="319"/>
      <c r="DX17" s="319"/>
      <c r="DY17" s="319"/>
      <c r="DZ17" s="319"/>
      <c r="EA17" s="319"/>
      <c r="EB17" s="319"/>
      <c r="EC17" s="319"/>
      <c r="ED17" s="319"/>
      <c r="EE17" s="319"/>
      <c r="EF17" s="319"/>
      <c r="EG17" s="177"/>
      <c r="EH17" s="177"/>
      <c r="EI17" s="177"/>
      <c r="EJ17" s="319"/>
      <c r="EK17" s="319"/>
      <c r="EL17" s="319"/>
      <c r="EM17" s="319"/>
      <c r="EN17" s="319"/>
      <c r="EO17" s="319"/>
      <c r="EP17" s="319"/>
      <c r="EQ17" s="319"/>
      <c r="ER17" s="319"/>
      <c r="ES17" s="319"/>
      <c r="ET17" s="319"/>
      <c r="EU17" s="319"/>
      <c r="EV17" s="319"/>
      <c r="EW17" s="319">
        <v>3.1E-2</v>
      </c>
      <c r="EX17" s="319"/>
      <c r="EY17" s="319"/>
      <c r="EZ17" s="319"/>
      <c r="FA17" s="319"/>
      <c r="FB17" s="319">
        <v>0.153</v>
      </c>
      <c r="FC17" s="319"/>
      <c r="FD17" s="319"/>
      <c r="FE17" s="319"/>
      <c r="FF17" s="319"/>
      <c r="FG17" s="319"/>
      <c r="FH17" s="319">
        <v>0.17299999999999999</v>
      </c>
      <c r="FI17" s="319"/>
      <c r="FJ17" s="319"/>
      <c r="FK17" s="319"/>
      <c r="FL17" s="319"/>
      <c r="FM17" s="319"/>
      <c r="FN17" s="319"/>
      <c r="FO17" s="319"/>
      <c r="FP17" s="319"/>
      <c r="FQ17" s="319"/>
      <c r="FR17" s="319"/>
      <c r="FS17" s="319"/>
      <c r="FT17" s="319"/>
      <c r="FU17" s="319"/>
      <c r="FV17" s="319"/>
      <c r="FW17" s="319"/>
      <c r="FX17" s="319"/>
      <c r="FY17" s="319"/>
      <c r="FZ17" s="319"/>
      <c r="GA17" s="158">
        <f t="shared" si="2"/>
        <v>0.35699999999999998</v>
      </c>
      <c r="GB17" s="95"/>
      <c r="GC17" s="374"/>
      <c r="GD17" s="319"/>
      <c r="GE17" s="319"/>
      <c r="GF17" s="319"/>
      <c r="GG17" s="319"/>
      <c r="GH17" s="319"/>
      <c r="GI17" s="319"/>
      <c r="GJ17" s="319"/>
      <c r="GK17" s="319"/>
      <c r="GL17" s="319"/>
      <c r="GM17" s="319"/>
      <c r="GN17" s="319"/>
      <c r="GO17" s="319"/>
      <c r="GP17" s="319"/>
      <c r="GQ17" s="28"/>
      <c r="GR17" s="270"/>
      <c r="GS17" s="177"/>
      <c r="GT17" s="177"/>
      <c r="GU17" s="741"/>
      <c r="GV17" s="435"/>
      <c r="GW17" s="327">
        <f t="shared" si="3"/>
        <v>0</v>
      </c>
      <c r="GX17" s="587">
        <f t="shared" si="4"/>
        <v>21.297000000000001</v>
      </c>
      <c r="GY17" s="605">
        <f t="shared" si="5"/>
        <v>21.297000000000001</v>
      </c>
      <c r="GZ17" s="627">
        <f>'2_квартал'!G15</f>
        <v>0.86</v>
      </c>
      <c r="HA17" s="239">
        <f t="shared" si="6"/>
        <v>1.57</v>
      </c>
      <c r="HB17" s="36" t="str">
        <f t="shared" si="7"/>
        <v>вит В5 (ниацин)</v>
      </c>
      <c r="HC17" s="230"/>
      <c r="HD17" s="559"/>
      <c r="HE17" s="22"/>
    </row>
    <row r="18" spans="1:213" ht="15.9" customHeight="1" x14ac:dyDescent="0.3">
      <c r="A18" s="127">
        <f t="shared" si="9"/>
        <v>8</v>
      </c>
      <c r="B18" s="688" t="s">
        <v>4</v>
      </c>
      <c r="C18" s="565">
        <f>'2_квартал'!G16</f>
        <v>1.2949999999999999</v>
      </c>
      <c r="D18" s="263">
        <v>2.29</v>
      </c>
      <c r="E18" s="241">
        <f>1.49+3.94</f>
        <v>5.43</v>
      </c>
      <c r="F18" s="571">
        <v>0.52</v>
      </c>
      <c r="G18" s="299">
        <f t="shared" si="8"/>
        <v>2.7469999999999999</v>
      </c>
      <c r="H18" s="93">
        <v>15.72</v>
      </c>
      <c r="I18" s="93">
        <v>15.2</v>
      </c>
      <c r="J18" s="94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245"/>
      <c r="Z18" s="177"/>
      <c r="AA18" s="272"/>
      <c r="AB18" s="24"/>
      <c r="AC18" s="319"/>
      <c r="AD18" s="319"/>
      <c r="AE18" s="319"/>
      <c r="AF18" s="319"/>
      <c r="AG18" s="319"/>
      <c r="AH18" s="177"/>
      <c r="AI18" s="177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  <c r="AZ18" s="319"/>
      <c r="BA18" s="319"/>
      <c r="BB18" s="319"/>
      <c r="BC18" s="319"/>
      <c r="BD18" s="319"/>
      <c r="BE18" s="319"/>
      <c r="BF18" s="319"/>
      <c r="BG18" s="319"/>
      <c r="BH18" s="319"/>
      <c r="BI18" s="319"/>
      <c r="BJ18" s="319"/>
      <c r="BK18" s="319">
        <f>1.527*1.5</f>
        <v>2.2904999999999998</v>
      </c>
      <c r="BL18" s="319"/>
      <c r="BM18" s="319"/>
      <c r="BN18" s="319"/>
      <c r="BO18" s="319"/>
      <c r="BP18" s="319"/>
      <c r="BQ18" s="460"/>
      <c r="BR18" s="319"/>
      <c r="BS18" s="158">
        <f t="shared" si="0"/>
        <v>2.2904999999999998</v>
      </c>
      <c r="BT18" s="94"/>
      <c r="BU18" s="319"/>
      <c r="BV18" s="319"/>
      <c r="BW18" s="319"/>
      <c r="BX18" s="319"/>
      <c r="BY18" s="319"/>
      <c r="BZ18" s="319"/>
      <c r="CA18" s="319"/>
      <c r="CB18" s="319"/>
      <c r="CC18" s="319"/>
      <c r="CD18" s="319"/>
      <c r="CE18" s="319"/>
      <c r="CF18" s="319"/>
      <c r="CG18" s="319"/>
      <c r="CH18" s="319"/>
      <c r="CI18" s="319"/>
      <c r="CJ18" s="319"/>
      <c r="CK18" s="319"/>
      <c r="CL18" s="319"/>
      <c r="CM18" s="319"/>
      <c r="CN18" s="319"/>
      <c r="CO18" s="319">
        <f>0.509/5*3</f>
        <v>0.3054</v>
      </c>
      <c r="CP18" s="319">
        <f>0.509/5*2</f>
        <v>0.2036</v>
      </c>
      <c r="CQ18" s="319"/>
      <c r="CR18" s="319"/>
      <c r="CS18" s="319"/>
      <c r="CT18" s="319"/>
      <c r="CU18" s="319"/>
      <c r="CV18" s="319"/>
      <c r="CW18" s="319"/>
      <c r="CX18" s="319"/>
      <c r="CY18" s="177">
        <v>0.156</v>
      </c>
      <c r="CZ18" s="32"/>
      <c r="DA18" s="32"/>
      <c r="DB18" s="319"/>
      <c r="DC18" s="319"/>
      <c r="DD18" s="319">
        <v>3.1E-2</v>
      </c>
      <c r="DE18" s="319"/>
      <c r="DF18" s="319">
        <f>1.49+3.245</f>
        <v>4.7350000000000003</v>
      </c>
      <c r="DG18" s="319"/>
      <c r="DH18" s="319"/>
      <c r="DI18" s="319"/>
      <c r="DJ18" s="319"/>
      <c r="DK18" s="319"/>
      <c r="DL18" s="319"/>
      <c r="DM18" s="319"/>
      <c r="DN18" s="319"/>
      <c r="DO18" s="319"/>
      <c r="DP18" s="319"/>
      <c r="DQ18" s="319"/>
      <c r="DR18" s="319"/>
      <c r="DS18" s="319"/>
      <c r="DT18" s="419">
        <f t="shared" si="1"/>
        <v>5.431</v>
      </c>
      <c r="DU18" s="57"/>
      <c r="DV18" s="319"/>
      <c r="DW18" s="319"/>
      <c r="DX18" s="319"/>
      <c r="DY18" s="319"/>
      <c r="DZ18" s="319"/>
      <c r="EA18" s="319"/>
      <c r="EB18" s="319"/>
      <c r="EC18" s="319"/>
      <c r="ED18" s="319"/>
      <c r="EE18" s="319"/>
      <c r="EF18" s="319"/>
      <c r="EG18" s="177"/>
      <c r="EH18" s="177"/>
      <c r="EI18" s="177"/>
      <c r="EJ18" s="319"/>
      <c r="EK18" s="319"/>
      <c r="EL18" s="319"/>
      <c r="EM18" s="319"/>
      <c r="EN18" s="319"/>
      <c r="EO18" s="319"/>
      <c r="EP18" s="319"/>
      <c r="EQ18" s="319"/>
      <c r="ER18" s="319"/>
      <c r="ES18" s="319"/>
      <c r="ET18" s="319"/>
      <c r="EU18" s="319"/>
      <c r="EV18" s="319"/>
      <c r="EW18" s="319"/>
      <c r="EX18" s="319"/>
      <c r="EY18" s="319"/>
      <c r="EZ18" s="319"/>
      <c r="FA18" s="319"/>
      <c r="FB18" s="319">
        <v>0.01</v>
      </c>
      <c r="FC18" s="319"/>
      <c r="FD18" s="319"/>
      <c r="FE18" s="319"/>
      <c r="FF18" s="319"/>
      <c r="FG18" s="319"/>
      <c r="FH18" s="319"/>
      <c r="FI18" s="319"/>
      <c r="FJ18" s="319"/>
      <c r="FK18" s="319"/>
      <c r="FL18" s="319"/>
      <c r="FM18" s="319">
        <v>0.50900000000000001</v>
      </c>
      <c r="FN18" s="319"/>
      <c r="FO18" s="319"/>
      <c r="FP18" s="319"/>
      <c r="FQ18" s="319"/>
      <c r="FR18" s="319"/>
      <c r="FS18" s="319"/>
      <c r="FT18" s="319"/>
      <c r="FU18" s="319"/>
      <c r="FV18" s="319"/>
      <c r="FW18" s="319"/>
      <c r="FX18" s="319"/>
      <c r="FY18" s="319"/>
      <c r="FZ18" s="319"/>
      <c r="GA18" s="158">
        <f t="shared" si="2"/>
        <v>0.51900000000000002</v>
      </c>
      <c r="GB18" s="95"/>
      <c r="GC18" s="374"/>
      <c r="GD18" s="319"/>
      <c r="GE18" s="319"/>
      <c r="GF18" s="319"/>
      <c r="GG18" s="319"/>
      <c r="GH18" s="319"/>
      <c r="GI18" s="319"/>
      <c r="GJ18" s="319"/>
      <c r="GK18" s="319"/>
      <c r="GL18" s="319"/>
      <c r="GM18" s="319"/>
      <c r="GN18" s="319"/>
      <c r="GO18" s="319"/>
      <c r="GP18" s="319"/>
      <c r="GQ18" s="28"/>
      <c r="GR18" s="270"/>
      <c r="GS18" s="177"/>
      <c r="GT18" s="177"/>
      <c r="GU18" s="741"/>
      <c r="GV18" s="435"/>
      <c r="GW18" s="327">
        <f t="shared" si="3"/>
        <v>0</v>
      </c>
      <c r="GX18" s="587">
        <f t="shared" si="4"/>
        <v>15.2</v>
      </c>
      <c r="GY18" s="605">
        <f t="shared" si="5"/>
        <v>15.2</v>
      </c>
      <c r="GZ18" s="627">
        <f>'2_квартал'!G16</f>
        <v>1.2949999999999999</v>
      </c>
      <c r="HA18" s="239">
        <f t="shared" si="6"/>
        <v>5.43</v>
      </c>
      <c r="HB18" s="36" t="str">
        <f t="shared" si="7"/>
        <v>вит В6</v>
      </c>
      <c r="HC18" s="230"/>
      <c r="HD18" s="559"/>
      <c r="HE18" s="22"/>
    </row>
    <row r="19" spans="1:213" ht="15.9" customHeight="1" x14ac:dyDescent="0.3">
      <c r="A19" s="127">
        <f t="shared" si="9"/>
        <v>9</v>
      </c>
      <c r="B19" s="688" t="s">
        <v>5</v>
      </c>
      <c r="C19" s="565">
        <f>'2_квартал'!G17</f>
        <v>141.6</v>
      </c>
      <c r="D19" s="263">
        <v>0</v>
      </c>
      <c r="E19" s="241">
        <v>0</v>
      </c>
      <c r="F19" s="571">
        <v>0</v>
      </c>
      <c r="G19" s="299">
        <f t="shared" si="8"/>
        <v>0</v>
      </c>
      <c r="H19" s="93">
        <v>0</v>
      </c>
      <c r="I19" s="93">
        <v>0</v>
      </c>
      <c r="J19" s="94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245"/>
      <c r="Z19" s="177"/>
      <c r="AA19" s="272"/>
      <c r="AB19" s="24"/>
      <c r="AC19" s="319"/>
      <c r="AD19" s="319"/>
      <c r="AE19" s="319"/>
      <c r="AF19" s="319"/>
      <c r="AG19" s="319"/>
      <c r="AH19" s="177"/>
      <c r="AI19" s="177"/>
      <c r="AJ19" s="319"/>
      <c r="AK19" s="319"/>
      <c r="AL19" s="319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  <c r="AZ19" s="319"/>
      <c r="BA19" s="319"/>
      <c r="BB19" s="319"/>
      <c r="BC19" s="319"/>
      <c r="BD19" s="319"/>
      <c r="BE19" s="319"/>
      <c r="BF19" s="319"/>
      <c r="BG19" s="319"/>
      <c r="BH19" s="319"/>
      <c r="BI19" s="319"/>
      <c r="BJ19" s="319"/>
      <c r="BK19" s="319"/>
      <c r="BL19" s="319"/>
      <c r="BM19" s="319"/>
      <c r="BN19" s="319"/>
      <c r="BO19" s="319"/>
      <c r="BP19" s="319"/>
      <c r="BQ19" s="460"/>
      <c r="BR19" s="319"/>
      <c r="BS19" s="158">
        <f t="shared" si="0"/>
        <v>0</v>
      </c>
      <c r="BT19" s="94"/>
      <c r="BU19" s="319"/>
      <c r="BV19" s="319"/>
      <c r="BW19" s="319"/>
      <c r="BX19" s="319"/>
      <c r="BY19" s="319"/>
      <c r="BZ19" s="319"/>
      <c r="CA19" s="319"/>
      <c r="CB19" s="319"/>
      <c r="CC19" s="319"/>
      <c r="CD19" s="319"/>
      <c r="CE19" s="319"/>
      <c r="CF19" s="319"/>
      <c r="CG19" s="319"/>
      <c r="CH19" s="319"/>
      <c r="CI19" s="319"/>
      <c r="CJ19" s="319"/>
      <c r="CK19" s="319"/>
      <c r="CL19" s="319"/>
      <c r="CM19" s="319"/>
      <c r="CN19" s="319"/>
      <c r="CO19" s="319"/>
      <c r="CP19" s="319"/>
      <c r="CQ19" s="319"/>
      <c r="CR19" s="319"/>
      <c r="CS19" s="319"/>
      <c r="CT19" s="319"/>
      <c r="CU19" s="319"/>
      <c r="CV19" s="319"/>
      <c r="CW19" s="319"/>
      <c r="CX19" s="319"/>
      <c r="CY19" s="177"/>
      <c r="CZ19" s="32"/>
      <c r="DA19" s="32"/>
      <c r="DB19" s="319"/>
      <c r="DC19" s="319"/>
      <c r="DD19" s="319"/>
      <c r="DE19" s="319"/>
      <c r="DF19" s="319"/>
      <c r="DG19" s="319"/>
      <c r="DH19" s="319"/>
      <c r="DI19" s="319"/>
      <c r="DJ19" s="319"/>
      <c r="DK19" s="319"/>
      <c r="DL19" s="319"/>
      <c r="DM19" s="319"/>
      <c r="DN19" s="319"/>
      <c r="DO19" s="319"/>
      <c r="DP19" s="319"/>
      <c r="DQ19" s="319"/>
      <c r="DR19" s="319"/>
      <c r="DS19" s="319"/>
      <c r="DT19" s="419">
        <f t="shared" si="1"/>
        <v>0</v>
      </c>
      <c r="DU19" s="57"/>
      <c r="DV19" s="319"/>
      <c r="DW19" s="319"/>
      <c r="DX19" s="319"/>
      <c r="DY19" s="319"/>
      <c r="DZ19" s="319"/>
      <c r="EA19" s="319"/>
      <c r="EB19" s="319"/>
      <c r="EC19" s="319"/>
      <c r="ED19" s="319"/>
      <c r="EE19" s="319"/>
      <c r="EF19" s="319"/>
      <c r="EG19" s="177"/>
      <c r="EH19" s="177"/>
      <c r="EI19" s="177"/>
      <c r="EJ19" s="319"/>
      <c r="EK19" s="319"/>
      <c r="EL19" s="319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19"/>
      <c r="FD19" s="319"/>
      <c r="FE19" s="319"/>
      <c r="FF19" s="319"/>
      <c r="FG19" s="319"/>
      <c r="FH19" s="319"/>
      <c r="FI19" s="319"/>
      <c r="FJ19" s="319"/>
      <c r="FK19" s="319"/>
      <c r="FL19" s="319"/>
      <c r="FM19" s="319"/>
      <c r="FN19" s="319"/>
      <c r="FO19" s="319"/>
      <c r="FP19" s="319"/>
      <c r="FQ19" s="319"/>
      <c r="FR19" s="319"/>
      <c r="FS19" s="319"/>
      <c r="FT19" s="319"/>
      <c r="FU19" s="319"/>
      <c r="FV19" s="319"/>
      <c r="FW19" s="319"/>
      <c r="FX19" s="319"/>
      <c r="FY19" s="319"/>
      <c r="FZ19" s="319"/>
      <c r="GA19" s="158">
        <f t="shared" si="2"/>
        <v>0</v>
      </c>
      <c r="GB19" s="95"/>
      <c r="GC19" s="374"/>
      <c r="GD19" s="319"/>
      <c r="GE19" s="319"/>
      <c r="GF19" s="319"/>
      <c r="GG19" s="319"/>
      <c r="GH19" s="319"/>
      <c r="GI19" s="319"/>
      <c r="GJ19" s="319"/>
      <c r="GK19" s="319"/>
      <c r="GL19" s="319"/>
      <c r="GM19" s="319"/>
      <c r="GN19" s="319"/>
      <c r="GO19" s="319"/>
      <c r="GP19" s="319"/>
      <c r="GQ19" s="28"/>
      <c r="GR19" s="270"/>
      <c r="GS19" s="177"/>
      <c r="GT19" s="177"/>
      <c r="GU19" s="741"/>
      <c r="GV19" s="435"/>
      <c r="GW19" s="327">
        <f t="shared" si="3"/>
        <v>0</v>
      </c>
      <c r="GX19" s="445">
        <f t="shared" si="4"/>
        <v>0</v>
      </c>
      <c r="GY19" s="605">
        <f t="shared" si="5"/>
        <v>0</v>
      </c>
      <c r="GZ19" s="627">
        <f>'2_квартал'!G17</f>
        <v>141.6</v>
      </c>
      <c r="HA19" s="239">
        <f t="shared" si="6"/>
        <v>0</v>
      </c>
      <c r="HB19" s="36" t="str">
        <f t="shared" si="7"/>
        <v>вит В12</v>
      </c>
      <c r="HC19" s="664"/>
      <c r="HD19" s="22"/>
      <c r="HE19" s="22"/>
    </row>
    <row r="20" spans="1:213" ht="15.9" customHeight="1" x14ac:dyDescent="0.3">
      <c r="A20" s="127">
        <f t="shared" si="9"/>
        <v>10</v>
      </c>
      <c r="B20" s="694" t="s">
        <v>70</v>
      </c>
      <c r="C20" s="565" t="e">
        <f>'2_квартал'!#REF!</f>
        <v>#REF!</v>
      </c>
      <c r="D20" s="263">
        <v>0</v>
      </c>
      <c r="E20" s="241">
        <v>0</v>
      </c>
      <c r="F20" s="571">
        <v>0</v>
      </c>
      <c r="G20" s="299">
        <f t="shared" si="8"/>
        <v>0</v>
      </c>
      <c r="H20" s="93">
        <v>0</v>
      </c>
      <c r="I20" s="93">
        <v>0</v>
      </c>
      <c r="J20" s="94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245"/>
      <c r="Z20" s="177"/>
      <c r="AA20" s="272"/>
      <c r="AB20" s="24"/>
      <c r="AC20" s="319"/>
      <c r="AD20" s="319"/>
      <c r="AE20" s="319"/>
      <c r="AF20" s="319"/>
      <c r="AG20" s="319"/>
      <c r="AH20" s="177"/>
      <c r="AI20" s="177"/>
      <c r="AJ20" s="319"/>
      <c r="AK20" s="319"/>
      <c r="AL20" s="319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460"/>
      <c r="BR20" s="319"/>
      <c r="BS20" s="158">
        <f t="shared" si="0"/>
        <v>0</v>
      </c>
      <c r="BT20" s="94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177"/>
      <c r="CZ20" s="32"/>
      <c r="DA20" s="32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419">
        <f t="shared" si="1"/>
        <v>0</v>
      </c>
      <c r="DU20" s="57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177"/>
      <c r="EH20" s="177"/>
      <c r="EI20" s="177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158">
        <f t="shared" si="2"/>
        <v>0</v>
      </c>
      <c r="GB20" s="95"/>
      <c r="GC20" s="374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28"/>
      <c r="GR20" s="270"/>
      <c r="GS20" s="177"/>
      <c r="GT20" s="177"/>
      <c r="GU20" s="741"/>
      <c r="GV20" s="435"/>
      <c r="GW20" s="327">
        <f t="shared" si="3"/>
        <v>0</v>
      </c>
      <c r="GX20" s="445">
        <f t="shared" si="4"/>
        <v>0</v>
      </c>
      <c r="GY20" s="605">
        <f t="shared" si="5"/>
        <v>0</v>
      </c>
      <c r="GZ20" s="627" t="e">
        <f>'2_квартал'!#REF!</f>
        <v>#REF!</v>
      </c>
      <c r="HA20" s="239">
        <f t="shared" si="6"/>
        <v>0</v>
      </c>
      <c r="HB20" s="36" t="str">
        <f t="shared" si="7"/>
        <v>вит Вс (В9, фолиевая к-та)</v>
      </c>
      <c r="HC20" s="664"/>
      <c r="HD20" s="22"/>
      <c r="HE20" s="22"/>
    </row>
    <row r="21" spans="1:213" ht="15.9" customHeight="1" x14ac:dyDescent="0.3">
      <c r="A21" s="127">
        <f>A20+1</f>
        <v>11</v>
      </c>
      <c r="B21" s="694" t="s">
        <v>29</v>
      </c>
      <c r="C21" s="565" t="e">
        <f>'2_квартал'!#REF!</f>
        <v>#REF!</v>
      </c>
      <c r="D21" s="263">
        <v>0</v>
      </c>
      <c r="E21" s="241">
        <v>0</v>
      </c>
      <c r="F21" s="571">
        <v>0</v>
      </c>
      <c r="G21" s="299">
        <f t="shared" si="8"/>
        <v>0</v>
      </c>
      <c r="H21" s="93">
        <v>0</v>
      </c>
      <c r="I21" s="93">
        <v>0</v>
      </c>
      <c r="J21" s="94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245"/>
      <c r="Z21" s="177"/>
      <c r="AA21" s="272"/>
      <c r="AB21" s="24"/>
      <c r="AC21" s="319"/>
      <c r="AD21" s="319"/>
      <c r="AE21" s="319"/>
      <c r="AF21" s="319"/>
      <c r="AG21" s="319"/>
      <c r="AH21" s="177"/>
      <c r="AI21" s="177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460"/>
      <c r="BR21" s="319"/>
      <c r="BS21" s="158">
        <f t="shared" si="0"/>
        <v>0</v>
      </c>
      <c r="BT21" s="94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177"/>
      <c r="CZ21" s="32"/>
      <c r="DA21" s="32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419">
        <f t="shared" si="1"/>
        <v>0</v>
      </c>
      <c r="DU21" s="57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177"/>
      <c r="EH21" s="177"/>
      <c r="EI21" s="177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158">
        <f t="shared" si="2"/>
        <v>0</v>
      </c>
      <c r="GB21" s="95"/>
      <c r="GC21" s="374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28"/>
      <c r="GR21" s="270"/>
      <c r="GS21" s="177"/>
      <c r="GT21" s="177"/>
      <c r="GU21" s="741"/>
      <c r="GV21" s="435"/>
      <c r="GW21" s="327">
        <f t="shared" si="3"/>
        <v>0</v>
      </c>
      <c r="GX21" s="445">
        <f t="shared" si="4"/>
        <v>0</v>
      </c>
      <c r="GY21" s="605">
        <f t="shared" si="5"/>
        <v>0</v>
      </c>
      <c r="GZ21" s="627" t="e">
        <f>'2_квартал'!#REF!</f>
        <v>#REF!</v>
      </c>
      <c r="HA21" s="239">
        <f t="shared" si="6"/>
        <v>0</v>
      </c>
      <c r="HB21" s="36" t="str">
        <f t="shared" si="7"/>
        <v>Аскорбиновая к-та (вит С)</v>
      </c>
      <c r="HC21" s="664"/>
      <c r="HD21" s="22"/>
      <c r="HE21" s="22"/>
    </row>
    <row r="22" spans="1:213" ht="15.9" customHeight="1" x14ac:dyDescent="0.3">
      <c r="A22" s="127">
        <f t="shared" si="9"/>
        <v>12</v>
      </c>
      <c r="B22" s="688" t="s">
        <v>116</v>
      </c>
      <c r="C22" s="565" t="e">
        <f>'2_квартал'!#REF!</f>
        <v>#REF!</v>
      </c>
      <c r="D22" s="263">
        <f>61.3+22.89+190.73</f>
        <v>274.91999999999996</v>
      </c>
      <c r="E22" s="241">
        <f>2.11+116.59</f>
        <v>118.7</v>
      </c>
      <c r="F22" s="571">
        <v>174.45</v>
      </c>
      <c r="G22" s="299">
        <f t="shared" si="8"/>
        <v>189.357</v>
      </c>
      <c r="H22" s="93">
        <f>90.68+150</f>
        <v>240.68</v>
      </c>
      <c r="I22" s="93">
        <v>66.23</v>
      </c>
      <c r="J22" s="94"/>
      <c r="K22" s="319">
        <f>1.21/0.3*0.6</f>
        <v>2.42</v>
      </c>
      <c r="L22" s="319"/>
      <c r="M22" s="319"/>
      <c r="N22" s="319"/>
      <c r="O22" s="319">
        <v>50.4</v>
      </c>
      <c r="P22" s="319">
        <v>2.016</v>
      </c>
      <c r="Q22" s="319"/>
      <c r="R22" s="319"/>
      <c r="S22" s="319"/>
      <c r="T22" s="319"/>
      <c r="U22" s="319"/>
      <c r="V22" s="319">
        <v>10.08</v>
      </c>
      <c r="W22" s="319"/>
      <c r="X22" s="319"/>
      <c r="Y22" s="245"/>
      <c r="Z22" s="177">
        <v>4.0220000000000002</v>
      </c>
      <c r="AA22" s="272">
        <v>50.4</v>
      </c>
      <c r="AB22" s="24"/>
      <c r="AC22" s="319"/>
      <c r="AD22" s="319">
        <v>3.024</v>
      </c>
      <c r="AE22" s="319">
        <v>1.21</v>
      </c>
      <c r="AF22" s="319"/>
      <c r="AG22" s="319">
        <v>1.21</v>
      </c>
      <c r="AH22" s="177">
        <v>0.75600000000000001</v>
      </c>
      <c r="AI22" s="177"/>
      <c r="AJ22" s="319">
        <f>2.016*0.8</f>
        <v>1.6128</v>
      </c>
      <c r="AK22" s="319"/>
      <c r="AL22" s="319">
        <f>2.016*0.6</f>
        <v>1.2096</v>
      </c>
      <c r="AM22" s="319"/>
      <c r="AN22" s="319"/>
      <c r="AO22" s="319">
        <v>100.8</v>
      </c>
      <c r="AP22" s="319"/>
      <c r="AQ22" s="319"/>
      <c r="AR22" s="319"/>
      <c r="AS22" s="319"/>
      <c r="AT22" s="319">
        <v>8.0640000000000001</v>
      </c>
      <c r="AU22" s="319"/>
      <c r="AV22" s="319"/>
      <c r="AW22" s="319"/>
      <c r="AX22" s="319">
        <v>3.3620000000000001</v>
      </c>
      <c r="AY22" s="319"/>
      <c r="AZ22" s="319"/>
      <c r="BA22" s="319">
        <v>3.81</v>
      </c>
      <c r="BB22" s="319"/>
      <c r="BC22" s="319"/>
      <c r="BD22" s="319">
        <f>2.016*2</f>
        <v>4.032</v>
      </c>
      <c r="BE22" s="319"/>
      <c r="BF22" s="319"/>
      <c r="BG22" s="319"/>
      <c r="BH22" s="319">
        <f>0.67*0.6</f>
        <v>0.40200000000000002</v>
      </c>
      <c r="BI22" s="319">
        <f>0.67*0.6</f>
        <v>0.40200000000000002</v>
      </c>
      <c r="BJ22" s="319">
        <f>2.016*2</f>
        <v>4.032</v>
      </c>
      <c r="BK22" s="319">
        <f>5.04*1.5</f>
        <v>7.5600000000000005</v>
      </c>
      <c r="BL22" s="319"/>
      <c r="BM22" s="319">
        <v>14.112</v>
      </c>
      <c r="BN22" s="319"/>
      <c r="BO22" s="319"/>
      <c r="BP22" s="319"/>
      <c r="BQ22" s="460"/>
      <c r="BR22" s="319"/>
      <c r="BS22" s="158">
        <f t="shared" si="0"/>
        <v>274.93639999999999</v>
      </c>
      <c r="BT22" s="94"/>
      <c r="BU22" s="319"/>
      <c r="BV22" s="319">
        <f>2.11+5.954</f>
        <v>8.0640000000000001</v>
      </c>
      <c r="BW22" s="319">
        <f>2.011/3*1.5</f>
        <v>1.0055000000000001</v>
      </c>
      <c r="BX22" s="319"/>
      <c r="BY22" s="319">
        <f>2.681/4*2</f>
        <v>1.3405</v>
      </c>
      <c r="BZ22" s="319"/>
      <c r="CA22" s="319"/>
      <c r="CB22" s="319">
        <v>3.629</v>
      </c>
      <c r="CC22" s="319">
        <v>2.419</v>
      </c>
      <c r="CD22" s="319">
        <v>15.12</v>
      </c>
      <c r="CE22" s="319"/>
      <c r="CF22" s="319">
        <v>0.73699999999999999</v>
      </c>
      <c r="CG22" s="319"/>
      <c r="CH22" s="319">
        <v>0.26200000000000001</v>
      </c>
      <c r="CI22" s="319"/>
      <c r="CJ22" s="319"/>
      <c r="CK22" s="319">
        <v>4.032</v>
      </c>
      <c r="CL22" s="319"/>
      <c r="CM22" s="319"/>
      <c r="CN22" s="319">
        <v>2.016</v>
      </c>
      <c r="CO22" s="319"/>
      <c r="CP22" s="319"/>
      <c r="CQ22" s="319"/>
      <c r="CR22" s="319"/>
      <c r="CS22" s="319"/>
      <c r="CT22" s="319"/>
      <c r="CU22" s="319">
        <f>2.011/3*1.5</f>
        <v>1.0055000000000001</v>
      </c>
      <c r="CV22" s="319">
        <f>2.681/4*2</f>
        <v>1.3405</v>
      </c>
      <c r="CW22" s="319"/>
      <c r="CX22" s="319"/>
      <c r="CY22" s="177"/>
      <c r="CZ22" s="32">
        <v>2.016</v>
      </c>
      <c r="DA22" s="32">
        <v>2.016</v>
      </c>
      <c r="DB22" s="319">
        <f>2.016*0.6</f>
        <v>1.2096</v>
      </c>
      <c r="DC22" s="319">
        <f>2.016*0.3</f>
        <v>0.6048</v>
      </c>
      <c r="DD22" s="319"/>
      <c r="DE22" s="319"/>
      <c r="DF22" s="319">
        <v>15.624000000000001</v>
      </c>
      <c r="DG22" s="319">
        <f>2.016*3.9</f>
        <v>7.8624000000000001</v>
      </c>
      <c r="DH22" s="319"/>
      <c r="DI22" s="319"/>
      <c r="DJ22" s="319"/>
      <c r="DK22" s="319"/>
      <c r="DL22" s="319"/>
      <c r="DM22" s="319">
        <f>3.362*1.5</f>
        <v>5.0430000000000001</v>
      </c>
      <c r="DN22" s="319">
        <f>8.064/4*3</f>
        <v>6.048</v>
      </c>
      <c r="DO22" s="319"/>
      <c r="DP22" s="319">
        <f>3.629/1.8*0.9</f>
        <v>1.8145</v>
      </c>
      <c r="DQ22" s="319">
        <f>2.419/1.2*0.6</f>
        <v>1.2095</v>
      </c>
      <c r="DR22" s="319">
        <v>20.16</v>
      </c>
      <c r="DS22" s="319">
        <v>14.112</v>
      </c>
      <c r="DT22" s="464">
        <f t="shared" si="1"/>
        <v>118.69079999999998</v>
      </c>
      <c r="DU22" s="57"/>
      <c r="DV22" s="319">
        <v>8.0640000000000001</v>
      </c>
      <c r="DW22" s="319"/>
      <c r="DX22" s="319">
        <v>3.81</v>
      </c>
      <c r="DY22" s="319">
        <f>2.016*1.5</f>
        <v>3.024</v>
      </c>
      <c r="DZ22" s="319"/>
      <c r="EA22" s="319"/>
      <c r="EB22" s="319"/>
      <c r="EC22" s="319"/>
      <c r="ED22" s="319"/>
      <c r="EE22" s="319">
        <v>2.016</v>
      </c>
      <c r="EF22" s="319">
        <f>2.016*1.5</f>
        <v>3.024</v>
      </c>
      <c r="EG22" s="177">
        <v>5.3630000000000004</v>
      </c>
      <c r="EH22" s="177">
        <f>120.96/12*8</f>
        <v>80.64</v>
      </c>
      <c r="EI22" s="177">
        <f>120.96/12*4</f>
        <v>40.32</v>
      </c>
      <c r="EJ22" s="319"/>
      <c r="EK22" s="319">
        <f>2.419/1.2*0.6</f>
        <v>1.2095</v>
      </c>
      <c r="EL22" s="319">
        <f>3.629/1.8*0.9</f>
        <v>1.8145</v>
      </c>
      <c r="EM22" s="319"/>
      <c r="EN22" s="319">
        <f>2.016*2</f>
        <v>4.032</v>
      </c>
      <c r="EO22" s="319">
        <f>2.016</f>
        <v>2.016</v>
      </c>
      <c r="EP22" s="319"/>
      <c r="EQ22" s="319">
        <v>1.21</v>
      </c>
      <c r="ER22" s="319">
        <f>2.016*2.5</f>
        <v>5.04</v>
      </c>
      <c r="ES22" s="319">
        <f>0.605/0.3*0.6</f>
        <v>1.21</v>
      </c>
      <c r="ET22" s="319">
        <v>3.024</v>
      </c>
      <c r="EU22" s="319"/>
      <c r="EV22" s="319"/>
      <c r="EW22" s="319"/>
      <c r="EX22" s="319"/>
      <c r="EY22" s="319"/>
      <c r="EZ22" s="319"/>
      <c r="FA22" s="319">
        <f>5.043/1.5</f>
        <v>3.3620000000000001</v>
      </c>
      <c r="FB22" s="319"/>
      <c r="FC22" s="319"/>
      <c r="FD22" s="319">
        <f>2.016</f>
        <v>2.016</v>
      </c>
      <c r="FE22" s="319"/>
      <c r="FF22" s="319"/>
      <c r="FG22" s="319"/>
      <c r="FH22" s="319"/>
      <c r="FI22" s="319"/>
      <c r="FJ22" s="319"/>
      <c r="FK22" s="319">
        <v>1.21</v>
      </c>
      <c r="FL22" s="319"/>
      <c r="FM22" s="319"/>
      <c r="FN22" s="319"/>
      <c r="FO22" s="319"/>
      <c r="FP22" s="319">
        <v>0.40200000000000002</v>
      </c>
      <c r="FQ22" s="319">
        <v>0.40200000000000002</v>
      </c>
      <c r="FR22" s="319">
        <v>0.252</v>
      </c>
      <c r="FS22" s="319"/>
      <c r="FT22" s="319"/>
      <c r="FU22" s="319"/>
      <c r="FV22" s="319">
        <f>3.629/1.8*0.5</f>
        <v>1.0080555555555555</v>
      </c>
      <c r="FW22" s="319"/>
      <c r="FX22" s="319"/>
      <c r="FY22" s="319"/>
      <c r="FZ22" s="319"/>
      <c r="GA22" s="158">
        <f t="shared" si="2"/>
        <v>174.46905555555554</v>
      </c>
      <c r="GB22" s="95"/>
      <c r="GC22" s="374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28"/>
      <c r="GR22" s="270"/>
      <c r="GS22" s="177"/>
      <c r="GT22" s="177"/>
      <c r="GU22" s="771"/>
      <c r="GV22" s="435"/>
      <c r="GW22" s="327">
        <f t="shared" si="3"/>
        <v>0</v>
      </c>
      <c r="GX22" s="558">
        <f t="shared" si="4"/>
        <v>66.23</v>
      </c>
      <c r="GY22" s="605">
        <f t="shared" si="5"/>
        <v>66.23</v>
      </c>
      <c r="GZ22" s="627" t="e">
        <f>'2_квартал'!#REF!</f>
        <v>#REF!</v>
      </c>
      <c r="HA22" s="734">
        <f t="shared" si="6"/>
        <v>118.7</v>
      </c>
      <c r="HB22" s="36" t="str">
        <f t="shared" si="7"/>
        <v>вит Н (биотин) (бипекс Н2)</v>
      </c>
      <c r="HC22" s="664"/>
      <c r="HD22" s="22"/>
      <c r="HE22" s="22"/>
    </row>
    <row r="23" spans="1:213" ht="15.9" customHeight="1" x14ac:dyDescent="0.3">
      <c r="A23" s="128"/>
      <c r="B23" s="680"/>
      <c r="C23" s="680"/>
      <c r="D23" s="679"/>
      <c r="E23" s="674"/>
      <c r="F23" s="453"/>
      <c r="G23" s="574"/>
      <c r="H23" s="736">
        <f>SUM(H9:H22)</f>
        <v>1904.3370000000002</v>
      </c>
      <c r="I23" s="736">
        <f>SUM(I9:I22)</f>
        <v>818.63700000000006</v>
      </c>
      <c r="J23" s="94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  <c r="Z23" s="178"/>
      <c r="AA23" s="357"/>
      <c r="AB23" s="91"/>
      <c r="AC23" s="90"/>
      <c r="AD23" s="90"/>
      <c r="AE23" s="90"/>
      <c r="AF23" s="90"/>
      <c r="AG23" s="90"/>
      <c r="AH23" s="178"/>
      <c r="AI23" s="178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159"/>
      <c r="BT23" s="94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178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502"/>
      <c r="DU23" s="57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178"/>
      <c r="EH23" s="178"/>
      <c r="EI23" s="178"/>
      <c r="EJ23" s="90"/>
      <c r="EK23" s="90"/>
      <c r="EL23" s="90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  <c r="FF23" s="90"/>
      <c r="FG23" s="90"/>
      <c r="FH23" s="90"/>
      <c r="FI23" s="90"/>
      <c r="FJ23" s="90"/>
      <c r="FK23" s="90"/>
      <c r="FL23" s="90"/>
      <c r="FM23" s="90"/>
      <c r="FN23" s="90"/>
      <c r="FO23" s="90"/>
      <c r="FP23" s="90"/>
      <c r="FQ23" s="90"/>
      <c r="FR23" s="90"/>
      <c r="FS23" s="90"/>
      <c r="FT23" s="90"/>
      <c r="FU23" s="90"/>
      <c r="FV23" s="90"/>
      <c r="FW23" s="90"/>
      <c r="FX23" s="90"/>
      <c r="FY23" s="90"/>
      <c r="FZ23" s="90"/>
      <c r="GA23" s="811"/>
      <c r="GB23" s="95"/>
      <c r="GC23" s="170"/>
      <c r="GD23" s="90"/>
      <c r="GE23" s="90"/>
      <c r="GF23" s="90"/>
      <c r="GG23" s="90"/>
      <c r="GH23" s="90"/>
      <c r="GI23" s="90"/>
      <c r="GJ23" s="90"/>
      <c r="GK23" s="90"/>
      <c r="GL23" s="90"/>
      <c r="GM23" s="90"/>
      <c r="GN23" s="90"/>
      <c r="GO23" s="90"/>
      <c r="GP23" s="90"/>
      <c r="GQ23" s="260"/>
      <c r="GR23" s="347"/>
      <c r="GS23" s="178"/>
      <c r="GT23" s="178"/>
      <c r="GU23" s="743"/>
      <c r="GV23" s="436"/>
      <c r="GW23" s="348"/>
      <c r="GX23" s="446"/>
      <c r="GY23" s="606"/>
      <c r="GZ23" s="606"/>
      <c r="HA23" s="446"/>
      <c r="HB23" s="453"/>
      <c r="HC23" s="213"/>
      <c r="HD23" s="22"/>
      <c r="HE23" s="22"/>
    </row>
    <row r="24" spans="1:213" ht="15.9" customHeight="1" x14ac:dyDescent="0.3">
      <c r="A24" s="127">
        <f>A22+1</f>
        <v>13</v>
      </c>
      <c r="B24" s="690" t="s">
        <v>56</v>
      </c>
      <c r="C24" s="565">
        <f>'2_квартал'!G19</f>
        <v>10656.95</v>
      </c>
      <c r="D24" s="263">
        <f>3248.52+22256.44</f>
        <v>25504.959999999999</v>
      </c>
      <c r="E24" s="241">
        <v>13137.35</v>
      </c>
      <c r="F24" s="571">
        <f>4606.21+12638.99</f>
        <v>17245.2</v>
      </c>
      <c r="G24" s="299">
        <f t="shared" si="8"/>
        <v>18629.169999999998</v>
      </c>
      <c r="H24" s="93">
        <f>4606.21+20000</f>
        <v>24606.21</v>
      </c>
      <c r="I24" s="93">
        <f>7361.01+20000</f>
        <v>27361.010000000002</v>
      </c>
      <c r="J24" s="94"/>
      <c r="K24" s="319"/>
      <c r="L24" s="319">
        <v>4032</v>
      </c>
      <c r="M24" s="319">
        <v>515.69399999999996</v>
      </c>
      <c r="N24" s="319">
        <f>451.298*3</f>
        <v>1353.894</v>
      </c>
      <c r="O24" s="319">
        <v>1282.9090000000001</v>
      </c>
      <c r="P24" s="319">
        <v>98.385999999999996</v>
      </c>
      <c r="Q24" s="319">
        <f>1374.545/15*7</f>
        <v>641.45433333333335</v>
      </c>
      <c r="R24" s="319">
        <f>1374.545/15*10.4</f>
        <v>953.01786666666681</v>
      </c>
      <c r="S24" s="319">
        <f>1374.545/15*2.6</f>
        <v>238.2544666666667</v>
      </c>
      <c r="T24" s="319">
        <v>46.149000000000001</v>
      </c>
      <c r="U24" s="319">
        <f>164.011*9</f>
        <v>1476.0989999999999</v>
      </c>
      <c r="V24" s="319"/>
      <c r="W24" s="319">
        <f>2.749*2</f>
        <v>5.4980000000000002</v>
      </c>
      <c r="X24" s="319">
        <f>403.2</f>
        <v>403.2</v>
      </c>
      <c r="Y24" s="245">
        <v>0.27500000000000002</v>
      </c>
      <c r="Z24" s="177">
        <v>73.676000000000002</v>
      </c>
      <c r="AA24" s="272">
        <v>987.84</v>
      </c>
      <c r="AB24" s="24"/>
      <c r="AC24" s="319">
        <v>4.399</v>
      </c>
      <c r="AD24" s="319">
        <v>251.459</v>
      </c>
      <c r="AE24" s="319">
        <v>43.831000000000003</v>
      </c>
      <c r="AF24" s="319">
        <v>163.68299999999999</v>
      </c>
      <c r="AG24" s="319"/>
      <c r="AH24" s="177">
        <v>24.375</v>
      </c>
      <c r="AI24" s="177">
        <v>13.744999999999999</v>
      </c>
      <c r="AJ24" s="319">
        <f>94.944*0.8</f>
        <v>75.955200000000005</v>
      </c>
      <c r="AK24" s="319">
        <f>164.011*1.5</f>
        <v>246.01650000000001</v>
      </c>
      <c r="AL24" s="319">
        <f>102.266*0.6</f>
        <v>61.3596</v>
      </c>
      <c r="AM24" s="319">
        <f>451.298*3</f>
        <v>1353.894</v>
      </c>
      <c r="AN24" s="319">
        <f>109.964*0.9</f>
        <v>98.967600000000004</v>
      </c>
      <c r="AO24" s="319">
        <v>2565.8180000000002</v>
      </c>
      <c r="AP24" s="319"/>
      <c r="AQ24" s="319">
        <f>403.2*5</f>
        <v>2016</v>
      </c>
      <c r="AR24" s="319">
        <f>403.2</f>
        <v>403.2</v>
      </c>
      <c r="AS24" s="319">
        <f>109.964*3</f>
        <v>329.892</v>
      </c>
      <c r="AT24" s="319">
        <v>409.06200000000001</v>
      </c>
      <c r="AU24" s="319">
        <v>91.635999999999996</v>
      </c>
      <c r="AV24" s="319">
        <f>1794.95/4*2</f>
        <v>897.47500000000002</v>
      </c>
      <c r="AW24" s="319"/>
      <c r="AX24" s="319">
        <v>172.03100000000001</v>
      </c>
      <c r="AY24" s="319">
        <f>1794.95/4*2</f>
        <v>897.47500000000002</v>
      </c>
      <c r="AZ24" s="319">
        <f>499.71/2.4*1.5</f>
        <v>312.31875000000002</v>
      </c>
      <c r="BA24" s="319">
        <v>16.495000000000001</v>
      </c>
      <c r="BB24" s="319"/>
      <c r="BC24" s="319">
        <f>54.982/2*2.4</f>
        <v>65.978399999999993</v>
      </c>
      <c r="BD24" s="319">
        <f>93.433*2</f>
        <v>186.86600000000001</v>
      </c>
      <c r="BE24" s="319">
        <f>1431.36/7.1*4.1</f>
        <v>826.56</v>
      </c>
      <c r="BF24" s="319">
        <f>403.2*2</f>
        <v>806.4</v>
      </c>
      <c r="BG24" s="319">
        <f>373.876/1.5*0.4</f>
        <v>99.700266666666664</v>
      </c>
      <c r="BH24" s="319">
        <f>2.443*0.6</f>
        <v>1.4658</v>
      </c>
      <c r="BI24" s="319">
        <f>2.444*0.6</f>
        <v>1.4663999999999999</v>
      </c>
      <c r="BJ24" s="319">
        <f>93.348*2</f>
        <v>186.696</v>
      </c>
      <c r="BK24" s="319">
        <f>141.564*1.5</f>
        <v>212.346</v>
      </c>
      <c r="BL24" s="319">
        <f>160.014*3.5</f>
        <v>560.04899999999998</v>
      </c>
      <c r="BM24" s="319"/>
      <c r="BN24" s="319"/>
      <c r="BO24" s="319"/>
      <c r="BP24" s="319"/>
      <c r="BQ24" s="460"/>
      <c r="BR24" s="319"/>
      <c r="BS24" s="158">
        <f t="shared" ref="BS24:BS71" si="10">SUM(K24:BR24)</f>
        <v>25504.962183333337</v>
      </c>
      <c r="BT24" s="94"/>
      <c r="BU24" s="319">
        <f>499.71/2.4*2</f>
        <v>416.42500000000001</v>
      </c>
      <c r="BV24" s="319">
        <v>373.39</v>
      </c>
      <c r="BW24" s="319">
        <f>7.331/3*1.5</f>
        <v>3.6654999999999998</v>
      </c>
      <c r="BX24" s="319">
        <f>747.753/3*1.5</f>
        <v>373.87650000000002</v>
      </c>
      <c r="BY24" s="319">
        <f>9.775/4*2</f>
        <v>4.8875000000000002</v>
      </c>
      <c r="BZ24" s="319">
        <f>446.844*3</f>
        <v>1340.5319999999999</v>
      </c>
      <c r="CA24" s="319">
        <v>161.96</v>
      </c>
      <c r="CB24" s="319">
        <v>299.37900000000002</v>
      </c>
      <c r="CC24" s="319">
        <v>82.921999999999997</v>
      </c>
      <c r="CD24" s="319"/>
      <c r="CE24" s="319">
        <v>90.179000000000002</v>
      </c>
      <c r="CF24" s="319">
        <v>2.6880000000000002</v>
      </c>
      <c r="CG24" s="319">
        <v>54.981999999999999</v>
      </c>
      <c r="CH24" s="319">
        <v>0.97699999999999998</v>
      </c>
      <c r="CI24" s="319">
        <v>48.384</v>
      </c>
      <c r="CJ24" s="319">
        <f>160.014*6</f>
        <v>960.08400000000006</v>
      </c>
      <c r="CK24" s="319">
        <v>201.357</v>
      </c>
      <c r="CL24" s="319">
        <f>208.212*3</f>
        <v>624.63599999999997</v>
      </c>
      <c r="CM24" s="319">
        <f>90.179/0.6*0.5</f>
        <v>75.149166666666673</v>
      </c>
      <c r="CN24" s="319">
        <v>93.347999999999999</v>
      </c>
      <c r="CO24" s="319">
        <f>606.957/5*3</f>
        <v>364.17420000000004</v>
      </c>
      <c r="CP24" s="319">
        <f>606.957/5*2</f>
        <v>242.78280000000001</v>
      </c>
      <c r="CQ24" s="319">
        <f>403.2*2</f>
        <v>806.4</v>
      </c>
      <c r="CR24" s="319">
        <f>109.964*0.9</f>
        <v>98.967600000000004</v>
      </c>
      <c r="CS24" s="319">
        <f>159.472*2</f>
        <v>318.94400000000002</v>
      </c>
      <c r="CT24" s="319">
        <f>747.753/3*1.5</f>
        <v>373.87650000000002</v>
      </c>
      <c r="CU24" s="319">
        <f>7.331/3*1.5</f>
        <v>3.6654999999999998</v>
      </c>
      <c r="CV24" s="319">
        <f>9.775/4*2</f>
        <v>4.8875000000000002</v>
      </c>
      <c r="CW24" s="319">
        <v>0.27500000000000002</v>
      </c>
      <c r="CX24" s="319">
        <f>160.014*4.2</f>
        <v>672.05880000000002</v>
      </c>
      <c r="CY24" s="177"/>
      <c r="CZ24" s="32">
        <v>93.347999999999999</v>
      </c>
      <c r="DA24" s="32">
        <v>93.433000000000007</v>
      </c>
      <c r="DB24" s="319">
        <f>100.754*0.6</f>
        <v>60.452399999999997</v>
      </c>
      <c r="DC24" s="319">
        <f>102.644*0.3</f>
        <v>30.793199999999999</v>
      </c>
      <c r="DD24" s="319">
        <v>82.472999999999999</v>
      </c>
      <c r="DE24" s="319">
        <v>65.977999999999994</v>
      </c>
      <c r="DF24" s="319">
        <v>438.85</v>
      </c>
      <c r="DG24" s="319">
        <f>93.348*3.9</f>
        <v>364.05719999999997</v>
      </c>
      <c r="DH24" s="319">
        <f>208.212*1.2</f>
        <v>249.85439999999997</v>
      </c>
      <c r="DI24" s="319">
        <f>1776.813/4*5</f>
        <v>2221.0162500000001</v>
      </c>
      <c r="DJ24" s="319">
        <f>91.636*2.5</f>
        <v>229.08999999999997</v>
      </c>
      <c r="DK24" s="319">
        <f>109.964*1.5</f>
        <v>164.946</v>
      </c>
      <c r="DL24" s="319">
        <f>109.964</f>
        <v>109.964</v>
      </c>
      <c r="DM24" s="319">
        <f>168.182*1.5</f>
        <v>252.27299999999997</v>
      </c>
      <c r="DN24" s="319">
        <f>403.016/4*3</f>
        <v>302.262</v>
      </c>
      <c r="DO24" s="319">
        <f>185.097/0.8*0.4</f>
        <v>92.548500000000004</v>
      </c>
      <c r="DP24" s="319">
        <f>299.379/1.8*0.9</f>
        <v>149.68950000000001</v>
      </c>
      <c r="DQ24" s="319">
        <f>82.922/1.2*0.6</f>
        <v>41.461000000000006</v>
      </c>
      <c r="DR24" s="319"/>
      <c r="DS24" s="319"/>
      <c r="DT24" s="275">
        <f t="shared" ref="DT24:DT43" si="11">SUM(BU24:DS24)</f>
        <v>13137.343016666668</v>
      </c>
      <c r="DU24" s="57"/>
      <c r="DV24" s="319">
        <v>373.39</v>
      </c>
      <c r="DW24" s="319">
        <f>208.212*2</f>
        <v>416.42399999999998</v>
      </c>
      <c r="DX24" s="319">
        <v>16.495000000000001</v>
      </c>
      <c r="DY24" s="319">
        <f>93.348*1.5</f>
        <v>140.02199999999999</v>
      </c>
      <c r="DZ24" s="319"/>
      <c r="EA24" s="319">
        <f>403.2*5</f>
        <v>2016</v>
      </c>
      <c r="EB24" s="319">
        <f>1832.727/20*10</f>
        <v>916.36350000000004</v>
      </c>
      <c r="EC24" s="319">
        <f>1832.727/20*10</f>
        <v>916.36350000000004</v>
      </c>
      <c r="ED24" s="319">
        <v>90.179000000000002</v>
      </c>
      <c r="EE24" s="319">
        <v>93.347999999999999</v>
      </c>
      <c r="EF24" s="319">
        <f>93.433*1.5</f>
        <v>140.14950000000002</v>
      </c>
      <c r="EG24" s="177">
        <v>98.233999999999995</v>
      </c>
      <c r="EH24" s="177">
        <f>2370.816/12*8</f>
        <v>1580.5439999999999</v>
      </c>
      <c r="EI24" s="177">
        <f>2370.816/12*4</f>
        <v>790.27199999999993</v>
      </c>
      <c r="EJ24" s="319">
        <f>185.097/0.8*0.4</f>
        <v>92.548500000000004</v>
      </c>
      <c r="EK24" s="319">
        <f>82.922/1.2*0.6</f>
        <v>41.461000000000006</v>
      </c>
      <c r="EL24" s="319">
        <f>299.379/1.8*0.9</f>
        <v>149.68950000000001</v>
      </c>
      <c r="EM24" s="319">
        <f>160.014</f>
        <v>160.01400000000001</v>
      </c>
      <c r="EN24" s="319">
        <f>93.348*2</f>
        <v>186.696</v>
      </c>
      <c r="EO24" s="319">
        <f>93.433</f>
        <v>93.433000000000007</v>
      </c>
      <c r="EP24" s="319"/>
      <c r="EQ24" s="319"/>
      <c r="ER24" s="319">
        <f>93.348*2.5</f>
        <v>233.37</v>
      </c>
      <c r="ES24" s="319">
        <f>30.793/0.3*0.6</f>
        <v>61.585999999999999</v>
      </c>
      <c r="ET24" s="319">
        <v>140.149</v>
      </c>
      <c r="EU24" s="319">
        <f>160.014*4</f>
        <v>640.05600000000004</v>
      </c>
      <c r="EV24" s="319">
        <v>54.981999999999999</v>
      </c>
      <c r="EW24" s="319">
        <v>4.399</v>
      </c>
      <c r="EX24" s="319">
        <f>159.472*2</f>
        <v>318.94400000000002</v>
      </c>
      <c r="EY24" s="319">
        <f>960.085/6*3</f>
        <v>480.04250000000002</v>
      </c>
      <c r="EZ24" s="319">
        <v>2221.0160000000001</v>
      </c>
      <c r="FA24" s="319">
        <f>252.273/1.5</f>
        <v>168.18199999999999</v>
      </c>
      <c r="FB24" s="319">
        <v>27.491</v>
      </c>
      <c r="FC24" s="319">
        <f>160.014*1.5</f>
        <v>240.02100000000002</v>
      </c>
      <c r="FD24" s="319">
        <f>93.348</f>
        <v>93.347999999999999</v>
      </c>
      <c r="FE24" s="319">
        <f>624.637</f>
        <v>624.63699999999994</v>
      </c>
      <c r="FF24" s="319">
        <f>160.014*0.3</f>
        <v>48.004200000000004</v>
      </c>
      <c r="FG24" s="319">
        <v>604.79999999999995</v>
      </c>
      <c r="FH24" s="319">
        <v>46.734999999999999</v>
      </c>
      <c r="FI24" s="319">
        <v>329.89100000000002</v>
      </c>
      <c r="FJ24" s="319"/>
      <c r="FK24" s="319">
        <v>60.451999999999998</v>
      </c>
      <c r="FL24" s="319">
        <f>318.944/2*2.1</f>
        <v>334.89120000000003</v>
      </c>
      <c r="FM24" s="319">
        <v>606.95699999999999</v>
      </c>
      <c r="FN24" s="319">
        <v>0.27500000000000002</v>
      </c>
      <c r="FO24" s="319">
        <v>99.7</v>
      </c>
      <c r="FP24" s="319">
        <v>1.466</v>
      </c>
      <c r="FQ24" s="319">
        <v>1.466</v>
      </c>
      <c r="FR24" s="319">
        <v>0.45800000000000002</v>
      </c>
      <c r="FS24" s="319">
        <f>159.472*3</f>
        <v>478.41600000000005</v>
      </c>
      <c r="FT24" s="319">
        <f>160.014*1.9</f>
        <v>304.02660000000003</v>
      </c>
      <c r="FU24" s="319">
        <f>208.212*3</f>
        <v>624.63599999999997</v>
      </c>
      <c r="FV24" s="319">
        <f>299.379/1.8*0.5</f>
        <v>83.160833333333343</v>
      </c>
      <c r="FW24" s="319"/>
      <c r="FX24" s="319"/>
      <c r="FY24" s="319"/>
      <c r="FZ24" s="319"/>
      <c r="GA24" s="158">
        <f t="shared" ref="GA24:GA43" si="12">SUM(DV24:FZ24)</f>
        <v>17245.184833333333</v>
      </c>
      <c r="GB24" s="95"/>
      <c r="GC24" s="374"/>
      <c r="GD24" s="319"/>
      <c r="GE24" s="319"/>
      <c r="GF24" s="319"/>
      <c r="GG24" s="319"/>
      <c r="GH24" s="319"/>
      <c r="GI24" s="319"/>
      <c r="GJ24" s="319"/>
      <c r="GK24" s="319"/>
      <c r="GL24" s="319"/>
      <c r="GM24" s="319"/>
      <c r="GN24" s="319"/>
      <c r="GO24" s="319"/>
      <c r="GP24" s="319"/>
      <c r="GQ24" s="28"/>
      <c r="GR24" s="270"/>
      <c r="GS24" s="177"/>
      <c r="GT24" s="177"/>
      <c r="GU24" s="741"/>
      <c r="GV24" s="435"/>
      <c r="GW24" s="327">
        <f t="shared" ref="GW24:GW43" si="13">SUM(GC24:GV24)</f>
        <v>0</v>
      </c>
      <c r="GX24" s="445">
        <f t="shared" ref="GX24:GX43" si="14">I24-GW24</f>
        <v>27361.010000000002</v>
      </c>
      <c r="GY24" s="605">
        <f t="shared" ref="GY24:GY43" si="15">I24</f>
        <v>27361.010000000002</v>
      </c>
      <c r="GZ24" s="627">
        <f>'2_квартал'!G19</f>
        <v>10656.95</v>
      </c>
      <c r="HA24" s="722">
        <f t="shared" ref="HA24:HA43" si="16">E24</f>
        <v>13137.35</v>
      </c>
      <c r="HB24" s="36" t="str">
        <f t="shared" ref="HB24:HB43" si="17">B24</f>
        <v>окись магния, порошок магнезитовый</v>
      </c>
      <c r="HC24" s="664"/>
      <c r="HD24" s="22"/>
      <c r="HE24" s="22"/>
    </row>
    <row r="25" spans="1:213" ht="15.9" customHeight="1" x14ac:dyDescent="0.3">
      <c r="A25" s="127">
        <f>A24+1</f>
        <v>14</v>
      </c>
      <c r="B25" s="691" t="s">
        <v>142</v>
      </c>
      <c r="C25" s="565">
        <f>'2_квартал'!G20</f>
        <v>8501.0650000000005</v>
      </c>
      <c r="D25" s="589">
        <v>2446.75</v>
      </c>
      <c r="E25" s="569">
        <v>5893.12</v>
      </c>
      <c r="F25" s="571">
        <v>7674.1</v>
      </c>
      <c r="G25" s="299">
        <f t="shared" si="8"/>
        <v>5337.99</v>
      </c>
      <c r="H25" s="93">
        <f>10660.13+1000</f>
        <v>11660.13</v>
      </c>
      <c r="I25" s="93">
        <f>2986.03+1000</f>
        <v>3986.03</v>
      </c>
      <c r="J25" s="94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245"/>
      <c r="Z25" s="177"/>
      <c r="AA25" s="272"/>
      <c r="AB25" s="24"/>
      <c r="AC25" s="319"/>
      <c r="AD25" s="319"/>
      <c r="AE25" s="319"/>
      <c r="AF25" s="319"/>
      <c r="AG25" s="319"/>
      <c r="AH25" s="177"/>
      <c r="AI25" s="177"/>
      <c r="AJ25" s="319"/>
      <c r="AK25" s="319"/>
      <c r="AL25" s="319"/>
      <c r="AM25" s="319"/>
      <c r="AN25" s="319"/>
      <c r="AO25" s="319"/>
      <c r="AP25" s="319"/>
      <c r="AQ25" s="319"/>
      <c r="AR25" s="319"/>
      <c r="AS25" s="319"/>
      <c r="AT25" s="319"/>
      <c r="AU25" s="319"/>
      <c r="AV25" s="319"/>
      <c r="AW25" s="319">
        <v>890.02200000000005</v>
      </c>
      <c r="AX25" s="319">
        <v>26.817</v>
      </c>
      <c r="AY25" s="319"/>
      <c r="AZ25" s="319">
        <f>354.704/2.4*1.5</f>
        <v>221.69000000000003</v>
      </c>
      <c r="BA25" s="319"/>
      <c r="BB25" s="319">
        <v>178.00399999999999</v>
      </c>
      <c r="BC25" s="319"/>
      <c r="BD25" s="319">
        <f>33.544*2</f>
        <v>67.087999999999994</v>
      </c>
      <c r="BE25" s="319"/>
      <c r="BF25" s="319"/>
      <c r="BG25" s="319"/>
      <c r="BH25" s="319"/>
      <c r="BI25" s="319"/>
      <c r="BJ25" s="319">
        <f>111.812*2</f>
        <v>223.624</v>
      </c>
      <c r="BK25" s="319">
        <f>15.442*1.5</f>
        <v>23.163</v>
      </c>
      <c r="BL25" s="319">
        <f>99.068*3.5</f>
        <v>346.738</v>
      </c>
      <c r="BM25" s="319">
        <v>469.60500000000002</v>
      </c>
      <c r="BN25" s="319"/>
      <c r="BO25" s="319"/>
      <c r="BP25" s="319"/>
      <c r="BQ25" s="460"/>
      <c r="BR25" s="319"/>
      <c r="BS25" s="158">
        <f t="shared" si="10"/>
        <v>2446.7510000000002</v>
      </c>
      <c r="BT25" s="94"/>
      <c r="BU25" s="319">
        <f>354.704/2.4*2</f>
        <v>295.5866666666667</v>
      </c>
      <c r="BV25" s="319">
        <v>447.24700000000001</v>
      </c>
      <c r="BW25" s="319"/>
      <c r="BX25" s="319"/>
      <c r="BY25" s="319"/>
      <c r="BZ25" s="319">
        <f>100.724*3</f>
        <v>302.17200000000003</v>
      </c>
      <c r="CA25" s="319">
        <v>38.244999999999997</v>
      </c>
      <c r="CB25" s="319">
        <v>52.606000000000002</v>
      </c>
      <c r="CC25" s="319">
        <v>105.205</v>
      </c>
      <c r="CD25" s="319"/>
      <c r="CE25" s="319">
        <v>47.012</v>
      </c>
      <c r="CF25" s="319"/>
      <c r="CG25" s="319"/>
      <c r="CH25" s="319"/>
      <c r="CI25" s="319"/>
      <c r="CJ25" s="319">
        <f>99.068*6</f>
        <v>594.40800000000002</v>
      </c>
      <c r="CK25" s="319">
        <v>223.624</v>
      </c>
      <c r="CL25" s="319">
        <f>147.793*3</f>
        <v>443.37900000000002</v>
      </c>
      <c r="CM25" s="319">
        <f>47.012/0.6*0.5</f>
        <v>39.176666666666669</v>
      </c>
      <c r="CN25" s="319">
        <v>111.812</v>
      </c>
      <c r="CO25" s="319">
        <f>385.41/5*3</f>
        <v>231.24600000000004</v>
      </c>
      <c r="CP25" s="319">
        <f>385.41/5*2</f>
        <v>154.16400000000002</v>
      </c>
      <c r="CQ25" s="319"/>
      <c r="CR25" s="319"/>
      <c r="CS25" s="319">
        <f>100.724*2</f>
        <v>201.44800000000001</v>
      </c>
      <c r="CT25" s="319"/>
      <c r="CU25" s="319"/>
      <c r="CV25" s="319"/>
      <c r="CW25" s="319"/>
      <c r="CX25" s="319">
        <f>99.068*4.2</f>
        <v>416.0856</v>
      </c>
      <c r="CY25" s="177"/>
      <c r="CZ25" s="32">
        <v>111.812</v>
      </c>
      <c r="DA25" s="32">
        <v>33.543999999999997</v>
      </c>
      <c r="DB25" s="319">
        <f>33.544*0.6</f>
        <v>20.126399999999997</v>
      </c>
      <c r="DC25" s="319">
        <f>68.188*0.3</f>
        <v>20.456399999999999</v>
      </c>
      <c r="DD25" s="319"/>
      <c r="DE25" s="319"/>
      <c r="DF25" s="319">
        <v>47.87</v>
      </c>
      <c r="DG25" s="319">
        <f>111.812*3.9</f>
        <v>436.0668</v>
      </c>
      <c r="DH25" s="319">
        <f>147.793*1.2</f>
        <v>177.35159999999999</v>
      </c>
      <c r="DI25" s="319">
        <f>402.523/4*5</f>
        <v>503.15375000000006</v>
      </c>
      <c r="DJ25" s="319"/>
      <c r="DK25" s="319"/>
      <c r="DL25" s="319"/>
      <c r="DM25" s="319">
        <f>112.236*1.5</f>
        <v>168.35400000000001</v>
      </c>
      <c r="DN25" s="319">
        <f>134.174/4*3</f>
        <v>100.63050000000001</v>
      </c>
      <c r="DO25" s="319">
        <f>43.708/0.8*0.4</f>
        <v>21.853999999999999</v>
      </c>
      <c r="DP25" s="319">
        <f>52.606/1.8*0.9</f>
        <v>26.303000000000001</v>
      </c>
      <c r="DQ25" s="319">
        <f>105.205/1.2*0.6</f>
        <v>52.602499999999999</v>
      </c>
      <c r="DR25" s="319"/>
      <c r="DS25" s="319">
        <v>469.60500000000002</v>
      </c>
      <c r="DT25" s="419">
        <f t="shared" si="11"/>
        <v>5893.1468833333329</v>
      </c>
      <c r="DU25" s="57"/>
      <c r="DV25" s="319">
        <v>447.24700000000001</v>
      </c>
      <c r="DW25" s="319">
        <f>147.793*2</f>
        <v>295.58600000000001</v>
      </c>
      <c r="DX25" s="319"/>
      <c r="DY25" s="319">
        <f>111.812*1.5</f>
        <v>167.71799999999999</v>
      </c>
      <c r="DZ25" s="319"/>
      <c r="EA25" s="319"/>
      <c r="EB25" s="319"/>
      <c r="EC25" s="319"/>
      <c r="ED25" s="319">
        <v>47.012</v>
      </c>
      <c r="EE25" s="319">
        <v>111.812</v>
      </c>
      <c r="EF25" s="319">
        <f>33.544*1.5</f>
        <v>50.315999999999995</v>
      </c>
      <c r="EG25" s="177"/>
      <c r="EH25" s="177"/>
      <c r="EI25" s="177"/>
      <c r="EJ25" s="319">
        <f>43.708/0.8*0.4</f>
        <v>21.853999999999999</v>
      </c>
      <c r="EK25" s="319">
        <f>105.205/1.2*0.6</f>
        <v>52.602499999999999</v>
      </c>
      <c r="EL25" s="319">
        <f>52.606/1.8*0.9</f>
        <v>26.303000000000001</v>
      </c>
      <c r="EM25" s="319">
        <f>99.068</f>
        <v>99.067999999999998</v>
      </c>
      <c r="EN25" s="319">
        <f>111.812*2</f>
        <v>223.624</v>
      </c>
      <c r="EO25" s="319">
        <f>33.544</f>
        <v>33.543999999999997</v>
      </c>
      <c r="EP25" s="319">
        <f>890.022</f>
        <v>890.02200000000005</v>
      </c>
      <c r="EQ25" s="319">
        <v>19.385000000000002</v>
      </c>
      <c r="ER25" s="319">
        <f>111.812*2.5</f>
        <v>279.52999999999997</v>
      </c>
      <c r="ES25" s="319">
        <f>20.456/0.3*0.6</f>
        <v>40.911999999999999</v>
      </c>
      <c r="ET25" s="319">
        <v>50.314999999999998</v>
      </c>
      <c r="EU25" s="319">
        <f>99.068*4</f>
        <v>396.27199999999999</v>
      </c>
      <c r="EV25" s="319"/>
      <c r="EW25" s="319"/>
      <c r="EX25" s="319">
        <f>100.724*2</f>
        <v>201.44800000000001</v>
      </c>
      <c r="EY25" s="319">
        <f>594.407/6*3</f>
        <v>297.20350000000002</v>
      </c>
      <c r="EZ25" s="319">
        <v>503.154</v>
      </c>
      <c r="FA25" s="319">
        <f>168.354/1.5</f>
        <v>112.236</v>
      </c>
      <c r="FB25" s="319"/>
      <c r="FC25" s="319">
        <f>99.068*1.5</f>
        <v>148.602</v>
      </c>
      <c r="FD25" s="319">
        <f>111.812</f>
        <v>111.812</v>
      </c>
      <c r="FE25" s="319">
        <f>443.379</f>
        <v>443.37900000000002</v>
      </c>
      <c r="FF25" s="319">
        <f>99.068*0.3</f>
        <v>29.720399999999998</v>
      </c>
      <c r="FG25" s="319"/>
      <c r="FH25" s="319"/>
      <c r="FI25" s="319"/>
      <c r="FJ25" s="319">
        <f>201.6*5</f>
        <v>1008</v>
      </c>
      <c r="FK25" s="319">
        <v>20.126000000000001</v>
      </c>
      <c r="FL25" s="319">
        <f>201.448/2*2.1</f>
        <v>211.52040000000002</v>
      </c>
      <c r="FM25" s="319">
        <v>385.41</v>
      </c>
      <c r="FN25" s="319"/>
      <c r="FO25" s="319"/>
      <c r="FP25" s="319"/>
      <c r="FQ25" s="319"/>
      <c r="FR25" s="319"/>
      <c r="FS25" s="319">
        <f>100.724*3</f>
        <v>302.17200000000003</v>
      </c>
      <c r="FT25" s="319">
        <f>99.068*1.9</f>
        <v>188.22919999999999</v>
      </c>
      <c r="FU25" s="319">
        <f>147.793*3</f>
        <v>443.37900000000002</v>
      </c>
      <c r="FV25" s="319">
        <f>52.606/1.8*0.5</f>
        <v>14.612777777777778</v>
      </c>
      <c r="FW25" s="319"/>
      <c r="FX25" s="319"/>
      <c r="FY25" s="319"/>
      <c r="FZ25" s="319"/>
      <c r="GA25" s="158">
        <f t="shared" si="12"/>
        <v>7674.1267777777775</v>
      </c>
      <c r="GB25" s="95"/>
      <c r="GC25" s="374"/>
      <c r="GD25" s="319"/>
      <c r="GE25" s="319"/>
      <c r="GF25" s="319"/>
      <c r="GG25" s="319"/>
      <c r="GH25" s="319"/>
      <c r="GI25" s="319"/>
      <c r="GJ25" s="319"/>
      <c r="GK25" s="319"/>
      <c r="GL25" s="319"/>
      <c r="GM25" s="319"/>
      <c r="GN25" s="319"/>
      <c r="GO25" s="319"/>
      <c r="GP25" s="319"/>
      <c r="GQ25" s="28"/>
      <c r="GR25" s="270"/>
      <c r="GS25" s="177"/>
      <c r="GT25" s="177"/>
      <c r="GU25" s="741"/>
      <c r="GV25" s="435"/>
      <c r="GW25" s="327">
        <f t="shared" si="13"/>
        <v>0</v>
      </c>
      <c r="GX25" s="558">
        <f t="shared" si="14"/>
        <v>3986.03</v>
      </c>
      <c r="GY25" s="605">
        <f t="shared" si="15"/>
        <v>3986.03</v>
      </c>
      <c r="GZ25" s="627">
        <f>'2_квартал'!G20</f>
        <v>8501.0650000000005</v>
      </c>
      <c r="HA25" s="239">
        <f t="shared" si="16"/>
        <v>5893.12</v>
      </c>
      <c r="HB25" s="36" t="str">
        <f t="shared" si="17"/>
        <v>сульфат магния б/водный, магний с/кисл.</v>
      </c>
      <c r="HC25" s="664"/>
      <c r="HD25" s="22"/>
      <c r="HE25" s="22"/>
    </row>
    <row r="26" spans="1:213" ht="15.9" customHeight="1" x14ac:dyDescent="0.3">
      <c r="A26" s="127">
        <f t="shared" ref="A26:A65" si="18">A25+1</f>
        <v>15</v>
      </c>
      <c r="B26" s="691" t="s">
        <v>141</v>
      </c>
      <c r="C26" s="565">
        <f>'2_квартал'!G21</f>
        <v>0</v>
      </c>
      <c r="D26" s="263">
        <f>500+2664.97</f>
        <v>3164.97</v>
      </c>
      <c r="E26" s="241">
        <v>0</v>
      </c>
      <c r="F26" s="571">
        <v>0</v>
      </c>
      <c r="G26" s="299">
        <f t="shared" si="8"/>
        <v>1054.99</v>
      </c>
      <c r="H26" s="93">
        <v>0</v>
      </c>
      <c r="I26" s="93">
        <v>0</v>
      </c>
      <c r="J26" s="94"/>
      <c r="K26" s="319">
        <f>20.059/0.3*0.6</f>
        <v>40.118000000000002</v>
      </c>
      <c r="L26" s="319"/>
      <c r="M26" s="319">
        <v>367.041</v>
      </c>
      <c r="N26" s="319">
        <f>104.227*3</f>
        <v>312.68100000000004</v>
      </c>
      <c r="O26" s="319"/>
      <c r="P26" s="319">
        <v>115.70099999999999</v>
      </c>
      <c r="Q26" s="319"/>
      <c r="R26" s="319"/>
      <c r="S26" s="319"/>
      <c r="T26" s="319">
        <v>24.324000000000002</v>
      </c>
      <c r="U26" s="319">
        <f>104.227*9</f>
        <v>938.04300000000001</v>
      </c>
      <c r="V26" s="319"/>
      <c r="W26" s="319"/>
      <c r="X26" s="319"/>
      <c r="Y26" s="245"/>
      <c r="Z26" s="177"/>
      <c r="AA26" s="272"/>
      <c r="AB26" s="24"/>
      <c r="AC26" s="319"/>
      <c r="AD26" s="319">
        <v>45.363</v>
      </c>
      <c r="AE26" s="319">
        <v>54.432000000000002</v>
      </c>
      <c r="AF26" s="319">
        <v>39.575000000000003</v>
      </c>
      <c r="AG26" s="319">
        <v>20.059000000000001</v>
      </c>
      <c r="AH26" s="177">
        <v>46.277999999999999</v>
      </c>
      <c r="AI26" s="177"/>
      <c r="AJ26" s="319">
        <f>34.71*0.8</f>
        <v>27.768000000000001</v>
      </c>
      <c r="AK26" s="319">
        <f>104.227*1.5</f>
        <v>156.34050000000002</v>
      </c>
      <c r="AL26" s="319">
        <f>34.71*0.6</f>
        <v>20.826000000000001</v>
      </c>
      <c r="AM26" s="319">
        <f>104.227*3</f>
        <v>312.68100000000004</v>
      </c>
      <c r="AN26" s="319"/>
      <c r="AO26" s="319"/>
      <c r="AP26" s="319"/>
      <c r="AQ26" s="319"/>
      <c r="AR26" s="319"/>
      <c r="AS26" s="319"/>
      <c r="AT26" s="319">
        <v>138.84100000000001</v>
      </c>
      <c r="AU26" s="319"/>
      <c r="AV26" s="319">
        <f>416.524/4*2</f>
        <v>208.262</v>
      </c>
      <c r="AW26" s="319"/>
      <c r="AX26" s="319">
        <v>88.39</v>
      </c>
      <c r="AY26" s="319">
        <f>416.524/4*2</f>
        <v>208.262</v>
      </c>
      <c r="AZ26" s="319"/>
      <c r="BA26" s="319"/>
      <c r="BB26" s="319"/>
      <c r="BC26" s="319"/>
      <c r="BD26" s="319"/>
      <c r="BE26" s="319"/>
      <c r="BF26" s="319"/>
      <c r="BG26" s="319"/>
      <c r="BH26" s="319"/>
      <c r="BI26" s="319"/>
      <c r="BJ26" s="319"/>
      <c r="BK26" s="319"/>
      <c r="BL26" s="319"/>
      <c r="BM26" s="319"/>
      <c r="BN26" s="319"/>
      <c r="BO26" s="319"/>
      <c r="BP26" s="319"/>
      <c r="BQ26" s="460"/>
      <c r="BR26" s="319"/>
      <c r="BS26" s="158">
        <f t="shared" si="10"/>
        <v>3164.9855000000002</v>
      </c>
      <c r="BT26" s="94"/>
      <c r="BU26" s="319"/>
      <c r="BV26" s="319"/>
      <c r="BW26" s="319"/>
      <c r="BX26" s="319"/>
      <c r="BY26" s="319"/>
      <c r="BZ26" s="319"/>
      <c r="CA26" s="319"/>
      <c r="CB26" s="319"/>
      <c r="CC26" s="319"/>
      <c r="CD26" s="319"/>
      <c r="CE26" s="319"/>
      <c r="CF26" s="319"/>
      <c r="CG26" s="319"/>
      <c r="CH26" s="319"/>
      <c r="CI26" s="319"/>
      <c r="CJ26" s="319"/>
      <c r="CK26" s="319"/>
      <c r="CL26" s="319"/>
      <c r="CM26" s="319"/>
      <c r="CN26" s="319"/>
      <c r="CO26" s="319"/>
      <c r="CP26" s="319"/>
      <c r="CQ26" s="319"/>
      <c r="CR26" s="319"/>
      <c r="CS26" s="319"/>
      <c r="CT26" s="319"/>
      <c r="CU26" s="319"/>
      <c r="CV26" s="319"/>
      <c r="CW26" s="319"/>
      <c r="CX26" s="319"/>
      <c r="CY26" s="177"/>
      <c r="CZ26" s="32"/>
      <c r="DA26" s="32"/>
      <c r="DB26" s="319"/>
      <c r="DC26" s="319"/>
      <c r="DD26" s="319"/>
      <c r="DE26" s="319"/>
      <c r="DF26" s="319"/>
      <c r="DG26" s="319"/>
      <c r="DH26" s="319"/>
      <c r="DI26" s="319"/>
      <c r="DJ26" s="319"/>
      <c r="DK26" s="319"/>
      <c r="DL26" s="319"/>
      <c r="DM26" s="319"/>
      <c r="DN26" s="319"/>
      <c r="DO26" s="319"/>
      <c r="DP26" s="319"/>
      <c r="DQ26" s="319"/>
      <c r="DR26" s="319"/>
      <c r="DS26" s="319"/>
      <c r="DT26" s="419">
        <f t="shared" si="11"/>
        <v>0</v>
      </c>
      <c r="DU26" s="57"/>
      <c r="DV26" s="319"/>
      <c r="DW26" s="319"/>
      <c r="DX26" s="319"/>
      <c r="DY26" s="319"/>
      <c r="DZ26" s="319"/>
      <c r="EA26" s="319"/>
      <c r="EB26" s="319"/>
      <c r="EC26" s="319"/>
      <c r="ED26" s="319"/>
      <c r="EE26" s="319"/>
      <c r="EF26" s="319"/>
      <c r="EG26" s="177"/>
      <c r="EH26" s="177"/>
      <c r="EI26" s="177"/>
      <c r="EJ26" s="319"/>
      <c r="EK26" s="319"/>
      <c r="EL26" s="319"/>
      <c r="EM26" s="319"/>
      <c r="EN26" s="319"/>
      <c r="EO26" s="319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19"/>
      <c r="FD26" s="319"/>
      <c r="FE26" s="319"/>
      <c r="FF26" s="319"/>
      <c r="FG26" s="319"/>
      <c r="FH26" s="319"/>
      <c r="FI26" s="319"/>
      <c r="FJ26" s="319"/>
      <c r="FK26" s="319"/>
      <c r="FL26" s="319"/>
      <c r="FM26" s="319"/>
      <c r="FN26" s="319"/>
      <c r="FO26" s="319"/>
      <c r="FP26" s="319"/>
      <c r="FQ26" s="319"/>
      <c r="FR26" s="319"/>
      <c r="FS26" s="319"/>
      <c r="FT26" s="319"/>
      <c r="FU26" s="319"/>
      <c r="FV26" s="319"/>
      <c r="FW26" s="319"/>
      <c r="FX26" s="319"/>
      <c r="FY26" s="319"/>
      <c r="FZ26" s="319"/>
      <c r="GA26" s="158">
        <f t="shared" si="12"/>
        <v>0</v>
      </c>
      <c r="GB26" s="95"/>
      <c r="GC26" s="374"/>
      <c r="GD26" s="319"/>
      <c r="GE26" s="319"/>
      <c r="GF26" s="319"/>
      <c r="GG26" s="319"/>
      <c r="GH26" s="319"/>
      <c r="GI26" s="319"/>
      <c r="GJ26" s="319"/>
      <c r="GK26" s="319"/>
      <c r="GL26" s="319"/>
      <c r="GM26" s="319"/>
      <c r="GN26" s="319"/>
      <c r="GO26" s="319"/>
      <c r="GP26" s="319"/>
      <c r="GQ26" s="28"/>
      <c r="GR26" s="270"/>
      <c r="GS26" s="177"/>
      <c r="GT26" s="177"/>
      <c r="GU26" s="741"/>
      <c r="GV26" s="435"/>
      <c r="GW26" s="327">
        <f t="shared" si="13"/>
        <v>0</v>
      </c>
      <c r="GX26" s="445">
        <f t="shared" si="14"/>
        <v>0</v>
      </c>
      <c r="GY26" s="605">
        <f t="shared" si="15"/>
        <v>0</v>
      </c>
      <c r="GZ26" s="627">
        <f>'2_квартал'!G21</f>
        <v>0</v>
      </c>
      <c r="HA26" s="239">
        <f t="shared" si="16"/>
        <v>0</v>
      </c>
      <c r="HB26" s="36" t="str">
        <f t="shared" si="17"/>
        <v>сульфат магния Кизерит</v>
      </c>
      <c r="HC26" s="664"/>
      <c r="HD26" s="22"/>
      <c r="HE26" s="22"/>
    </row>
    <row r="27" spans="1:213" ht="15.9" customHeight="1" x14ac:dyDescent="0.3">
      <c r="A27" s="127">
        <f t="shared" si="18"/>
        <v>16</v>
      </c>
      <c r="B27" s="688" t="s">
        <v>11</v>
      </c>
      <c r="C27" s="565">
        <f>'2_квартал'!G22</f>
        <v>115.11499999999999</v>
      </c>
      <c r="D27" s="346">
        <f>89.75+1052.24</f>
        <v>1141.99</v>
      </c>
      <c r="E27" s="241">
        <f>67.76+54.79</f>
        <v>122.55000000000001</v>
      </c>
      <c r="F27" s="572">
        <v>1060.68</v>
      </c>
      <c r="G27" s="299">
        <f t="shared" si="8"/>
        <v>775.07299999999998</v>
      </c>
      <c r="H27" s="93">
        <v>1095.21</v>
      </c>
      <c r="I27" s="93">
        <v>34.53</v>
      </c>
      <c r="J27" s="94"/>
      <c r="K27" s="319">
        <f>4.436/0.3*0.6</f>
        <v>8.8719999999999999</v>
      </c>
      <c r="L27" s="319"/>
      <c r="M27" s="319"/>
      <c r="N27" s="319"/>
      <c r="O27" s="319"/>
      <c r="P27" s="319"/>
      <c r="Q27" s="319">
        <f>763.636/15*7</f>
        <v>356.36346666666668</v>
      </c>
      <c r="R27" s="319">
        <f>763.636/15*10.4</f>
        <v>529.45429333333334</v>
      </c>
      <c r="S27" s="319">
        <f>763.636/15*2.6</f>
        <v>132.36357333333333</v>
      </c>
      <c r="T27" s="319"/>
      <c r="U27" s="319"/>
      <c r="V27" s="319"/>
      <c r="W27" s="319">
        <f>10.182*2</f>
        <v>20.364000000000001</v>
      </c>
      <c r="X27" s="319"/>
      <c r="Y27" s="245">
        <v>1.018</v>
      </c>
      <c r="Z27" s="177"/>
      <c r="AA27" s="272"/>
      <c r="AB27" s="24"/>
      <c r="AC27" s="319">
        <v>1.5269999999999999</v>
      </c>
      <c r="AD27" s="319">
        <v>23.824999999999999</v>
      </c>
      <c r="AE27" s="319">
        <v>2.0310000000000001</v>
      </c>
      <c r="AF27" s="319"/>
      <c r="AG27" s="319">
        <v>4.4349999999999996</v>
      </c>
      <c r="AH27" s="177"/>
      <c r="AI27" s="177">
        <v>50.908999999999999</v>
      </c>
      <c r="AJ27" s="319"/>
      <c r="AK27" s="319"/>
      <c r="AL27" s="319"/>
      <c r="AM27" s="319"/>
      <c r="AN27" s="319"/>
      <c r="AO27" s="319"/>
      <c r="AP27" s="319"/>
      <c r="AQ27" s="319"/>
      <c r="AR27" s="319"/>
      <c r="AS27" s="319"/>
      <c r="AT27" s="319"/>
      <c r="AU27" s="319"/>
      <c r="AV27" s="319"/>
      <c r="AW27" s="319"/>
      <c r="AX27" s="319"/>
      <c r="AY27" s="319"/>
      <c r="AZ27" s="319"/>
      <c r="BA27" s="319"/>
      <c r="BB27" s="319"/>
      <c r="BC27" s="319">
        <f>4.643/2*2.4</f>
        <v>5.5715999999999992</v>
      </c>
      <c r="BD27" s="319"/>
      <c r="BE27" s="319"/>
      <c r="BF27" s="319"/>
      <c r="BG27" s="319">
        <f>19.702/1.5*0.4</f>
        <v>5.2538666666666671</v>
      </c>
      <c r="BH27" s="319"/>
      <c r="BI27" s="319"/>
      <c r="BJ27" s="319"/>
      <c r="BK27" s="319"/>
      <c r="BL27" s="319"/>
      <c r="BM27" s="319"/>
      <c r="BN27" s="319"/>
      <c r="BO27" s="319"/>
      <c r="BP27" s="319"/>
      <c r="BQ27" s="460"/>
      <c r="BR27" s="319"/>
      <c r="BS27" s="158">
        <f t="shared" si="10"/>
        <v>1141.9878000000001</v>
      </c>
      <c r="BT27" s="94"/>
      <c r="BU27" s="319"/>
      <c r="BV27" s="319"/>
      <c r="BW27" s="319"/>
      <c r="BX27" s="319">
        <f>39.404/3*1.5</f>
        <v>19.702000000000002</v>
      </c>
      <c r="BY27" s="319"/>
      <c r="BZ27" s="319"/>
      <c r="CA27" s="319"/>
      <c r="CB27" s="319">
        <v>28.591000000000001</v>
      </c>
      <c r="CC27" s="319">
        <v>4.0609999999999999</v>
      </c>
      <c r="CD27" s="319"/>
      <c r="CE27" s="319"/>
      <c r="CF27" s="319"/>
      <c r="CG27" s="319">
        <v>19.702000000000002</v>
      </c>
      <c r="CH27" s="319"/>
      <c r="CI27" s="319">
        <v>1.774</v>
      </c>
      <c r="CJ27" s="319"/>
      <c r="CK27" s="319"/>
      <c r="CL27" s="319"/>
      <c r="CM27" s="319"/>
      <c r="CN27" s="319"/>
      <c r="CO27" s="319"/>
      <c r="CP27" s="319"/>
      <c r="CQ27" s="319"/>
      <c r="CR27" s="319"/>
      <c r="CS27" s="319"/>
      <c r="CT27" s="319">
        <f>39.404/3*1.5</f>
        <v>19.702000000000002</v>
      </c>
      <c r="CU27" s="319"/>
      <c r="CV27" s="319"/>
      <c r="CW27" s="319">
        <v>1.018</v>
      </c>
      <c r="CX27" s="319"/>
      <c r="CY27" s="177"/>
      <c r="CZ27" s="32"/>
      <c r="DA27" s="32"/>
      <c r="DB27" s="319"/>
      <c r="DC27" s="319"/>
      <c r="DD27" s="319">
        <v>6.109</v>
      </c>
      <c r="DE27" s="319">
        <v>5.5709999999999997</v>
      </c>
      <c r="DF27" s="319"/>
      <c r="DG27" s="319"/>
      <c r="DH27" s="319"/>
      <c r="DI27" s="319"/>
      <c r="DJ27" s="319"/>
      <c r="DK27" s="319"/>
      <c r="DL27" s="319"/>
      <c r="DM27" s="319"/>
      <c r="DN27" s="319"/>
      <c r="DO27" s="319"/>
      <c r="DP27" s="319">
        <f>28.591/1.8*0.9</f>
        <v>14.295500000000001</v>
      </c>
      <c r="DQ27" s="319">
        <f>4.061/1.2*0.6</f>
        <v>2.0305</v>
      </c>
      <c r="DR27" s="319"/>
      <c r="DS27" s="319"/>
      <c r="DT27" s="419">
        <f t="shared" si="11"/>
        <v>122.55600000000001</v>
      </c>
      <c r="DU27" s="57"/>
      <c r="DV27" s="319"/>
      <c r="DW27" s="319"/>
      <c r="DX27" s="319"/>
      <c r="DY27" s="319"/>
      <c r="DZ27" s="319"/>
      <c r="EA27" s="319"/>
      <c r="EB27" s="319">
        <f>1018.182/20*10</f>
        <v>509.09100000000001</v>
      </c>
      <c r="EC27" s="319">
        <f>1018.182/20*10</f>
        <v>509.09100000000001</v>
      </c>
      <c r="ED27" s="319"/>
      <c r="EE27" s="319"/>
      <c r="EF27" s="319"/>
      <c r="EG27" s="177"/>
      <c r="EH27" s="177"/>
      <c r="EI27" s="177"/>
      <c r="EJ27" s="319"/>
      <c r="EK27" s="319">
        <f>4.061/1.2*0.6</f>
        <v>2.0305</v>
      </c>
      <c r="EL27" s="319">
        <f>28.591/1.8*0.9</f>
        <v>14.295500000000001</v>
      </c>
      <c r="EM27" s="319"/>
      <c r="EN27" s="319"/>
      <c r="EO27" s="319"/>
      <c r="EP27" s="319"/>
      <c r="EQ27" s="319">
        <v>4.4349999999999996</v>
      </c>
      <c r="ER27" s="319"/>
      <c r="ES27" s="319"/>
      <c r="ET27" s="319"/>
      <c r="EU27" s="319"/>
      <c r="EV27" s="319"/>
      <c r="EW27" s="319">
        <v>1.5269999999999999</v>
      </c>
      <c r="EX27" s="319"/>
      <c r="EY27" s="319"/>
      <c r="EZ27" s="319"/>
      <c r="FA27" s="319"/>
      <c r="FB27" s="319">
        <v>2.036</v>
      </c>
      <c r="FC27" s="319"/>
      <c r="FD27" s="319"/>
      <c r="FE27" s="319"/>
      <c r="FF27" s="319"/>
      <c r="FG27" s="319"/>
      <c r="FH27" s="319">
        <v>3.9460000000000002</v>
      </c>
      <c r="FI27" s="319"/>
      <c r="FJ27" s="319"/>
      <c r="FK27" s="319"/>
      <c r="FL27" s="319"/>
      <c r="FM27" s="319"/>
      <c r="FN27" s="319">
        <v>1.018</v>
      </c>
      <c r="FO27" s="319">
        <v>5.2539999999999996</v>
      </c>
      <c r="FP27" s="319"/>
      <c r="FQ27" s="319"/>
      <c r="FR27" s="319"/>
      <c r="FS27" s="319"/>
      <c r="FT27" s="319"/>
      <c r="FU27" s="319"/>
      <c r="FV27" s="319">
        <f>28.591/1.8*0.5</f>
        <v>7.9419444444444443</v>
      </c>
      <c r="FW27" s="319"/>
      <c r="FX27" s="319"/>
      <c r="FY27" s="319"/>
      <c r="FZ27" s="319"/>
      <c r="GA27" s="158">
        <f t="shared" si="12"/>
        <v>1060.6659444444444</v>
      </c>
      <c r="GB27" s="95"/>
      <c r="GC27" s="374"/>
      <c r="GD27" s="319"/>
      <c r="GE27" s="319"/>
      <c r="GF27" s="319"/>
      <c r="GG27" s="319"/>
      <c r="GH27" s="319"/>
      <c r="GI27" s="319"/>
      <c r="GJ27" s="319"/>
      <c r="GK27" s="319"/>
      <c r="GL27" s="319"/>
      <c r="GM27" s="319"/>
      <c r="GN27" s="319"/>
      <c r="GO27" s="319"/>
      <c r="GP27" s="319"/>
      <c r="GQ27" s="28"/>
      <c r="GR27" s="270"/>
      <c r="GS27" s="177"/>
      <c r="GT27" s="177"/>
      <c r="GU27" s="741"/>
      <c r="GV27" s="435"/>
      <c r="GW27" s="327">
        <f t="shared" si="13"/>
        <v>0</v>
      </c>
      <c r="GX27" s="558">
        <f t="shared" si="14"/>
        <v>34.53</v>
      </c>
      <c r="GY27" s="605">
        <f t="shared" si="15"/>
        <v>34.53</v>
      </c>
      <c r="GZ27" s="627">
        <f>'2_квартал'!G22</f>
        <v>115.11499999999999</v>
      </c>
      <c r="HA27" s="239">
        <f t="shared" si="16"/>
        <v>122.55000000000001</v>
      </c>
      <c r="HB27" s="36" t="str">
        <f t="shared" si="17"/>
        <v>сера</v>
      </c>
      <c r="HC27" s="664"/>
      <c r="HD27" s="22"/>
      <c r="HE27" s="22"/>
    </row>
    <row r="28" spans="1:213" ht="15.9" customHeight="1" x14ac:dyDescent="0.3">
      <c r="A28" s="127">
        <f t="shared" si="18"/>
        <v>17</v>
      </c>
      <c r="B28" s="688" t="s">
        <v>12</v>
      </c>
      <c r="C28" s="565">
        <f>'2_квартал'!G23</f>
        <v>69.614999999999995</v>
      </c>
      <c r="D28" s="346">
        <f>55.7+103.9</f>
        <v>159.60000000000002</v>
      </c>
      <c r="E28" s="241">
        <v>13.14</v>
      </c>
      <c r="F28" s="572">
        <v>112.99</v>
      </c>
      <c r="G28" s="299">
        <f t="shared" si="8"/>
        <v>95.242999999999995</v>
      </c>
      <c r="H28" s="93">
        <v>182.96</v>
      </c>
      <c r="I28" s="93">
        <v>69.97</v>
      </c>
      <c r="J28" s="94"/>
      <c r="K28" s="319"/>
      <c r="L28" s="319"/>
      <c r="M28" s="319"/>
      <c r="N28" s="319"/>
      <c r="O28" s="319"/>
      <c r="P28" s="319"/>
      <c r="Q28" s="319">
        <f>50.4/15*7</f>
        <v>23.52</v>
      </c>
      <c r="R28" s="319">
        <f>50.4/15*10.4</f>
        <v>34.944000000000003</v>
      </c>
      <c r="S28" s="319">
        <f>50.4/15*2.6</f>
        <v>8.7360000000000007</v>
      </c>
      <c r="T28" s="319"/>
      <c r="U28" s="319"/>
      <c r="V28" s="319"/>
      <c r="W28" s="319">
        <f>10.08*2</f>
        <v>20.16</v>
      </c>
      <c r="X28" s="319"/>
      <c r="Y28" s="245">
        <v>1.008</v>
      </c>
      <c r="Z28" s="177">
        <v>1.3440000000000001</v>
      </c>
      <c r="AA28" s="272">
        <v>16.8</v>
      </c>
      <c r="AB28" s="24"/>
      <c r="AC28" s="319">
        <v>0.60499999999999998</v>
      </c>
      <c r="AD28" s="319"/>
      <c r="AE28" s="319"/>
      <c r="AF28" s="319"/>
      <c r="AG28" s="319"/>
      <c r="AH28" s="177">
        <v>0.224</v>
      </c>
      <c r="AI28" s="177">
        <v>50.4</v>
      </c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>
        <f>1.344/2*2.4</f>
        <v>1.6128</v>
      </c>
      <c r="BD28" s="319"/>
      <c r="BE28" s="319"/>
      <c r="BF28" s="319"/>
      <c r="BG28" s="319"/>
      <c r="BH28" s="319">
        <f>0.224*0.6</f>
        <v>0.13439999999999999</v>
      </c>
      <c r="BI28" s="319">
        <f>0.224*0.6</f>
        <v>0.13439999999999999</v>
      </c>
      <c r="BJ28" s="319"/>
      <c r="BK28" s="319"/>
      <c r="BL28" s="319"/>
      <c r="BM28" s="319"/>
      <c r="BN28" s="319"/>
      <c r="BO28" s="319"/>
      <c r="BP28" s="319"/>
      <c r="BQ28" s="460"/>
      <c r="BR28" s="319"/>
      <c r="BS28" s="158">
        <f t="shared" si="10"/>
        <v>159.62259999999998</v>
      </c>
      <c r="BT28" s="94"/>
      <c r="BU28" s="319"/>
      <c r="BV28" s="319"/>
      <c r="BW28" s="319">
        <f>0.672/3*1.5</f>
        <v>0.33600000000000002</v>
      </c>
      <c r="BX28" s="319"/>
      <c r="BY28" s="319">
        <f>0.896/4*2</f>
        <v>0.44800000000000001</v>
      </c>
      <c r="BZ28" s="319"/>
      <c r="CA28" s="319"/>
      <c r="CB28" s="319"/>
      <c r="CC28" s="319"/>
      <c r="CD28" s="319"/>
      <c r="CE28" s="319"/>
      <c r="CF28" s="319">
        <v>0.246</v>
      </c>
      <c r="CG28" s="319"/>
      <c r="CH28" s="319">
        <v>0.09</v>
      </c>
      <c r="CI28" s="319"/>
      <c r="CJ28" s="319"/>
      <c r="CK28" s="319"/>
      <c r="CL28" s="319"/>
      <c r="CM28" s="319"/>
      <c r="CN28" s="319"/>
      <c r="CO28" s="319"/>
      <c r="CP28" s="319"/>
      <c r="CQ28" s="319"/>
      <c r="CR28" s="319"/>
      <c r="CS28" s="319"/>
      <c r="CT28" s="319"/>
      <c r="CU28" s="319">
        <f>0.672/3*1.5</f>
        <v>0.33600000000000002</v>
      </c>
      <c r="CV28" s="319">
        <f>0.896/4*2</f>
        <v>0.44800000000000001</v>
      </c>
      <c r="CW28" s="319">
        <v>1.008</v>
      </c>
      <c r="CX28" s="319"/>
      <c r="CY28" s="177">
        <v>6.5789999999999997</v>
      </c>
      <c r="CZ28" s="32"/>
      <c r="DA28" s="32"/>
      <c r="DB28" s="319"/>
      <c r="DC28" s="319"/>
      <c r="DD28" s="319">
        <v>2.016</v>
      </c>
      <c r="DE28" s="319">
        <v>1.613</v>
      </c>
      <c r="DF28" s="319"/>
      <c r="DG28" s="319"/>
      <c r="DH28" s="319"/>
      <c r="DI28" s="319"/>
      <c r="DJ28" s="319"/>
      <c r="DK28" s="319"/>
      <c r="DL28" s="319"/>
      <c r="DM28" s="319"/>
      <c r="DN28" s="319"/>
      <c r="DO28" s="319"/>
      <c r="DP28" s="319"/>
      <c r="DQ28" s="319"/>
      <c r="DR28" s="319"/>
      <c r="DS28" s="319"/>
      <c r="DT28" s="419">
        <f t="shared" si="11"/>
        <v>13.12</v>
      </c>
      <c r="DU28" s="57"/>
      <c r="DV28" s="319"/>
      <c r="DW28" s="319"/>
      <c r="DX28" s="319"/>
      <c r="DY28" s="319"/>
      <c r="DZ28" s="319"/>
      <c r="EA28" s="319"/>
      <c r="EB28" s="319">
        <f>67.2/20*10</f>
        <v>33.6</v>
      </c>
      <c r="EC28" s="319">
        <f>67.2/20*10</f>
        <v>33.6</v>
      </c>
      <c r="ED28" s="319"/>
      <c r="EE28" s="319"/>
      <c r="EF28" s="319"/>
      <c r="EG28" s="177">
        <v>1.792</v>
      </c>
      <c r="EH28" s="177">
        <f>40.32/12*8</f>
        <v>26.88</v>
      </c>
      <c r="EI28" s="177">
        <f>40.32/12*4</f>
        <v>13.44</v>
      </c>
      <c r="EJ28" s="319"/>
      <c r="EK28" s="319"/>
      <c r="EL28" s="319"/>
      <c r="EM28" s="319"/>
      <c r="EN28" s="319"/>
      <c r="EO28" s="319"/>
      <c r="EP28" s="319"/>
      <c r="EQ28" s="319"/>
      <c r="ER28" s="319"/>
      <c r="ES28" s="319"/>
      <c r="ET28" s="319"/>
      <c r="EU28" s="319"/>
      <c r="EV28" s="319"/>
      <c r="EW28" s="319">
        <v>0.60499999999999998</v>
      </c>
      <c r="EX28" s="319"/>
      <c r="EY28" s="319"/>
      <c r="EZ28" s="319"/>
      <c r="FA28" s="319"/>
      <c r="FB28" s="319">
        <v>0.67200000000000004</v>
      </c>
      <c r="FC28" s="319"/>
      <c r="FD28" s="319"/>
      <c r="FE28" s="319"/>
      <c r="FF28" s="319"/>
      <c r="FG28" s="319"/>
      <c r="FH28" s="319">
        <v>1.1419999999999999</v>
      </c>
      <c r="FI28" s="319"/>
      <c r="FJ28" s="319"/>
      <c r="FK28" s="319"/>
      <c r="FL28" s="319"/>
      <c r="FM28" s="319"/>
      <c r="FN28" s="319">
        <v>1.008</v>
      </c>
      <c r="FO28" s="319"/>
      <c r="FP28" s="319">
        <v>0.13400000000000001</v>
      </c>
      <c r="FQ28" s="319">
        <v>0.13400000000000001</v>
      </c>
      <c r="FR28" s="319"/>
      <c r="FS28" s="319"/>
      <c r="FT28" s="319"/>
      <c r="FU28" s="319"/>
      <c r="FV28" s="319"/>
      <c r="FW28" s="319"/>
      <c r="FX28" s="319"/>
      <c r="FY28" s="319"/>
      <c r="FZ28" s="319"/>
      <c r="GA28" s="158">
        <f t="shared" si="12"/>
        <v>113.00699999999999</v>
      </c>
      <c r="GB28" s="95"/>
      <c r="GC28" s="374"/>
      <c r="GD28" s="319"/>
      <c r="GE28" s="319"/>
      <c r="GF28" s="319"/>
      <c r="GG28" s="319"/>
      <c r="GH28" s="319"/>
      <c r="GI28" s="319"/>
      <c r="GJ28" s="319"/>
      <c r="GK28" s="319"/>
      <c r="GL28" s="319"/>
      <c r="GM28" s="319"/>
      <c r="GN28" s="319"/>
      <c r="GO28" s="319"/>
      <c r="GP28" s="319"/>
      <c r="GQ28" s="28"/>
      <c r="GR28" s="270"/>
      <c r="GS28" s="177"/>
      <c r="GT28" s="177"/>
      <c r="GU28" s="741"/>
      <c r="GV28" s="435"/>
      <c r="GW28" s="327">
        <f t="shared" si="13"/>
        <v>0</v>
      </c>
      <c r="GX28" s="558">
        <f t="shared" si="14"/>
        <v>69.97</v>
      </c>
      <c r="GY28" s="605">
        <f t="shared" si="15"/>
        <v>69.97</v>
      </c>
      <c r="GZ28" s="627">
        <f>'2_квартал'!G23</f>
        <v>69.614999999999995</v>
      </c>
      <c r="HA28" s="239">
        <f t="shared" si="16"/>
        <v>13.14</v>
      </c>
      <c r="HB28" s="36" t="str">
        <f t="shared" si="17"/>
        <v>сульфат железа</v>
      </c>
      <c r="HC28" s="664"/>
      <c r="HD28" s="22"/>
      <c r="HE28" s="22"/>
    </row>
    <row r="29" spans="1:213" ht="15.9" customHeight="1" x14ac:dyDescent="0.3">
      <c r="A29" s="127">
        <f t="shared" si="18"/>
        <v>18</v>
      </c>
      <c r="B29" s="688" t="s">
        <v>9</v>
      </c>
      <c r="C29" s="565">
        <f>'2_квартал'!G24</f>
        <v>195.5</v>
      </c>
      <c r="D29" s="346">
        <v>252.53</v>
      </c>
      <c r="E29" s="241">
        <v>83.64</v>
      </c>
      <c r="F29" s="572">
        <v>199.26</v>
      </c>
      <c r="G29" s="299">
        <f t="shared" si="8"/>
        <v>178.477</v>
      </c>
      <c r="H29" s="93">
        <v>621.31200000000001</v>
      </c>
      <c r="I29" s="93">
        <v>422.05200000000002</v>
      </c>
      <c r="J29" s="94"/>
      <c r="K29" s="319"/>
      <c r="L29" s="319"/>
      <c r="M29" s="319"/>
      <c r="N29" s="319"/>
      <c r="O29" s="319">
        <v>27.619</v>
      </c>
      <c r="P29" s="319">
        <v>1.21</v>
      </c>
      <c r="Q29" s="319">
        <f>84.672/15*7</f>
        <v>39.513599999999997</v>
      </c>
      <c r="R29" s="319">
        <f>84.672/15*10.4</f>
        <v>58.705919999999999</v>
      </c>
      <c r="S29" s="319">
        <f>84.672/15*2.6</f>
        <v>14.67648</v>
      </c>
      <c r="T29" s="319"/>
      <c r="U29" s="319"/>
      <c r="V29" s="319"/>
      <c r="W29" s="319">
        <f>2.016*2</f>
        <v>4.032</v>
      </c>
      <c r="X29" s="319"/>
      <c r="Y29" s="245">
        <v>0.20200000000000001</v>
      </c>
      <c r="Z29" s="177"/>
      <c r="AA29" s="272"/>
      <c r="AB29" s="24"/>
      <c r="AC29" s="319">
        <v>9.7000000000000003E-2</v>
      </c>
      <c r="AD29" s="319"/>
      <c r="AE29" s="319"/>
      <c r="AF29" s="319">
        <v>4.798</v>
      </c>
      <c r="AG29" s="319"/>
      <c r="AH29" s="177"/>
      <c r="AI29" s="177">
        <v>10.08</v>
      </c>
      <c r="AJ29" s="319">
        <f>0.968*0.8</f>
        <v>0.77439999999999998</v>
      </c>
      <c r="AK29" s="319"/>
      <c r="AL29" s="319"/>
      <c r="AM29" s="319"/>
      <c r="AN29" s="319">
        <f>1.411*0.9</f>
        <v>1.2699</v>
      </c>
      <c r="AO29" s="319">
        <v>55.238</v>
      </c>
      <c r="AP29" s="319"/>
      <c r="AQ29" s="319"/>
      <c r="AR29" s="319"/>
      <c r="AS29" s="319">
        <f>1.411*3</f>
        <v>4.2330000000000005</v>
      </c>
      <c r="AT29" s="319"/>
      <c r="AU29" s="319">
        <v>1.21</v>
      </c>
      <c r="AV29" s="319"/>
      <c r="AW29" s="319"/>
      <c r="AX29" s="319"/>
      <c r="AY29" s="319"/>
      <c r="AZ29" s="319"/>
      <c r="BA29" s="319">
        <v>4.3550000000000004</v>
      </c>
      <c r="BB29" s="319"/>
      <c r="BC29" s="319">
        <f>0.242/2*2.4</f>
        <v>0.29039999999999999</v>
      </c>
      <c r="BD29" s="319">
        <f>0.968*2</f>
        <v>1.9359999999999999</v>
      </c>
      <c r="BE29" s="319"/>
      <c r="BF29" s="319"/>
      <c r="BG29" s="319"/>
      <c r="BH29" s="319"/>
      <c r="BI29" s="319"/>
      <c r="BJ29" s="319"/>
      <c r="BK29" s="319"/>
      <c r="BL29" s="319">
        <f>4.435*3.5</f>
        <v>15.522499999999999</v>
      </c>
      <c r="BM29" s="319">
        <v>6.774</v>
      </c>
      <c r="BN29" s="319"/>
      <c r="BO29" s="319"/>
      <c r="BP29" s="319"/>
      <c r="BQ29" s="460"/>
      <c r="BR29" s="319"/>
      <c r="BS29" s="158">
        <f t="shared" si="10"/>
        <v>252.53720000000007</v>
      </c>
      <c r="BT29" s="94"/>
      <c r="BU29" s="319"/>
      <c r="BV29" s="319"/>
      <c r="BW29" s="319">
        <f>0.565/3*1.5</f>
        <v>0.28249999999999997</v>
      </c>
      <c r="BX29" s="319"/>
      <c r="BY29" s="319">
        <f>0.753/4*2</f>
        <v>0.3765</v>
      </c>
      <c r="BZ29" s="319"/>
      <c r="CA29" s="319">
        <v>4.798</v>
      </c>
      <c r="CB29" s="319"/>
      <c r="CC29" s="319"/>
      <c r="CD29" s="319"/>
      <c r="CE29" s="319"/>
      <c r="CF29" s="319">
        <v>0.20699999999999999</v>
      </c>
      <c r="CG29" s="319"/>
      <c r="CH29" s="319">
        <v>7.4999999999999997E-2</v>
      </c>
      <c r="CI29" s="319"/>
      <c r="CJ29" s="319">
        <f>4.435*6</f>
        <v>26.61</v>
      </c>
      <c r="CK29" s="319"/>
      <c r="CL29" s="319"/>
      <c r="CM29" s="319"/>
      <c r="CN29" s="319">
        <v>1.21</v>
      </c>
      <c r="CO29" s="319">
        <f>10.08/5*3</f>
        <v>6.048</v>
      </c>
      <c r="CP29" s="319">
        <f>10.08/5*2</f>
        <v>4.032</v>
      </c>
      <c r="CQ29" s="319"/>
      <c r="CR29" s="319">
        <f>1.411*0.9</f>
        <v>1.2699</v>
      </c>
      <c r="CS29" s="319"/>
      <c r="CT29" s="319"/>
      <c r="CU29" s="319">
        <f>0.565/3*1.5</f>
        <v>0.28249999999999997</v>
      </c>
      <c r="CV29" s="319">
        <f>0.753/4*2</f>
        <v>0.3765</v>
      </c>
      <c r="CW29" s="319">
        <v>0.20200000000000001</v>
      </c>
      <c r="CX29" s="319">
        <f>4.435*4.2</f>
        <v>18.626999999999999</v>
      </c>
      <c r="CY29" s="177">
        <v>0.69699999999999995</v>
      </c>
      <c r="CZ29" s="32">
        <v>1.21</v>
      </c>
      <c r="DA29" s="32">
        <v>0.96799999999999997</v>
      </c>
      <c r="DB29" s="319"/>
      <c r="DC29" s="319"/>
      <c r="DD29" s="319"/>
      <c r="DE29" s="319">
        <v>0.28999999999999998</v>
      </c>
      <c r="DF29" s="319"/>
      <c r="DG29" s="319"/>
      <c r="DH29" s="319"/>
      <c r="DI29" s="319"/>
      <c r="DJ29" s="319">
        <f>1.21*2.5</f>
        <v>3.0249999999999999</v>
      </c>
      <c r="DK29" s="319">
        <f>1.411*1.5</f>
        <v>2.1165000000000003</v>
      </c>
      <c r="DL29" s="319">
        <f>1.411</f>
        <v>1.411</v>
      </c>
      <c r="DM29" s="319"/>
      <c r="DN29" s="319"/>
      <c r="DO29" s="319">
        <f>5.484/0.8*0.4</f>
        <v>2.742</v>
      </c>
      <c r="DP29" s="319"/>
      <c r="DQ29" s="319"/>
      <c r="DR29" s="319"/>
      <c r="DS29" s="319">
        <v>6.774</v>
      </c>
      <c r="DT29" s="419">
        <f t="shared" si="11"/>
        <v>83.630400000000009</v>
      </c>
      <c r="DU29" s="57"/>
      <c r="DV29" s="319"/>
      <c r="DW29" s="319"/>
      <c r="DX29" s="319">
        <v>4.3550000000000004</v>
      </c>
      <c r="DY29" s="319">
        <f>1.21*1.5</f>
        <v>1.8149999999999999</v>
      </c>
      <c r="DZ29" s="319"/>
      <c r="EA29" s="319"/>
      <c r="EB29" s="319">
        <f>112.896/20*10</f>
        <v>56.448</v>
      </c>
      <c r="EC29" s="319">
        <f>112.896/20*10</f>
        <v>56.448</v>
      </c>
      <c r="ED29" s="319"/>
      <c r="EE29" s="319">
        <v>1.21</v>
      </c>
      <c r="EF29" s="319">
        <f>0.968*1.5</f>
        <v>1.452</v>
      </c>
      <c r="EG29" s="177"/>
      <c r="EH29" s="177"/>
      <c r="EI29" s="177"/>
      <c r="EJ29" s="319">
        <f>5.484/0.8*0.4</f>
        <v>2.742</v>
      </c>
      <c r="EK29" s="319"/>
      <c r="EL29" s="319"/>
      <c r="EM29" s="319">
        <f>4.435</f>
        <v>4.4349999999999996</v>
      </c>
      <c r="EN29" s="319">
        <f>1.21*2</f>
        <v>2.42</v>
      </c>
      <c r="EO29" s="319">
        <f>0.968</f>
        <v>0.96799999999999997</v>
      </c>
      <c r="EP29" s="319"/>
      <c r="EQ29" s="319"/>
      <c r="ER29" s="319">
        <f>1.21*2.5</f>
        <v>3.0249999999999999</v>
      </c>
      <c r="ES29" s="319"/>
      <c r="ET29" s="319">
        <v>1.452</v>
      </c>
      <c r="EU29" s="319">
        <f>4.435*4</f>
        <v>17.739999999999998</v>
      </c>
      <c r="EV29" s="319"/>
      <c r="EW29" s="319">
        <v>9.7000000000000003E-2</v>
      </c>
      <c r="EX29" s="319"/>
      <c r="EY29" s="319">
        <f>26.611/6*3</f>
        <v>13.305499999999999</v>
      </c>
      <c r="EZ29" s="319"/>
      <c r="FA29" s="319"/>
      <c r="FB29" s="319"/>
      <c r="FC29" s="319">
        <f>4.435*1.5</f>
        <v>6.6524999999999999</v>
      </c>
      <c r="FD29" s="319"/>
      <c r="FE29" s="319"/>
      <c r="FF29" s="319">
        <f>4.435*0.3</f>
        <v>1.3304999999999998</v>
      </c>
      <c r="FG29" s="319"/>
      <c r="FH29" s="319">
        <v>0.20599999999999999</v>
      </c>
      <c r="FI29" s="319">
        <v>4.234</v>
      </c>
      <c r="FJ29" s="319"/>
      <c r="FK29" s="319"/>
      <c r="FL29" s="319"/>
      <c r="FM29" s="319">
        <v>10.08</v>
      </c>
      <c r="FN29" s="319">
        <v>0.20200000000000001</v>
      </c>
      <c r="FO29" s="319"/>
      <c r="FP29" s="319">
        <v>0.113</v>
      </c>
      <c r="FQ29" s="319">
        <v>0.113</v>
      </c>
      <c r="FR29" s="319"/>
      <c r="FS29" s="319"/>
      <c r="FT29" s="319">
        <f>4.435*1.9</f>
        <v>8.426499999999999</v>
      </c>
      <c r="FU29" s="319"/>
      <c r="FV29" s="319"/>
      <c r="FW29" s="319"/>
      <c r="FX29" s="319"/>
      <c r="FY29" s="319"/>
      <c r="FZ29" s="319"/>
      <c r="GA29" s="158">
        <f t="shared" si="12"/>
        <v>199.27</v>
      </c>
      <c r="GB29" s="95"/>
      <c r="GC29" s="374"/>
      <c r="GD29" s="319"/>
      <c r="GE29" s="319"/>
      <c r="GF29" s="319"/>
      <c r="GG29" s="319"/>
      <c r="GH29" s="319"/>
      <c r="GI29" s="319"/>
      <c r="GJ29" s="319"/>
      <c r="GK29" s="319"/>
      <c r="GL29" s="319"/>
      <c r="GM29" s="319"/>
      <c r="GN29" s="319"/>
      <c r="GO29" s="319"/>
      <c r="GP29" s="319"/>
      <c r="GQ29" s="28"/>
      <c r="GR29" s="270"/>
      <c r="GS29" s="177"/>
      <c r="GT29" s="177"/>
      <c r="GU29" s="741"/>
      <c r="GV29" s="435"/>
      <c r="GW29" s="327">
        <f t="shared" si="13"/>
        <v>0</v>
      </c>
      <c r="GX29" s="445">
        <f t="shared" si="14"/>
        <v>422.05200000000002</v>
      </c>
      <c r="GY29" s="605">
        <f t="shared" si="15"/>
        <v>422.05200000000002</v>
      </c>
      <c r="GZ29" s="627">
        <f>'2_квартал'!G24</f>
        <v>195.5</v>
      </c>
      <c r="HA29" s="239">
        <f t="shared" si="16"/>
        <v>83.64</v>
      </c>
      <c r="HB29" s="36" t="str">
        <f t="shared" si="17"/>
        <v>медный купорос</v>
      </c>
      <c r="HC29" s="664"/>
      <c r="HD29" s="22"/>
      <c r="HE29" s="22"/>
    </row>
    <row r="30" spans="1:213" ht="15.9" customHeight="1" x14ac:dyDescent="0.3">
      <c r="A30" s="127">
        <f t="shared" si="18"/>
        <v>19</v>
      </c>
      <c r="B30" s="689" t="s">
        <v>48</v>
      </c>
      <c r="C30" s="565">
        <f>'2_квартал'!G25</f>
        <v>779.375</v>
      </c>
      <c r="D30" s="346">
        <f>599.47+803.86</f>
        <v>1403.33</v>
      </c>
      <c r="E30" s="241">
        <v>292.7</v>
      </c>
      <c r="F30" s="572">
        <f>703.44+304.89</f>
        <v>1008.33</v>
      </c>
      <c r="G30" s="299">
        <f t="shared" si="8"/>
        <v>901.45299999999997</v>
      </c>
      <c r="H30" s="93">
        <f>703.44+2000</f>
        <v>2703.44</v>
      </c>
      <c r="I30" s="93">
        <v>1695.11</v>
      </c>
      <c r="J30" s="94"/>
      <c r="K30" s="319"/>
      <c r="L30" s="319"/>
      <c r="M30" s="319"/>
      <c r="N30" s="319"/>
      <c r="O30" s="319">
        <v>176.00200000000001</v>
      </c>
      <c r="P30" s="319">
        <v>1.2729999999999999</v>
      </c>
      <c r="Q30" s="319">
        <f>477.474/15*7</f>
        <v>222.82119999999998</v>
      </c>
      <c r="R30" s="319">
        <f>477.474/15*10.4</f>
        <v>331.04863999999998</v>
      </c>
      <c r="S30" s="319">
        <f>477.474/15*2.6</f>
        <v>82.762159999999994</v>
      </c>
      <c r="T30" s="319"/>
      <c r="U30" s="319"/>
      <c r="V30" s="319"/>
      <c r="W30" s="319">
        <f>6.632*2</f>
        <v>13.263999999999999</v>
      </c>
      <c r="X30" s="319"/>
      <c r="Y30" s="245">
        <v>0.66300000000000003</v>
      </c>
      <c r="Z30" s="177"/>
      <c r="AA30" s="272"/>
      <c r="AB30" s="24"/>
      <c r="AC30" s="319">
        <v>0.159</v>
      </c>
      <c r="AD30" s="319"/>
      <c r="AE30" s="319"/>
      <c r="AF30" s="319">
        <v>17.64</v>
      </c>
      <c r="AG30" s="319"/>
      <c r="AH30" s="177"/>
      <c r="AI30" s="177">
        <v>33.158000000000001</v>
      </c>
      <c r="AJ30" s="319">
        <f>2.916*0.8</f>
        <v>2.3328000000000002</v>
      </c>
      <c r="AK30" s="319"/>
      <c r="AL30" s="319"/>
      <c r="AM30" s="319"/>
      <c r="AN30" s="319">
        <f>3.316*0.9</f>
        <v>2.9843999999999999</v>
      </c>
      <c r="AO30" s="319">
        <v>352.00400000000002</v>
      </c>
      <c r="AP30" s="319">
        <f>10.611*5</f>
        <v>53.055000000000007</v>
      </c>
      <c r="AQ30" s="319"/>
      <c r="AR30" s="319"/>
      <c r="AS30" s="319">
        <f>3.316*3</f>
        <v>9.9480000000000004</v>
      </c>
      <c r="AT30" s="319"/>
      <c r="AU30" s="319">
        <v>2.7850000000000001</v>
      </c>
      <c r="AV30" s="319"/>
      <c r="AW30" s="319"/>
      <c r="AX30" s="319"/>
      <c r="AY30" s="319"/>
      <c r="AZ30" s="319"/>
      <c r="BA30" s="319">
        <v>5.73</v>
      </c>
      <c r="BB30" s="319"/>
      <c r="BC30" s="319">
        <f>3.714/2*2.4</f>
        <v>4.4567999999999994</v>
      </c>
      <c r="BD30" s="319">
        <f>2.918*2</f>
        <v>5.8360000000000003</v>
      </c>
      <c r="BE30" s="319"/>
      <c r="BF30" s="319"/>
      <c r="BG30" s="319"/>
      <c r="BH30" s="319"/>
      <c r="BI30" s="319"/>
      <c r="BJ30" s="319"/>
      <c r="BK30" s="319"/>
      <c r="BL30" s="319">
        <f>18.568*3.5</f>
        <v>64.988</v>
      </c>
      <c r="BM30" s="319">
        <v>20.425000000000001</v>
      </c>
      <c r="BN30" s="319"/>
      <c r="BO30" s="319"/>
      <c r="BP30" s="319"/>
      <c r="BQ30" s="460"/>
      <c r="BR30" s="319"/>
      <c r="BS30" s="158">
        <f t="shared" si="10"/>
        <v>1403.3360000000002</v>
      </c>
      <c r="BT30" s="94"/>
      <c r="BU30" s="319"/>
      <c r="BV30" s="319"/>
      <c r="BW30" s="319">
        <f>3.183/3*1.5</f>
        <v>1.5914999999999999</v>
      </c>
      <c r="BX30" s="319"/>
      <c r="BY30" s="319">
        <f>4.244/4*2</f>
        <v>2.1219999999999999</v>
      </c>
      <c r="BZ30" s="319"/>
      <c r="CA30" s="319">
        <v>17.64</v>
      </c>
      <c r="CB30" s="319"/>
      <c r="CC30" s="319"/>
      <c r="CD30" s="319"/>
      <c r="CE30" s="319"/>
      <c r="CF30" s="319">
        <v>1.167</v>
      </c>
      <c r="CG30" s="319"/>
      <c r="CH30" s="319">
        <v>0.42399999999999999</v>
      </c>
      <c r="CI30" s="319"/>
      <c r="CJ30" s="319">
        <f>18.568*6</f>
        <v>111.40800000000002</v>
      </c>
      <c r="CK30" s="319"/>
      <c r="CL30" s="319"/>
      <c r="CM30" s="319"/>
      <c r="CN30" s="319">
        <v>1.2729999999999999</v>
      </c>
      <c r="CO30" s="319">
        <f>9.947/5*3</f>
        <v>5.9681999999999995</v>
      </c>
      <c r="CP30" s="319">
        <f>9.947/5*2</f>
        <v>3.9787999999999997</v>
      </c>
      <c r="CQ30" s="319"/>
      <c r="CR30" s="319">
        <f>3.316*0.9</f>
        <v>2.9843999999999999</v>
      </c>
      <c r="CS30" s="319"/>
      <c r="CT30" s="319"/>
      <c r="CU30" s="319">
        <f>3.183/3*1.5</f>
        <v>1.5914999999999999</v>
      </c>
      <c r="CV30" s="319">
        <f>4.244/4*2</f>
        <v>2.1219999999999999</v>
      </c>
      <c r="CW30" s="319">
        <v>0.66300000000000003</v>
      </c>
      <c r="CX30" s="319">
        <f>18.568*4.2</f>
        <v>77.985600000000005</v>
      </c>
      <c r="CY30" s="177">
        <v>7.3819999999999997</v>
      </c>
      <c r="CZ30" s="32">
        <v>1.2729999999999999</v>
      </c>
      <c r="DA30" s="32">
        <v>2.9180000000000001</v>
      </c>
      <c r="DB30" s="319"/>
      <c r="DC30" s="319"/>
      <c r="DD30" s="319"/>
      <c r="DE30" s="319">
        <v>4.4560000000000004</v>
      </c>
      <c r="DF30" s="319"/>
      <c r="DG30" s="319"/>
      <c r="DH30" s="319"/>
      <c r="DI30" s="319"/>
      <c r="DJ30" s="319">
        <f>2.785*2.5</f>
        <v>6.9625000000000004</v>
      </c>
      <c r="DK30" s="319">
        <f>3.316*1.5</f>
        <v>4.9740000000000002</v>
      </c>
      <c r="DL30" s="319">
        <f>3.316</f>
        <v>3.3159999999999998</v>
      </c>
      <c r="DM30" s="319"/>
      <c r="DN30" s="319"/>
      <c r="DO30" s="319">
        <f>20.16/0.8*0.4</f>
        <v>10.08</v>
      </c>
      <c r="DP30" s="319"/>
      <c r="DQ30" s="319"/>
      <c r="DR30" s="319"/>
      <c r="DS30" s="319">
        <v>20.425000000000001</v>
      </c>
      <c r="DT30" s="419">
        <f t="shared" si="11"/>
        <v>292.70549999999997</v>
      </c>
      <c r="DU30" s="57"/>
      <c r="DV30" s="319"/>
      <c r="DW30" s="319"/>
      <c r="DX30" s="319">
        <v>5.73</v>
      </c>
      <c r="DY30" s="319">
        <f>1.273*1.5</f>
        <v>1.9095</v>
      </c>
      <c r="DZ30" s="319">
        <f>10.611*3</f>
        <v>31.833000000000002</v>
      </c>
      <c r="EA30" s="319"/>
      <c r="EB30" s="319">
        <f>636.632/20*10</f>
        <v>318.31599999999997</v>
      </c>
      <c r="EC30" s="319">
        <f>636.632/20*10</f>
        <v>318.31599999999997</v>
      </c>
      <c r="ED30" s="319"/>
      <c r="EE30" s="319">
        <v>1.2729999999999999</v>
      </c>
      <c r="EF30" s="319">
        <f>2.918*1.5</f>
        <v>4.3770000000000007</v>
      </c>
      <c r="EG30" s="177"/>
      <c r="EH30" s="177"/>
      <c r="EI30" s="177"/>
      <c r="EJ30" s="319">
        <f>20.16/0.8*0.4</f>
        <v>10.08</v>
      </c>
      <c r="EK30" s="319"/>
      <c r="EL30" s="319"/>
      <c r="EM30" s="319">
        <f>19.07</f>
        <v>19.07</v>
      </c>
      <c r="EN30" s="319">
        <f>1.308*2</f>
        <v>2.6160000000000001</v>
      </c>
      <c r="EO30" s="319">
        <v>2.9969999999999999</v>
      </c>
      <c r="EP30" s="319"/>
      <c r="EQ30" s="319"/>
      <c r="ER30" s="319">
        <f>1.273*2.5</f>
        <v>3.1824999999999997</v>
      </c>
      <c r="ES30" s="319"/>
      <c r="ET30" s="319">
        <v>4.4950000000000001</v>
      </c>
      <c r="EU30" s="319">
        <f>19.07*4</f>
        <v>76.28</v>
      </c>
      <c r="EV30" s="319"/>
      <c r="EW30" s="319">
        <v>0.159</v>
      </c>
      <c r="EX30" s="319"/>
      <c r="EY30" s="319">
        <f>114.422/6*3</f>
        <v>57.210999999999999</v>
      </c>
      <c r="EZ30" s="319"/>
      <c r="FA30" s="319"/>
      <c r="FB30" s="319"/>
      <c r="FC30" s="319">
        <f>19.07*1.5</f>
        <v>28.605</v>
      </c>
      <c r="FD30" s="319"/>
      <c r="FE30" s="319"/>
      <c r="FF30" s="319">
        <f>19.07*0.3</f>
        <v>5.7210000000000001</v>
      </c>
      <c r="FG30" s="319"/>
      <c r="FH30" s="319">
        <v>3.242</v>
      </c>
      <c r="FI30" s="319">
        <f>1.733+8.26</f>
        <v>9.9930000000000003</v>
      </c>
      <c r="FJ30" s="319">
        <f>10.897*5</f>
        <v>54.484999999999999</v>
      </c>
      <c r="FK30" s="319"/>
      <c r="FL30" s="319"/>
      <c r="FM30" s="319">
        <v>10.215999999999999</v>
      </c>
      <c r="FN30" s="319">
        <v>0.68100000000000005</v>
      </c>
      <c r="FO30" s="319"/>
      <c r="FP30" s="319">
        <v>0.65400000000000003</v>
      </c>
      <c r="FQ30" s="319">
        <v>0.65400000000000003</v>
      </c>
      <c r="FR30" s="319"/>
      <c r="FS30" s="319"/>
      <c r="FT30" s="319">
        <f>19.07*1.9</f>
        <v>36.232999999999997</v>
      </c>
      <c r="FU30" s="319"/>
      <c r="FV30" s="319"/>
      <c r="FW30" s="319"/>
      <c r="FX30" s="319"/>
      <c r="FY30" s="319"/>
      <c r="FZ30" s="319"/>
      <c r="GA30" s="158">
        <f t="shared" si="12"/>
        <v>1008.329</v>
      </c>
      <c r="GB30" s="95"/>
      <c r="GC30" s="374"/>
      <c r="GD30" s="319"/>
      <c r="GE30" s="319"/>
      <c r="GF30" s="319"/>
      <c r="GG30" s="319"/>
      <c r="GH30" s="319"/>
      <c r="GI30" s="319"/>
      <c r="GJ30" s="319"/>
      <c r="GK30" s="319"/>
      <c r="GL30" s="319"/>
      <c r="GM30" s="319"/>
      <c r="GN30" s="319"/>
      <c r="GO30" s="319"/>
      <c r="GP30" s="319"/>
      <c r="GQ30" s="28"/>
      <c r="GR30" s="270"/>
      <c r="GS30" s="177"/>
      <c r="GT30" s="177"/>
      <c r="GU30" s="741"/>
      <c r="GV30" s="435"/>
      <c r="GW30" s="327">
        <f t="shared" si="13"/>
        <v>0</v>
      </c>
      <c r="GX30" s="445">
        <f t="shared" si="14"/>
        <v>1695.11</v>
      </c>
      <c r="GY30" s="605">
        <f t="shared" si="15"/>
        <v>1695.11</v>
      </c>
      <c r="GZ30" s="627">
        <f>'2_квартал'!G25</f>
        <v>779.375</v>
      </c>
      <c r="HA30" s="239">
        <f t="shared" si="16"/>
        <v>292.7</v>
      </c>
      <c r="HB30" s="36" t="str">
        <f t="shared" si="17"/>
        <v>цинковый купорос+ сульфат цинка</v>
      </c>
      <c r="HC30" s="664"/>
      <c r="HD30" s="22"/>
      <c r="HE30" s="22"/>
    </row>
    <row r="31" spans="1:213" ht="15.9" customHeight="1" x14ac:dyDescent="0.3">
      <c r="A31" s="127">
        <f t="shared" si="18"/>
        <v>20</v>
      </c>
      <c r="B31" s="688" t="s">
        <v>13</v>
      </c>
      <c r="C31" s="565">
        <f>'2_квартал'!G26</f>
        <v>544.70500000000004</v>
      </c>
      <c r="D31" s="346">
        <f>643.02+9.15</f>
        <v>652.16999999999996</v>
      </c>
      <c r="E31" s="241">
        <v>180.02</v>
      </c>
      <c r="F31" s="572">
        <v>399.83</v>
      </c>
      <c r="G31" s="299">
        <f t="shared" si="8"/>
        <v>410.673</v>
      </c>
      <c r="H31" s="93">
        <v>1810.83</v>
      </c>
      <c r="I31" s="93">
        <v>1411</v>
      </c>
      <c r="J31" s="94"/>
      <c r="K31" s="319"/>
      <c r="L31" s="319"/>
      <c r="M31" s="319"/>
      <c r="N31" s="319"/>
      <c r="O31" s="319">
        <v>97.256</v>
      </c>
      <c r="P31" s="319">
        <v>1.796</v>
      </c>
      <c r="Q31" s="319">
        <f>94.5/15*7</f>
        <v>44.1</v>
      </c>
      <c r="R31" s="319">
        <f>94.5/15*10.4</f>
        <v>65.52</v>
      </c>
      <c r="S31" s="319">
        <f>94.5/15*2.6</f>
        <v>16.38</v>
      </c>
      <c r="T31" s="319"/>
      <c r="U31" s="319"/>
      <c r="V31" s="319"/>
      <c r="W31" s="319">
        <f>12.6*2</f>
        <v>25.2</v>
      </c>
      <c r="X31" s="319"/>
      <c r="Y31" s="245">
        <v>1.26</v>
      </c>
      <c r="Z31" s="177"/>
      <c r="AA31" s="272"/>
      <c r="AB31" s="24"/>
      <c r="AC31" s="319">
        <v>0.189</v>
      </c>
      <c r="AD31" s="319"/>
      <c r="AE31" s="319"/>
      <c r="AF31" s="319">
        <v>4.41</v>
      </c>
      <c r="AG31" s="319"/>
      <c r="AH31" s="177"/>
      <c r="AI31" s="177">
        <v>63</v>
      </c>
      <c r="AJ31" s="319">
        <f>1.89*0.8</f>
        <v>1.512</v>
      </c>
      <c r="AK31" s="319"/>
      <c r="AL31" s="319"/>
      <c r="AM31" s="319"/>
      <c r="AN31" s="319">
        <f>3.938*0.9</f>
        <v>3.5442</v>
      </c>
      <c r="AO31" s="319">
        <v>194.512</v>
      </c>
      <c r="AP31" s="319">
        <f>10.71*5</f>
        <v>53.550000000000004</v>
      </c>
      <c r="AQ31" s="319"/>
      <c r="AR31" s="319"/>
      <c r="AS31" s="319">
        <f>3.938*3</f>
        <v>11.814</v>
      </c>
      <c r="AT31" s="319"/>
      <c r="AU31" s="319">
        <v>2.5990000000000002</v>
      </c>
      <c r="AV31" s="319"/>
      <c r="AW31" s="319"/>
      <c r="AX31" s="319"/>
      <c r="AY31" s="319"/>
      <c r="AZ31" s="319"/>
      <c r="BA31" s="319">
        <v>3.4020000000000001</v>
      </c>
      <c r="BB31" s="319"/>
      <c r="BC31" s="319">
        <f>3.15/2*2.4</f>
        <v>3.78</v>
      </c>
      <c r="BD31" s="319">
        <f>1.89*2</f>
        <v>3.78</v>
      </c>
      <c r="BE31" s="319"/>
      <c r="BF31" s="319"/>
      <c r="BG31" s="319"/>
      <c r="BH31" s="319"/>
      <c r="BI31" s="319"/>
      <c r="BJ31" s="319"/>
      <c r="BK31" s="319"/>
      <c r="BL31" s="319">
        <f>11.813*3.5</f>
        <v>41.345500000000001</v>
      </c>
      <c r="BM31" s="319">
        <v>13.23</v>
      </c>
      <c r="BN31" s="319"/>
      <c r="BO31" s="319"/>
      <c r="BP31" s="319"/>
      <c r="BQ31" s="460"/>
      <c r="BR31" s="319"/>
      <c r="BS31" s="158">
        <f t="shared" si="10"/>
        <v>652.17970000000003</v>
      </c>
      <c r="BT31" s="94"/>
      <c r="BU31" s="319"/>
      <c r="BV31" s="319"/>
      <c r="BW31" s="319">
        <f>0.312/3*1.5</f>
        <v>0.156</v>
      </c>
      <c r="BX31" s="319"/>
      <c r="BY31" s="319">
        <f>0.416/4*2</f>
        <v>0.20799999999999999</v>
      </c>
      <c r="BZ31" s="319"/>
      <c r="CA31" s="319">
        <v>4.41</v>
      </c>
      <c r="CB31" s="319"/>
      <c r="CC31" s="319"/>
      <c r="CD31" s="319"/>
      <c r="CE31" s="319"/>
      <c r="CF31" s="319">
        <v>0.114</v>
      </c>
      <c r="CG31" s="319"/>
      <c r="CH31" s="319">
        <v>4.2000000000000003E-2</v>
      </c>
      <c r="CI31" s="319"/>
      <c r="CJ31" s="319">
        <f>11.813*6</f>
        <v>70.878</v>
      </c>
      <c r="CK31" s="319"/>
      <c r="CL31" s="319"/>
      <c r="CM31" s="319"/>
      <c r="CN31" s="319">
        <v>1.796</v>
      </c>
      <c r="CO31" s="319">
        <f>7.875/5*3</f>
        <v>4.7249999999999996</v>
      </c>
      <c r="CP31" s="319">
        <f>7.875/5*2</f>
        <v>3.15</v>
      </c>
      <c r="CQ31" s="319"/>
      <c r="CR31" s="319">
        <f>3.938*0.9</f>
        <v>3.5442</v>
      </c>
      <c r="CS31" s="319"/>
      <c r="CT31" s="319"/>
      <c r="CU31" s="319">
        <f>0.312/3*1.5</f>
        <v>0.156</v>
      </c>
      <c r="CV31" s="319">
        <f>0.416/4*2</f>
        <v>0.20799999999999999</v>
      </c>
      <c r="CW31" s="319">
        <v>1.26</v>
      </c>
      <c r="CX31" s="319">
        <f>11.813*4.2</f>
        <v>49.614600000000003</v>
      </c>
      <c r="CY31" s="177">
        <v>0.18099999999999999</v>
      </c>
      <c r="CZ31" s="32">
        <v>1.796</v>
      </c>
      <c r="DA31" s="32">
        <v>1.89</v>
      </c>
      <c r="DB31" s="319"/>
      <c r="DC31" s="319"/>
      <c r="DD31" s="319"/>
      <c r="DE31" s="319">
        <v>3.78</v>
      </c>
      <c r="DF31" s="319"/>
      <c r="DG31" s="319"/>
      <c r="DH31" s="319"/>
      <c r="DI31" s="319"/>
      <c r="DJ31" s="319">
        <f>2.599*2.5</f>
        <v>6.4975000000000005</v>
      </c>
      <c r="DK31" s="319">
        <f>3.938*1.5</f>
        <v>5.907</v>
      </c>
      <c r="DL31" s="319">
        <f>3.938</f>
        <v>3.9380000000000002</v>
      </c>
      <c r="DM31" s="319"/>
      <c r="DN31" s="319"/>
      <c r="DO31" s="319">
        <f>5.04/0.8*0.4</f>
        <v>2.52</v>
      </c>
      <c r="DP31" s="319"/>
      <c r="DQ31" s="319"/>
      <c r="DR31" s="319"/>
      <c r="DS31" s="319">
        <v>13.23</v>
      </c>
      <c r="DT31" s="419">
        <f t="shared" si="11"/>
        <v>180.00130000000001</v>
      </c>
      <c r="DU31" s="57"/>
      <c r="DV31" s="319"/>
      <c r="DW31" s="319"/>
      <c r="DX31" s="319">
        <v>3.4020000000000001</v>
      </c>
      <c r="DY31" s="319">
        <f>1.796*1.5</f>
        <v>2.694</v>
      </c>
      <c r="DZ31" s="319">
        <f>10.71*3</f>
        <v>32.130000000000003</v>
      </c>
      <c r="EA31" s="319"/>
      <c r="EB31" s="319">
        <f>126/20*10</f>
        <v>63</v>
      </c>
      <c r="EC31" s="319">
        <f>126/20*10</f>
        <v>63</v>
      </c>
      <c r="ED31" s="319"/>
      <c r="EE31" s="319">
        <v>1.796</v>
      </c>
      <c r="EF31" s="319">
        <f>1.89*1.5</f>
        <v>2.835</v>
      </c>
      <c r="EG31" s="177"/>
      <c r="EH31" s="177"/>
      <c r="EI31" s="177"/>
      <c r="EJ31" s="319">
        <f>5.04/0.8*0.4</f>
        <v>2.52</v>
      </c>
      <c r="EK31" s="319"/>
      <c r="EL31" s="319"/>
      <c r="EM31" s="319">
        <f>11.813</f>
        <v>11.813000000000001</v>
      </c>
      <c r="EN31" s="319">
        <f>1.796*2</f>
        <v>3.5920000000000001</v>
      </c>
      <c r="EO31" s="319">
        <f>1.89</f>
        <v>1.89</v>
      </c>
      <c r="EP31" s="319"/>
      <c r="EQ31" s="319"/>
      <c r="ER31" s="319">
        <f>1.796*2.5</f>
        <v>4.49</v>
      </c>
      <c r="ES31" s="319"/>
      <c r="ET31" s="319">
        <v>2.835</v>
      </c>
      <c r="EU31" s="319">
        <f>11.813*4</f>
        <v>47.252000000000002</v>
      </c>
      <c r="EV31" s="319"/>
      <c r="EW31" s="319">
        <v>0.189</v>
      </c>
      <c r="EX31" s="319"/>
      <c r="EY31" s="319">
        <f>70.875/6*3</f>
        <v>35.4375</v>
      </c>
      <c r="EZ31" s="319"/>
      <c r="FA31" s="319"/>
      <c r="FB31" s="319"/>
      <c r="FC31" s="319">
        <f>11.813*1.5</f>
        <v>17.7195</v>
      </c>
      <c r="FD31" s="319"/>
      <c r="FE31" s="319"/>
      <c r="FF31" s="319">
        <f>11.813*0.3</f>
        <v>3.5439000000000003</v>
      </c>
      <c r="FG31" s="319"/>
      <c r="FH31" s="319">
        <v>2.6779999999999999</v>
      </c>
      <c r="FI31" s="319">
        <v>11.813000000000001</v>
      </c>
      <c r="FJ31" s="319">
        <f>10.71*5</f>
        <v>53.550000000000004</v>
      </c>
      <c r="FK31" s="319"/>
      <c r="FL31" s="319"/>
      <c r="FM31" s="319">
        <v>7.875</v>
      </c>
      <c r="FN31" s="319">
        <v>1.26</v>
      </c>
      <c r="FO31" s="319"/>
      <c r="FP31" s="319">
        <v>8.9999999999999993E-3</v>
      </c>
      <c r="FQ31" s="319">
        <v>6.2E-2</v>
      </c>
      <c r="FR31" s="319"/>
      <c r="FS31" s="319"/>
      <c r="FT31" s="319">
        <f>11.813*1.9</f>
        <v>22.444700000000001</v>
      </c>
      <c r="FU31" s="319"/>
      <c r="FV31" s="319"/>
      <c r="FW31" s="319"/>
      <c r="FX31" s="319"/>
      <c r="FY31" s="319"/>
      <c r="FZ31" s="319"/>
      <c r="GA31" s="158">
        <f t="shared" si="12"/>
        <v>399.8306</v>
      </c>
      <c r="GB31" s="95"/>
      <c r="GC31" s="374"/>
      <c r="GD31" s="319"/>
      <c r="GE31" s="319"/>
      <c r="GF31" s="319"/>
      <c r="GG31" s="319"/>
      <c r="GH31" s="319"/>
      <c r="GI31" s="319"/>
      <c r="GJ31" s="319"/>
      <c r="GK31" s="319"/>
      <c r="GL31" s="319"/>
      <c r="GM31" s="319"/>
      <c r="GN31" s="319"/>
      <c r="GO31" s="319"/>
      <c r="GP31" s="319"/>
      <c r="GQ31" s="28"/>
      <c r="GR31" s="270"/>
      <c r="GS31" s="177"/>
      <c r="GT31" s="177"/>
      <c r="GU31" s="741"/>
      <c r="GV31" s="435"/>
      <c r="GW31" s="327">
        <f t="shared" si="13"/>
        <v>0</v>
      </c>
      <c r="GX31" s="445">
        <f t="shared" si="14"/>
        <v>1411</v>
      </c>
      <c r="GY31" s="605">
        <f t="shared" si="15"/>
        <v>1411</v>
      </c>
      <c r="GZ31" s="627">
        <f>'2_квартал'!G26</f>
        <v>544.70500000000004</v>
      </c>
      <c r="HA31" s="239">
        <f t="shared" si="16"/>
        <v>180.02</v>
      </c>
      <c r="HB31" s="36" t="str">
        <f t="shared" si="17"/>
        <v>сульфат марганца</v>
      </c>
      <c r="HC31" s="664"/>
      <c r="HD31" s="22"/>
      <c r="HE31" s="22"/>
    </row>
    <row r="32" spans="1:213" ht="15.9" customHeight="1" x14ac:dyDescent="0.3">
      <c r="A32" s="127">
        <f t="shared" si="18"/>
        <v>21</v>
      </c>
      <c r="B32" s="688" t="s">
        <v>7</v>
      </c>
      <c r="C32" s="565">
        <f>'2_квартал'!G27</f>
        <v>11.558999999999999</v>
      </c>
      <c r="D32" s="346">
        <v>0</v>
      </c>
      <c r="E32" s="241">
        <v>0</v>
      </c>
      <c r="F32" s="572">
        <v>0</v>
      </c>
      <c r="G32" s="299">
        <f t="shared" si="8"/>
        <v>0</v>
      </c>
      <c r="H32" s="93">
        <v>0</v>
      </c>
      <c r="I32" s="93">
        <v>0</v>
      </c>
      <c r="J32" s="94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245"/>
      <c r="Z32" s="177"/>
      <c r="AA32" s="272"/>
      <c r="AB32" s="24"/>
      <c r="AC32" s="319"/>
      <c r="AD32" s="319"/>
      <c r="AE32" s="319"/>
      <c r="AF32" s="319"/>
      <c r="AG32" s="319"/>
      <c r="AH32" s="177"/>
      <c r="AI32" s="177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  <c r="AZ32" s="319"/>
      <c r="BA32" s="319"/>
      <c r="BB32" s="319"/>
      <c r="BC32" s="319"/>
      <c r="BD32" s="319"/>
      <c r="BE32" s="319"/>
      <c r="BF32" s="319"/>
      <c r="BG32" s="319"/>
      <c r="BH32" s="319"/>
      <c r="BI32" s="319"/>
      <c r="BJ32" s="319"/>
      <c r="BK32" s="319"/>
      <c r="BL32" s="319"/>
      <c r="BM32" s="319"/>
      <c r="BN32" s="319"/>
      <c r="BO32" s="319"/>
      <c r="BP32" s="319"/>
      <c r="BQ32" s="460"/>
      <c r="BR32" s="319"/>
      <c r="BS32" s="158">
        <f t="shared" si="10"/>
        <v>0</v>
      </c>
      <c r="BT32" s="94"/>
      <c r="BU32" s="319"/>
      <c r="BV32" s="319"/>
      <c r="BW32" s="319"/>
      <c r="BX32" s="319"/>
      <c r="BY32" s="319"/>
      <c r="BZ32" s="319"/>
      <c r="CA32" s="319"/>
      <c r="CB32" s="319"/>
      <c r="CC32" s="319"/>
      <c r="CD32" s="319"/>
      <c r="CE32" s="319"/>
      <c r="CF32" s="319"/>
      <c r="CG32" s="319"/>
      <c r="CH32" s="319"/>
      <c r="CI32" s="319"/>
      <c r="CJ32" s="319"/>
      <c r="CK32" s="319"/>
      <c r="CL32" s="319"/>
      <c r="CM32" s="319"/>
      <c r="CN32" s="319"/>
      <c r="CO32" s="319"/>
      <c r="CP32" s="319"/>
      <c r="CQ32" s="319"/>
      <c r="CR32" s="319"/>
      <c r="CS32" s="319"/>
      <c r="CT32" s="319"/>
      <c r="CU32" s="319"/>
      <c r="CV32" s="319"/>
      <c r="CW32" s="319"/>
      <c r="CX32" s="319"/>
      <c r="CY32" s="177"/>
      <c r="CZ32" s="32"/>
      <c r="DA32" s="32"/>
      <c r="DB32" s="319"/>
      <c r="DC32" s="319"/>
      <c r="DD32" s="319"/>
      <c r="DE32" s="319"/>
      <c r="DF32" s="319"/>
      <c r="DG32" s="319"/>
      <c r="DH32" s="319"/>
      <c r="DI32" s="319"/>
      <c r="DJ32" s="319"/>
      <c r="DK32" s="319"/>
      <c r="DL32" s="319"/>
      <c r="DM32" s="319"/>
      <c r="DN32" s="319"/>
      <c r="DO32" s="319"/>
      <c r="DP32" s="319"/>
      <c r="DQ32" s="319"/>
      <c r="DR32" s="319"/>
      <c r="DS32" s="319"/>
      <c r="DT32" s="419">
        <f t="shared" si="11"/>
        <v>0</v>
      </c>
      <c r="DU32" s="57"/>
      <c r="DV32" s="319"/>
      <c r="DW32" s="319"/>
      <c r="DX32" s="319"/>
      <c r="DY32" s="319"/>
      <c r="DZ32" s="319"/>
      <c r="EA32" s="319"/>
      <c r="EB32" s="319"/>
      <c r="EC32" s="319"/>
      <c r="ED32" s="319"/>
      <c r="EE32" s="319"/>
      <c r="EF32" s="319"/>
      <c r="EG32" s="177"/>
      <c r="EH32" s="177"/>
      <c r="EI32" s="177"/>
      <c r="EJ32" s="319"/>
      <c r="EK32" s="319"/>
      <c r="EL32" s="319"/>
      <c r="EM32" s="319"/>
      <c r="EN32" s="319"/>
      <c r="EO32" s="319"/>
      <c r="EP32" s="319"/>
      <c r="EQ32" s="319"/>
      <c r="ER32" s="319"/>
      <c r="ES32" s="319"/>
      <c r="ET32" s="319"/>
      <c r="EU32" s="319"/>
      <c r="EV32" s="319"/>
      <c r="EW32" s="319"/>
      <c r="EX32" s="319"/>
      <c r="EY32" s="319"/>
      <c r="EZ32" s="319"/>
      <c r="FA32" s="319"/>
      <c r="FB32" s="319"/>
      <c r="FC32" s="319"/>
      <c r="FD32" s="319"/>
      <c r="FE32" s="319"/>
      <c r="FF32" s="319"/>
      <c r="FG32" s="319"/>
      <c r="FH32" s="319"/>
      <c r="FI32" s="319"/>
      <c r="FJ32" s="319"/>
      <c r="FK32" s="319"/>
      <c r="FL32" s="319"/>
      <c r="FM32" s="319"/>
      <c r="FN32" s="319"/>
      <c r="FO32" s="319"/>
      <c r="FP32" s="319"/>
      <c r="FQ32" s="319"/>
      <c r="FR32" s="319"/>
      <c r="FS32" s="319"/>
      <c r="FT32" s="319"/>
      <c r="FU32" s="319"/>
      <c r="FV32" s="319"/>
      <c r="FW32" s="319"/>
      <c r="FX32" s="319"/>
      <c r="FY32" s="319"/>
      <c r="FZ32" s="319"/>
      <c r="GA32" s="158">
        <f t="shared" si="12"/>
        <v>0</v>
      </c>
      <c r="GB32" s="95"/>
      <c r="GC32" s="374"/>
      <c r="GD32" s="319"/>
      <c r="GE32" s="319"/>
      <c r="GF32" s="319"/>
      <c r="GG32" s="319"/>
      <c r="GH32" s="319"/>
      <c r="GI32" s="319"/>
      <c r="GJ32" s="319"/>
      <c r="GK32" s="319"/>
      <c r="GL32" s="319"/>
      <c r="GM32" s="319"/>
      <c r="GN32" s="319"/>
      <c r="GO32" s="319"/>
      <c r="GP32" s="319"/>
      <c r="GQ32" s="28"/>
      <c r="GR32" s="270"/>
      <c r="GS32" s="177"/>
      <c r="GT32" s="177"/>
      <c r="GU32" s="741"/>
      <c r="GV32" s="435"/>
      <c r="GW32" s="327">
        <f t="shared" si="13"/>
        <v>0</v>
      </c>
      <c r="GX32" s="445">
        <f t="shared" si="14"/>
        <v>0</v>
      </c>
      <c r="GY32" s="605">
        <f t="shared" si="15"/>
        <v>0</v>
      </c>
      <c r="GZ32" s="627">
        <f>'2_квартал'!G27</f>
        <v>11.558999999999999</v>
      </c>
      <c r="HA32" s="239">
        <f t="shared" si="16"/>
        <v>0</v>
      </c>
      <c r="HB32" s="36" t="str">
        <f t="shared" si="17"/>
        <v>калий йод</v>
      </c>
      <c r="HC32" s="664"/>
      <c r="HD32" s="22"/>
      <c r="HE32" s="22"/>
    </row>
    <row r="33" spans="1:213" ht="15.9" customHeight="1" x14ac:dyDescent="0.3">
      <c r="A33" s="127">
        <f t="shared" si="18"/>
        <v>22</v>
      </c>
      <c r="B33" s="688" t="s">
        <v>117</v>
      </c>
      <c r="C33" s="565">
        <f>'2_квартал'!G28</f>
        <v>1.7</v>
      </c>
      <c r="D33" s="346">
        <f>9.767+13.77</f>
        <v>23.536999999999999</v>
      </c>
      <c r="E33" s="241">
        <v>13.412000000000001</v>
      </c>
      <c r="F33" s="572">
        <v>23.677</v>
      </c>
      <c r="G33" s="299">
        <f t="shared" si="8"/>
        <v>20.209</v>
      </c>
      <c r="H33" s="93">
        <v>47.417999999999999</v>
      </c>
      <c r="I33" s="93">
        <v>23.741</v>
      </c>
      <c r="J33" s="94"/>
      <c r="K33" s="319"/>
      <c r="L33" s="319"/>
      <c r="M33" s="319">
        <v>0.371</v>
      </c>
      <c r="N33" s="319">
        <f>0.244*3</f>
        <v>0.73199999999999998</v>
      </c>
      <c r="O33" s="319">
        <v>1.2190000000000001</v>
      </c>
      <c r="P33" s="319">
        <v>5.8999999999999997E-2</v>
      </c>
      <c r="Q33" s="319">
        <f>6.097/15*7</f>
        <v>2.8452666666666668</v>
      </c>
      <c r="R33" s="319">
        <f>6.097/15*10.4</f>
        <v>4.2272533333333335</v>
      </c>
      <c r="S33" s="319">
        <f>6.097/15*2.6</f>
        <v>1.0568133333333334</v>
      </c>
      <c r="T33" s="319">
        <v>0.11700000000000001</v>
      </c>
      <c r="U33" s="319">
        <f>0.244*9</f>
        <v>2.1959999999999997</v>
      </c>
      <c r="V33" s="319">
        <v>0.24399999999999999</v>
      </c>
      <c r="W33" s="319">
        <f>0.02*2</f>
        <v>0.04</v>
      </c>
      <c r="X33" s="319"/>
      <c r="Y33" s="245">
        <v>2E-3</v>
      </c>
      <c r="Z33" s="177">
        <v>0.16300000000000001</v>
      </c>
      <c r="AA33" s="272">
        <v>2.032</v>
      </c>
      <c r="AB33" s="24"/>
      <c r="AC33" s="319">
        <v>5.0000000000000001E-3</v>
      </c>
      <c r="AD33" s="319">
        <v>8.5000000000000006E-2</v>
      </c>
      <c r="AE33" s="319">
        <v>3.5000000000000003E-2</v>
      </c>
      <c r="AF33" s="319">
        <v>0.159</v>
      </c>
      <c r="AG33" s="319"/>
      <c r="AH33" s="177">
        <v>2.7E-2</v>
      </c>
      <c r="AI33" s="177">
        <v>9.8000000000000004E-2</v>
      </c>
      <c r="AJ33" s="319">
        <f>0.049*0.8</f>
        <v>3.9200000000000006E-2</v>
      </c>
      <c r="AK33" s="319">
        <f>0.244*1.5</f>
        <v>0.36599999999999999</v>
      </c>
      <c r="AL33" s="319">
        <f>0.049*0.6</f>
        <v>2.9399999999999999E-2</v>
      </c>
      <c r="AM33" s="319">
        <f>0.244*3</f>
        <v>0.73199999999999998</v>
      </c>
      <c r="AN33" s="319">
        <f>0.156*0.9</f>
        <v>0.1404</v>
      </c>
      <c r="AO33" s="319">
        <v>2.4390000000000001</v>
      </c>
      <c r="AP33" s="319"/>
      <c r="AQ33" s="319"/>
      <c r="AR33" s="319"/>
      <c r="AS33" s="319">
        <f>0.156*3</f>
        <v>0.46799999999999997</v>
      </c>
      <c r="AT33" s="319">
        <v>0.19500000000000001</v>
      </c>
      <c r="AU33" s="319">
        <v>8.5000000000000006E-2</v>
      </c>
      <c r="AV33" s="319">
        <f>0.975/4*2</f>
        <v>0.48749999999999999</v>
      </c>
      <c r="AW33" s="319"/>
      <c r="AX33" s="319">
        <v>9.8000000000000004E-2</v>
      </c>
      <c r="AY33" s="319">
        <f>0.975/4*2</f>
        <v>0.48749999999999999</v>
      </c>
      <c r="AZ33" s="319">
        <f>0.371/2.4*1.5</f>
        <v>0.23187500000000003</v>
      </c>
      <c r="BA33" s="319">
        <v>0.21099999999999999</v>
      </c>
      <c r="BB33" s="319"/>
      <c r="BC33" s="319">
        <f>0.023/2*2.4</f>
        <v>2.76E-2</v>
      </c>
      <c r="BD33" s="319">
        <f>0.049*2</f>
        <v>9.8000000000000004E-2</v>
      </c>
      <c r="BE33" s="319"/>
      <c r="BF33" s="319"/>
      <c r="BG33" s="319">
        <f>0.585/1.5*0.4</f>
        <v>0.156</v>
      </c>
      <c r="BH33" s="319">
        <f>0.027*0.6</f>
        <v>1.6199999999999999E-2</v>
      </c>
      <c r="BI33" s="319">
        <f>0.027*0.6</f>
        <v>1.6199999999999999E-2</v>
      </c>
      <c r="BJ33" s="319">
        <f>0.059*2</f>
        <v>0.11799999999999999</v>
      </c>
      <c r="BK33" s="319">
        <f>0.122*1.5</f>
        <v>0.183</v>
      </c>
      <c r="BL33" s="319">
        <f>0.244*3.5</f>
        <v>0.85399999999999998</v>
      </c>
      <c r="BM33" s="319">
        <v>0.34100000000000003</v>
      </c>
      <c r="BN33" s="319"/>
      <c r="BO33" s="319"/>
      <c r="BP33" s="319"/>
      <c r="BQ33" s="460"/>
      <c r="BR33" s="319"/>
      <c r="BS33" s="158">
        <f t="shared" si="10"/>
        <v>23.533208333333334</v>
      </c>
      <c r="BT33" s="94"/>
      <c r="BU33" s="319">
        <f>0.371/2.4*2</f>
        <v>0.3091666666666667</v>
      </c>
      <c r="BV33" s="319">
        <v>0.23400000000000001</v>
      </c>
      <c r="BW33" s="319">
        <f>0.081/3*1.5</f>
        <v>4.0500000000000001E-2</v>
      </c>
      <c r="BX33" s="319">
        <f>1.171/3*1.5</f>
        <v>0.58550000000000002</v>
      </c>
      <c r="BY33" s="319">
        <f>0.108/4*2</f>
        <v>5.3999999999999999E-2</v>
      </c>
      <c r="BZ33" s="319">
        <f>0.244*3</f>
        <v>0.73199999999999998</v>
      </c>
      <c r="CA33" s="319">
        <v>0.159</v>
      </c>
      <c r="CB33" s="319">
        <v>0.10199999999999999</v>
      </c>
      <c r="CC33" s="319">
        <v>7.0000000000000007E-2</v>
      </c>
      <c r="CD33" s="319">
        <v>0.36599999999999999</v>
      </c>
      <c r="CE33" s="319">
        <v>0.23400000000000001</v>
      </c>
      <c r="CF33" s="319">
        <v>0.03</v>
      </c>
      <c r="CG33" s="319">
        <v>0.61</v>
      </c>
      <c r="CH33" s="319">
        <v>1.0999999999999999E-2</v>
      </c>
      <c r="CI33" s="319"/>
      <c r="CJ33" s="319">
        <f>0.244*6</f>
        <v>1.464</v>
      </c>
      <c r="CK33" s="319">
        <v>0.11700000000000001</v>
      </c>
      <c r="CL33" s="319">
        <f>0.154*3</f>
        <v>0.46199999999999997</v>
      </c>
      <c r="CM33" s="319">
        <f>0.234/0.6*0.5</f>
        <v>0.19500000000000001</v>
      </c>
      <c r="CN33" s="319">
        <v>5.8999999999999997E-2</v>
      </c>
      <c r="CO33" s="319">
        <f>0.975/5*3</f>
        <v>0.58499999999999996</v>
      </c>
      <c r="CP33" s="319">
        <f>0.975/5*2</f>
        <v>0.39</v>
      </c>
      <c r="CQ33" s="319"/>
      <c r="CR33" s="319">
        <f>0.156*0.9</f>
        <v>0.1404</v>
      </c>
      <c r="CS33" s="319">
        <f>0.244*2</f>
        <v>0.48799999999999999</v>
      </c>
      <c r="CT33" s="319">
        <f>1.171/3*1.5</f>
        <v>0.58550000000000002</v>
      </c>
      <c r="CU33" s="319">
        <f>0.081/3*1.5</f>
        <v>4.0500000000000001E-2</v>
      </c>
      <c r="CV33" s="319">
        <f>0.108/4*2</f>
        <v>5.3999999999999999E-2</v>
      </c>
      <c r="CW33" s="319">
        <v>2E-3</v>
      </c>
      <c r="CX33" s="319">
        <f>0.244*4.2</f>
        <v>1.0247999999999999</v>
      </c>
      <c r="CY33" s="177">
        <v>4.7E-2</v>
      </c>
      <c r="CZ33" s="32">
        <v>5.8999999999999997E-2</v>
      </c>
      <c r="DA33" s="32">
        <v>4.9000000000000002E-2</v>
      </c>
      <c r="DB33" s="319">
        <f>0.049*0.6</f>
        <v>2.9399999999999999E-2</v>
      </c>
      <c r="DC33" s="319">
        <f>0.059*0.3</f>
        <v>1.7699999999999997E-2</v>
      </c>
      <c r="DD33" s="319">
        <v>9.8000000000000004E-2</v>
      </c>
      <c r="DE33" s="319">
        <v>2.7E-2</v>
      </c>
      <c r="DF33" s="319">
        <v>0.378</v>
      </c>
      <c r="DG33" s="319">
        <f>0.059*3.9</f>
        <v>0.23009999999999997</v>
      </c>
      <c r="DH33" s="319">
        <f>0.154*1.2</f>
        <v>0.18479999999999999</v>
      </c>
      <c r="DI33" s="319">
        <f>0.975/4*5</f>
        <v>1.21875</v>
      </c>
      <c r="DJ33" s="319">
        <f>0.085*2.5</f>
        <v>0.21250000000000002</v>
      </c>
      <c r="DK33" s="319">
        <f>0.156*1.5</f>
        <v>0.23399999999999999</v>
      </c>
      <c r="DL33" s="319">
        <f>0.156</f>
        <v>0.156</v>
      </c>
      <c r="DM33" s="319">
        <f>0.098*1.5</f>
        <v>0.14700000000000002</v>
      </c>
      <c r="DN33" s="319">
        <f>0.195/4*3</f>
        <v>0.14624999999999999</v>
      </c>
      <c r="DO33" s="319">
        <f>0.182/0.8*0.4</f>
        <v>9.0999999999999998E-2</v>
      </c>
      <c r="DP33" s="319">
        <f>0.102/1.8*0.9</f>
        <v>5.0999999999999997E-2</v>
      </c>
      <c r="DQ33" s="319">
        <f>0.07/1.2*0.6</f>
        <v>3.5000000000000003E-2</v>
      </c>
      <c r="DR33" s="319">
        <v>0.48799999999999999</v>
      </c>
      <c r="DS33" s="319">
        <v>0.34100000000000003</v>
      </c>
      <c r="DT33" s="419">
        <f t="shared" si="11"/>
        <v>13.384866666666666</v>
      </c>
      <c r="DU33" s="57"/>
      <c r="DV33" s="319">
        <v>0.23400000000000001</v>
      </c>
      <c r="DW33" s="319">
        <f>0.154*2</f>
        <v>0.308</v>
      </c>
      <c r="DX33" s="319">
        <v>0.21099999999999999</v>
      </c>
      <c r="DY33" s="319">
        <f>0.059*1.5</f>
        <v>8.8499999999999995E-2</v>
      </c>
      <c r="DZ33" s="319"/>
      <c r="EA33" s="319"/>
      <c r="EB33" s="319">
        <f>8.129/20*10</f>
        <v>4.0644999999999998</v>
      </c>
      <c r="EC33" s="319">
        <f>8.129/20*10</f>
        <v>4.0644999999999998</v>
      </c>
      <c r="ED33" s="319">
        <v>0.23400000000000001</v>
      </c>
      <c r="EE33" s="319">
        <v>5.8999999999999997E-2</v>
      </c>
      <c r="EF33" s="319">
        <f>0.049*1.5</f>
        <v>7.350000000000001E-2</v>
      </c>
      <c r="EG33" s="177">
        <v>0.217</v>
      </c>
      <c r="EH33" s="177">
        <f>4.877/12*8</f>
        <v>3.2513333333333332</v>
      </c>
      <c r="EI33" s="177">
        <f>4.877/12*4</f>
        <v>1.6256666666666666</v>
      </c>
      <c r="EJ33" s="319">
        <f>0.182/0.8*0.4</f>
        <v>9.0999999999999998E-2</v>
      </c>
      <c r="EK33" s="319">
        <f>0.07/1.2*0.6</f>
        <v>3.5000000000000003E-2</v>
      </c>
      <c r="EL33" s="319">
        <f>0.102/1.8*0.9</f>
        <v>5.0999999999999997E-2</v>
      </c>
      <c r="EM33" s="319">
        <f>0.244</f>
        <v>0.24399999999999999</v>
      </c>
      <c r="EN33" s="319">
        <f>0.059*2</f>
        <v>0.11799999999999999</v>
      </c>
      <c r="EO33" s="319">
        <f>0.049</f>
        <v>4.9000000000000002E-2</v>
      </c>
      <c r="EP33" s="319"/>
      <c r="EQ33" s="319"/>
      <c r="ER33" s="319">
        <f>0.059*2.5</f>
        <v>0.14749999999999999</v>
      </c>
      <c r="ES33" s="319">
        <f>0.018/0.3*0.6</f>
        <v>3.5999999999999997E-2</v>
      </c>
      <c r="ET33" s="319">
        <v>7.2999999999999995E-2</v>
      </c>
      <c r="EU33" s="319">
        <f>0.244*4</f>
        <v>0.97599999999999998</v>
      </c>
      <c r="EV33" s="319"/>
      <c r="EW33" s="319">
        <v>5.0000000000000001E-3</v>
      </c>
      <c r="EX33" s="319">
        <f>0.244*2</f>
        <v>0.48799999999999999</v>
      </c>
      <c r="EY33" s="319">
        <f>1.463/6*3</f>
        <v>0.73150000000000004</v>
      </c>
      <c r="EZ33" s="319">
        <v>1.2190000000000001</v>
      </c>
      <c r="FA33" s="319">
        <f>0.146/1.5</f>
        <v>9.7333333333333327E-2</v>
      </c>
      <c r="FB33" s="319">
        <v>3.3000000000000002E-2</v>
      </c>
      <c r="FC33" s="319">
        <f>0.244*1.5</f>
        <v>0.36599999999999999</v>
      </c>
      <c r="FD33" s="319">
        <f>0.059</f>
        <v>5.8999999999999997E-2</v>
      </c>
      <c r="FE33" s="319">
        <f>0.463</f>
        <v>0.46300000000000002</v>
      </c>
      <c r="FF33" s="319">
        <f>0.244*0.3</f>
        <v>7.3200000000000001E-2</v>
      </c>
      <c r="FG33" s="319"/>
      <c r="FH33" s="319">
        <v>1.9E-2</v>
      </c>
      <c r="FI33" s="319">
        <v>0.46800000000000003</v>
      </c>
      <c r="FJ33" s="319"/>
      <c r="FK33" s="319">
        <v>2.9000000000000001E-2</v>
      </c>
      <c r="FL33" s="319">
        <f>0.488/2*2.1</f>
        <v>0.51239999999999997</v>
      </c>
      <c r="FM33" s="319">
        <v>0.97499999999999998</v>
      </c>
      <c r="FN33" s="319">
        <v>2E-3</v>
      </c>
      <c r="FO33" s="319">
        <v>0.156</v>
      </c>
      <c r="FP33" s="319">
        <v>1.6E-2</v>
      </c>
      <c r="FQ33" s="319">
        <v>1.6E-2</v>
      </c>
      <c r="FR33" s="319">
        <v>1.4E-2</v>
      </c>
      <c r="FS33" s="319">
        <f>0.244*3</f>
        <v>0.73199999999999998</v>
      </c>
      <c r="FT33" s="319">
        <f>0.244*1.9</f>
        <v>0.46359999999999996</v>
      </c>
      <c r="FU33" s="319">
        <f>0.154*3</f>
        <v>0.46199999999999997</v>
      </c>
      <c r="FV33" s="319">
        <f>0.102/1.8*0.5</f>
        <v>2.8333333333333332E-2</v>
      </c>
      <c r="FW33" s="319"/>
      <c r="FX33" s="319"/>
      <c r="FY33" s="319"/>
      <c r="FZ33" s="319"/>
      <c r="GA33" s="158">
        <f t="shared" si="12"/>
        <v>23.679866666666658</v>
      </c>
      <c r="GB33" s="95"/>
      <c r="GC33" s="374"/>
      <c r="GD33" s="319"/>
      <c r="GE33" s="319"/>
      <c r="GF33" s="319"/>
      <c r="GG33" s="319"/>
      <c r="GH33" s="319"/>
      <c r="GI33" s="319"/>
      <c r="GJ33" s="319"/>
      <c r="GK33" s="319"/>
      <c r="GL33" s="319"/>
      <c r="GM33" s="319"/>
      <c r="GN33" s="319"/>
      <c r="GO33" s="319"/>
      <c r="GP33" s="319"/>
      <c r="GQ33" s="28"/>
      <c r="GR33" s="270"/>
      <c r="GS33" s="177"/>
      <c r="GT33" s="177"/>
      <c r="GU33" s="741"/>
      <c r="GV33" s="435"/>
      <c r="GW33" s="327">
        <f t="shared" si="13"/>
        <v>0</v>
      </c>
      <c r="GX33" s="445">
        <f t="shared" si="14"/>
        <v>23.741</v>
      </c>
      <c r="GY33" s="605">
        <f t="shared" si="15"/>
        <v>23.741</v>
      </c>
      <c r="GZ33" s="627">
        <f>'2_квартал'!G28</f>
        <v>1.7</v>
      </c>
      <c r="HA33" s="239">
        <f t="shared" si="16"/>
        <v>13.412000000000001</v>
      </c>
      <c r="HB33" s="36" t="str">
        <f t="shared" si="17"/>
        <v>йодат кальция</v>
      </c>
      <c r="HC33" s="664"/>
      <c r="HD33" s="22"/>
      <c r="HE33" s="22"/>
    </row>
    <row r="34" spans="1:213" ht="15.9" customHeight="1" x14ac:dyDescent="0.3">
      <c r="A34" s="127">
        <f t="shared" si="18"/>
        <v>23</v>
      </c>
      <c r="B34" s="688" t="s">
        <v>8</v>
      </c>
      <c r="C34" s="565">
        <f>'2_квартал'!G29</f>
        <v>9.5449999999999999</v>
      </c>
      <c r="D34" s="346">
        <f>19.07</f>
        <v>19.07</v>
      </c>
      <c r="E34" s="241">
        <f>2.65+4.5</f>
        <v>7.15</v>
      </c>
      <c r="F34" s="572">
        <v>19.635000000000002</v>
      </c>
      <c r="G34" s="299">
        <f t="shared" si="8"/>
        <v>15.285</v>
      </c>
      <c r="H34" s="93">
        <v>45.5</v>
      </c>
      <c r="I34" s="93">
        <v>25.864999999999998</v>
      </c>
      <c r="J34" s="94"/>
      <c r="K34" s="319"/>
      <c r="L34" s="319"/>
      <c r="M34" s="319">
        <v>0.18</v>
      </c>
      <c r="N34" s="319">
        <f>0.129*3</f>
        <v>0.38700000000000001</v>
      </c>
      <c r="O34" s="319">
        <v>0.64300000000000002</v>
      </c>
      <c r="P34" s="319">
        <v>0.03</v>
      </c>
      <c r="Q34" s="319">
        <f>6.434/15*7</f>
        <v>3.0025333333333335</v>
      </c>
      <c r="R34" s="319">
        <f>6.434/15*10.4</f>
        <v>4.4609066666666672</v>
      </c>
      <c r="S34" s="319">
        <f>6.434/15*2.6</f>
        <v>1.1152266666666668</v>
      </c>
      <c r="T34" s="319">
        <v>2.5999999999999999E-2</v>
      </c>
      <c r="U34" s="319">
        <f>0.129*9</f>
        <v>1.161</v>
      </c>
      <c r="V34" s="319">
        <v>0.129</v>
      </c>
      <c r="W34" s="319">
        <f>0.193*2</f>
        <v>0.38600000000000001</v>
      </c>
      <c r="X34" s="319"/>
      <c r="Y34" s="245">
        <v>1.9E-2</v>
      </c>
      <c r="Z34" s="177">
        <v>0.17100000000000001</v>
      </c>
      <c r="AA34" s="272">
        <v>2.145</v>
      </c>
      <c r="AB34" s="24"/>
      <c r="AC34" s="319">
        <v>2.3E-2</v>
      </c>
      <c r="AD34" s="319">
        <v>1.2999999999999999E-2</v>
      </c>
      <c r="AE34" s="319">
        <v>1.7999999999999999E-2</v>
      </c>
      <c r="AF34" s="319">
        <v>5.2999999999999999E-2</v>
      </c>
      <c r="AG34" s="319"/>
      <c r="AH34" s="177">
        <v>2.9000000000000001E-2</v>
      </c>
      <c r="AI34" s="177">
        <v>0.96499999999999997</v>
      </c>
      <c r="AJ34" s="319">
        <f>0.026*0.8</f>
        <v>2.0799999999999999E-2</v>
      </c>
      <c r="AK34" s="319">
        <f>0.129*1.5</f>
        <v>0.19350000000000001</v>
      </c>
      <c r="AL34" s="319">
        <f>0.026*0.6</f>
        <v>1.5599999999999999E-2</v>
      </c>
      <c r="AM34" s="319">
        <f>0.129*3</f>
        <v>0.38700000000000001</v>
      </c>
      <c r="AN34" s="319">
        <f>0.064*0.9</f>
        <v>5.7600000000000005E-2</v>
      </c>
      <c r="AO34" s="319">
        <v>1.2869999999999999</v>
      </c>
      <c r="AP34" s="319"/>
      <c r="AQ34" s="319"/>
      <c r="AR34" s="319"/>
      <c r="AS34" s="319">
        <f>0.064*3</f>
        <v>0.192</v>
      </c>
      <c r="AT34" s="319">
        <v>0.10299999999999999</v>
      </c>
      <c r="AU34" s="319">
        <v>4.7E-2</v>
      </c>
      <c r="AV34" s="319">
        <f>0.515/4*2</f>
        <v>0.25750000000000001</v>
      </c>
      <c r="AW34" s="319"/>
      <c r="AX34" s="319">
        <v>0.05</v>
      </c>
      <c r="AY34" s="319">
        <f>0.515/4*2</f>
        <v>0.25750000000000001</v>
      </c>
      <c r="AZ34" s="319">
        <f>0.18/2.4*1.5</f>
        <v>0.11249999999999999</v>
      </c>
      <c r="BA34" s="319">
        <v>9.2999999999999999E-2</v>
      </c>
      <c r="BB34" s="319"/>
      <c r="BC34" s="319">
        <f>0.043/2*2.4</f>
        <v>5.1599999999999993E-2</v>
      </c>
      <c r="BD34" s="319">
        <f>0.026*2</f>
        <v>5.1999999999999998E-2</v>
      </c>
      <c r="BE34" s="319"/>
      <c r="BF34" s="319"/>
      <c r="BG34" s="319">
        <f>0.257/1.5*0.4</f>
        <v>6.8533333333333335E-2</v>
      </c>
      <c r="BH34" s="319">
        <f>0.028*0.6</f>
        <v>1.6799999999999999E-2</v>
      </c>
      <c r="BI34" s="319">
        <f>0.029*0.6</f>
        <v>1.7399999999999999E-2</v>
      </c>
      <c r="BJ34" s="319">
        <f>0.03*2</f>
        <v>0.06</v>
      </c>
      <c r="BK34" s="319">
        <f>0.064*1.5</f>
        <v>9.6000000000000002E-2</v>
      </c>
      <c r="BL34" s="319">
        <f>0.129*3.5</f>
        <v>0.45150000000000001</v>
      </c>
      <c r="BM34" s="319">
        <v>0.18</v>
      </c>
      <c r="BN34" s="319"/>
      <c r="BO34" s="319"/>
      <c r="BP34" s="319"/>
      <c r="BQ34" s="460"/>
      <c r="BR34" s="319"/>
      <c r="BS34" s="158">
        <f t="shared" si="10"/>
        <v>19.0245</v>
      </c>
      <c r="BT34" s="94"/>
      <c r="BU34" s="319">
        <f>0.18/2.4*2</f>
        <v>0.15</v>
      </c>
      <c r="BV34" s="319">
        <v>0.12</v>
      </c>
      <c r="BW34" s="319">
        <f>0.086/3*1.5</f>
        <v>4.2999999999999997E-2</v>
      </c>
      <c r="BX34" s="319">
        <f>0.515/3*1.5</f>
        <v>0.25750000000000001</v>
      </c>
      <c r="BY34" s="319">
        <f>0.114/4*2</f>
        <v>5.7000000000000002E-2</v>
      </c>
      <c r="BZ34" s="319">
        <f>0.129*3</f>
        <v>0.38700000000000001</v>
      </c>
      <c r="CA34" s="319">
        <v>5.2999999999999999E-2</v>
      </c>
      <c r="CB34" s="319">
        <v>1.4999999999999999E-2</v>
      </c>
      <c r="CC34" s="319">
        <v>3.5999999999999997E-2</v>
      </c>
      <c r="CD34" s="319">
        <v>0.193</v>
      </c>
      <c r="CE34" s="319">
        <v>5.0999999999999997E-2</v>
      </c>
      <c r="CF34" s="319">
        <v>3.1E-2</v>
      </c>
      <c r="CG34" s="319">
        <v>0.64300000000000002</v>
      </c>
      <c r="CH34" s="319">
        <v>1.0999999999999999E-2</v>
      </c>
      <c r="CI34" s="319"/>
      <c r="CJ34" s="319">
        <f>0.131*6</f>
        <v>0.78600000000000003</v>
      </c>
      <c r="CK34" s="319">
        <v>0.06</v>
      </c>
      <c r="CL34" s="319">
        <f>0.075*3</f>
        <v>0.22499999999999998</v>
      </c>
      <c r="CM34" s="319">
        <f>0.053/0.6*0.5</f>
        <v>4.4166666666666667E-2</v>
      </c>
      <c r="CN34" s="319">
        <v>3.1E-2</v>
      </c>
      <c r="CO34" s="319">
        <f>0.438/5*3</f>
        <v>0.26279999999999998</v>
      </c>
      <c r="CP34" s="319">
        <f>0.438/5*2</f>
        <v>0.17519999999999999</v>
      </c>
      <c r="CQ34" s="319"/>
      <c r="CR34" s="319">
        <f>0.066*0.9</f>
        <v>5.9400000000000001E-2</v>
      </c>
      <c r="CS34" s="319">
        <f>0.131*2</f>
        <v>0.26200000000000001</v>
      </c>
      <c r="CT34" s="319">
        <f>0.515/3*1.5</f>
        <v>0.25750000000000001</v>
      </c>
      <c r="CU34" s="319">
        <f>0.086/3*1.5</f>
        <v>4.2999999999999997E-2</v>
      </c>
      <c r="CV34" s="319">
        <f>0.117/4*2</f>
        <v>5.8500000000000003E-2</v>
      </c>
      <c r="CW34" s="319">
        <v>0.02</v>
      </c>
      <c r="CX34" s="319">
        <f>0.131*4.2</f>
        <v>0.55020000000000002</v>
      </c>
      <c r="CY34" s="177">
        <v>8.0000000000000002E-3</v>
      </c>
      <c r="CZ34" s="32">
        <v>3.1E-2</v>
      </c>
      <c r="DA34" s="32">
        <f>0.006+0.02</f>
        <v>2.6000000000000002E-2</v>
      </c>
      <c r="DB34" s="319">
        <f>0.026*0.6</f>
        <v>1.5599999999999999E-2</v>
      </c>
      <c r="DC34" s="319">
        <f>0.031*0.3</f>
        <v>9.2999999999999992E-3</v>
      </c>
      <c r="DD34" s="319">
        <v>9.9000000000000005E-2</v>
      </c>
      <c r="DE34" s="319">
        <v>5.2999999999999999E-2</v>
      </c>
      <c r="DF34" s="319">
        <v>0.20399999999999999</v>
      </c>
      <c r="DG34" s="319">
        <f>0.031*3.9</f>
        <v>0.12089999999999999</v>
      </c>
      <c r="DH34" s="319">
        <f>0.077*1.2</f>
        <v>9.2399999999999996E-2</v>
      </c>
      <c r="DI34" s="319">
        <f>0.526/4*5</f>
        <v>0.65749999999999997</v>
      </c>
      <c r="DJ34" s="319">
        <f>0.048*2.5</f>
        <v>0.12</v>
      </c>
      <c r="DK34" s="319">
        <f>0.066*1.5</f>
        <v>9.9000000000000005E-2</v>
      </c>
      <c r="DL34" s="319">
        <f>0.066</f>
        <v>6.6000000000000003E-2</v>
      </c>
      <c r="DM34" s="319">
        <f>0.051*1.5</f>
        <v>7.6499999999999999E-2</v>
      </c>
      <c r="DN34" s="319">
        <f>0.105/4*3</f>
        <v>7.8750000000000001E-2</v>
      </c>
      <c r="DO34" s="319">
        <f>0.061/0.8*0.4</f>
        <v>3.0499999999999999E-2</v>
      </c>
      <c r="DP34" s="319">
        <f>0.016/1.8*0.9</f>
        <v>8.0000000000000002E-3</v>
      </c>
      <c r="DQ34" s="319">
        <f>0.037/1.2*0.6</f>
        <v>1.8499999999999999E-2</v>
      </c>
      <c r="DR34" s="319">
        <v>0.26300000000000001</v>
      </c>
      <c r="DS34" s="319">
        <v>0.184</v>
      </c>
      <c r="DT34" s="419">
        <f t="shared" si="11"/>
        <v>7.1432166666666665</v>
      </c>
      <c r="DU34" s="57"/>
      <c r="DV34" s="319">
        <v>0.123</v>
      </c>
      <c r="DW34" s="319">
        <f>0.077*2</f>
        <v>0.154</v>
      </c>
      <c r="DX34" s="319">
        <v>9.5000000000000001E-2</v>
      </c>
      <c r="DY34" s="319">
        <f>0.031*1.5</f>
        <v>4.65E-2</v>
      </c>
      <c r="DZ34" s="319"/>
      <c r="EA34" s="319"/>
      <c r="EB34" s="319">
        <f>8.765/20*10</f>
        <v>4.3825000000000003</v>
      </c>
      <c r="EC34" s="319">
        <f>8.765/20*10</f>
        <v>4.3825000000000003</v>
      </c>
      <c r="ED34" s="319">
        <v>5.2999999999999999E-2</v>
      </c>
      <c r="EE34" s="319">
        <v>3.1E-2</v>
      </c>
      <c r="EF34" s="319">
        <f>0.026*1.5</f>
        <v>3.9E-2</v>
      </c>
      <c r="EG34" s="177">
        <v>0.23300000000000001</v>
      </c>
      <c r="EH34" s="177">
        <f>5.259/12*8</f>
        <v>3.5060000000000002</v>
      </c>
      <c r="EI34" s="177">
        <f>5.259/12*4</f>
        <v>1.7530000000000001</v>
      </c>
      <c r="EJ34" s="319">
        <f>0.061/0.8*0.4</f>
        <v>3.0499999999999999E-2</v>
      </c>
      <c r="EK34" s="319">
        <f>0.037/1.2*0.6</f>
        <v>1.8499999999999999E-2</v>
      </c>
      <c r="EL34" s="319">
        <f>0.016/1.8*0.9</f>
        <v>8.0000000000000002E-3</v>
      </c>
      <c r="EM34" s="319">
        <f>0.131</f>
        <v>0.13100000000000001</v>
      </c>
      <c r="EN34" s="319">
        <f>0.031*2</f>
        <v>6.2E-2</v>
      </c>
      <c r="EO34" s="319">
        <f>0.026</f>
        <v>2.5999999999999999E-2</v>
      </c>
      <c r="EP34" s="319"/>
      <c r="EQ34" s="319"/>
      <c r="ER34" s="319">
        <f>0.031*2.5</f>
        <v>7.7499999999999999E-2</v>
      </c>
      <c r="ES34" s="319">
        <f>0.009/0.3*0.6</f>
        <v>1.7999999999999999E-2</v>
      </c>
      <c r="ET34" s="319">
        <v>3.9E-2</v>
      </c>
      <c r="EU34" s="319">
        <f>0.131*4</f>
        <v>0.52400000000000002</v>
      </c>
      <c r="EV34" s="319"/>
      <c r="EW34" s="319">
        <v>2.3E-2</v>
      </c>
      <c r="EX34" s="319">
        <f>0.131*2</f>
        <v>0.26200000000000001</v>
      </c>
      <c r="EY34" s="319">
        <f>0.789/6*3</f>
        <v>0.39450000000000002</v>
      </c>
      <c r="EZ34" s="319">
        <v>0.65700000000000003</v>
      </c>
      <c r="FA34" s="319">
        <f>0.077/1.5</f>
        <v>5.1333333333333335E-2</v>
      </c>
      <c r="FB34" s="319">
        <v>3.3000000000000002E-2</v>
      </c>
      <c r="FC34" s="319">
        <f>0.131*1.5</f>
        <v>0.19650000000000001</v>
      </c>
      <c r="FD34" s="319">
        <f>0.031</f>
        <v>3.1E-2</v>
      </c>
      <c r="FE34" s="319">
        <f>0.23</f>
        <v>0.23</v>
      </c>
      <c r="FF34" s="319">
        <f>0.131*0.3</f>
        <v>3.9300000000000002E-2</v>
      </c>
      <c r="FG34" s="319"/>
      <c r="FH34" s="319">
        <v>3.6999999999999998E-2</v>
      </c>
      <c r="FI34" s="319">
        <v>0.19700000000000001</v>
      </c>
      <c r="FJ34" s="319"/>
      <c r="FK34" s="319">
        <v>1.6E-2</v>
      </c>
      <c r="FL34" s="319">
        <f>0.263/2*2.1</f>
        <v>0.27615000000000001</v>
      </c>
      <c r="FM34" s="319">
        <v>0.438</v>
      </c>
      <c r="FN34" s="319">
        <v>0.02</v>
      </c>
      <c r="FO34" s="319">
        <v>7.0000000000000007E-2</v>
      </c>
      <c r="FP34" s="319">
        <v>1.7000000000000001E-2</v>
      </c>
      <c r="FQ34" s="319">
        <v>1.7000000000000001E-2</v>
      </c>
      <c r="FR34" s="319">
        <v>1.6E-2</v>
      </c>
      <c r="FS34" s="319">
        <f>0.131*3</f>
        <v>0.39300000000000002</v>
      </c>
      <c r="FT34" s="319">
        <f>0.131*1.9</f>
        <v>0.24890000000000001</v>
      </c>
      <c r="FU34" s="319">
        <f>0.077*3</f>
        <v>0.23099999999999998</v>
      </c>
      <c r="FV34" s="319">
        <f>0.016/1.8*0.5</f>
        <v>4.4444444444444444E-3</v>
      </c>
      <c r="FW34" s="319"/>
      <c r="FX34" s="319"/>
      <c r="FY34" s="319"/>
      <c r="FZ34" s="319"/>
      <c r="GA34" s="158">
        <f t="shared" si="12"/>
        <v>19.632127777777775</v>
      </c>
      <c r="GB34" s="95"/>
      <c r="GC34" s="374"/>
      <c r="GD34" s="319"/>
      <c r="GE34" s="319"/>
      <c r="GF34" s="319"/>
      <c r="GG34" s="319"/>
      <c r="GH34" s="319"/>
      <c r="GI34" s="319"/>
      <c r="GJ34" s="319"/>
      <c r="GK34" s="319"/>
      <c r="GL34" s="319"/>
      <c r="GM34" s="319"/>
      <c r="GN34" s="319"/>
      <c r="GO34" s="319"/>
      <c r="GP34" s="319"/>
      <c r="GQ34" s="28"/>
      <c r="GR34" s="270"/>
      <c r="GS34" s="177"/>
      <c r="GT34" s="177"/>
      <c r="GU34" s="741"/>
      <c r="GV34" s="435"/>
      <c r="GW34" s="327">
        <f t="shared" si="13"/>
        <v>0</v>
      </c>
      <c r="GX34" s="445">
        <f t="shared" si="14"/>
        <v>25.864999999999998</v>
      </c>
      <c r="GY34" s="605">
        <f t="shared" si="15"/>
        <v>25.864999999999998</v>
      </c>
      <c r="GZ34" s="627">
        <f>'2_квартал'!G29</f>
        <v>9.5449999999999999</v>
      </c>
      <c r="HA34" s="239">
        <f t="shared" si="16"/>
        <v>7.15</v>
      </c>
      <c r="HB34" s="36" t="str">
        <f t="shared" si="17"/>
        <v>кобальт у/к</v>
      </c>
      <c r="HC34" s="664"/>
      <c r="HD34" s="22"/>
      <c r="HE34" s="22"/>
    </row>
    <row r="35" spans="1:213" ht="15.9" customHeight="1" x14ac:dyDescent="0.3">
      <c r="A35" s="127">
        <f t="shared" si="18"/>
        <v>24</v>
      </c>
      <c r="B35" s="688" t="s">
        <v>10</v>
      </c>
      <c r="C35" s="565">
        <f>'2_квартал'!G30</f>
        <v>2.1560000000000001</v>
      </c>
      <c r="D35" s="346">
        <f>0.045+2.894</f>
        <v>2.9390000000000001</v>
      </c>
      <c r="E35" s="241">
        <v>1.33</v>
      </c>
      <c r="F35" s="572">
        <v>2.2879999999999998</v>
      </c>
      <c r="G35" s="299">
        <f t="shared" si="8"/>
        <v>2.1859999999999999</v>
      </c>
      <c r="H35" s="93">
        <v>15.753</v>
      </c>
      <c r="I35" s="93">
        <v>13.465</v>
      </c>
      <c r="J35" s="112"/>
      <c r="K35" s="319"/>
      <c r="L35" s="319"/>
      <c r="M35" s="319"/>
      <c r="N35" s="319"/>
      <c r="O35" s="319">
        <f>0.346+0.045</f>
        <v>0.39099999999999996</v>
      </c>
      <c r="P35" s="319"/>
      <c r="Q35" s="319">
        <f>0.672/15*7</f>
        <v>0.31359999999999999</v>
      </c>
      <c r="R35" s="319">
        <f>0.672/15*10.4</f>
        <v>0.46592</v>
      </c>
      <c r="S35" s="319">
        <f>0.672/15*2.6</f>
        <v>0.11648</v>
      </c>
      <c r="T35" s="319"/>
      <c r="U35" s="319"/>
      <c r="V35" s="319"/>
      <c r="W35" s="319">
        <f>0.038*2</f>
        <v>7.5999999999999998E-2</v>
      </c>
      <c r="X35" s="319"/>
      <c r="Y35" s="245">
        <v>4.0000000000000001E-3</v>
      </c>
      <c r="Z35" s="177">
        <v>2.7E-2</v>
      </c>
      <c r="AA35" s="272">
        <v>4.4999999999999998E-2</v>
      </c>
      <c r="AB35" s="24"/>
      <c r="AC35" s="319"/>
      <c r="AD35" s="319"/>
      <c r="AE35" s="319"/>
      <c r="AF35" s="319">
        <v>3.9E-2</v>
      </c>
      <c r="AG35" s="319"/>
      <c r="AH35" s="177">
        <v>1.0999999999999999E-2</v>
      </c>
      <c r="AI35" s="177">
        <v>0.19</v>
      </c>
      <c r="AJ35" s="319"/>
      <c r="AK35" s="319"/>
      <c r="AL35" s="319"/>
      <c r="AM35" s="319"/>
      <c r="AN35" s="319">
        <f>0.016*0.9</f>
        <v>1.4400000000000001E-2</v>
      </c>
      <c r="AO35" s="319">
        <v>0.78400000000000003</v>
      </c>
      <c r="AP35" s="319">
        <f>0.016*5</f>
        <v>0.08</v>
      </c>
      <c r="AQ35" s="319"/>
      <c r="AR35" s="319"/>
      <c r="AS35" s="319">
        <f>0.016*3</f>
        <v>4.8000000000000001E-2</v>
      </c>
      <c r="AT35" s="319"/>
      <c r="AU35" s="319">
        <v>1.6E-2</v>
      </c>
      <c r="AV35" s="319"/>
      <c r="AW35" s="319"/>
      <c r="AX35" s="319"/>
      <c r="AY35" s="319"/>
      <c r="AZ35" s="319"/>
      <c r="BA35" s="319">
        <v>0.02</v>
      </c>
      <c r="BB35" s="319"/>
      <c r="BC35" s="319">
        <f>0.007/2*2.4</f>
        <v>8.3999999999999995E-3</v>
      </c>
      <c r="BD35" s="319"/>
      <c r="BE35" s="319"/>
      <c r="BF35" s="319"/>
      <c r="BG35" s="319"/>
      <c r="BH35" s="319"/>
      <c r="BI35" s="319"/>
      <c r="BJ35" s="319"/>
      <c r="BK35" s="319"/>
      <c r="BL35" s="319">
        <f>0.078*3.5</f>
        <v>0.27300000000000002</v>
      </c>
      <c r="BM35" s="319"/>
      <c r="BN35" s="319"/>
      <c r="BO35" s="319"/>
      <c r="BP35" s="319"/>
      <c r="BQ35" s="460"/>
      <c r="BR35" s="319"/>
      <c r="BS35" s="158">
        <f t="shared" si="10"/>
        <v>2.9227999999999996</v>
      </c>
      <c r="BT35" s="112"/>
      <c r="BU35" s="319"/>
      <c r="BV35" s="319"/>
      <c r="BW35" s="319">
        <f>0.013/3*1.5</f>
        <v>6.4999999999999997E-3</v>
      </c>
      <c r="BX35" s="319"/>
      <c r="BY35" s="319">
        <f>0.018/4*2</f>
        <v>8.9999999999999993E-3</v>
      </c>
      <c r="BZ35" s="319"/>
      <c r="CA35" s="319">
        <v>3.9E-2</v>
      </c>
      <c r="CB35" s="319"/>
      <c r="CC35" s="319"/>
      <c r="CD35" s="319"/>
      <c r="CE35" s="319"/>
      <c r="CF35" s="319">
        <v>5.0000000000000001E-3</v>
      </c>
      <c r="CG35" s="319">
        <v>0.01</v>
      </c>
      <c r="CH35" s="319">
        <v>2E-3</v>
      </c>
      <c r="CI35" s="319"/>
      <c r="CJ35" s="319">
        <f>0.078*6</f>
        <v>0.46799999999999997</v>
      </c>
      <c r="CK35" s="319"/>
      <c r="CL35" s="319"/>
      <c r="CM35" s="319"/>
      <c r="CN35" s="319"/>
      <c r="CO35" s="319">
        <f>0.095/5*3</f>
        <v>5.6999999999999995E-2</v>
      </c>
      <c r="CP35" s="319">
        <f>0.095/5*2</f>
        <v>3.7999999999999999E-2</v>
      </c>
      <c r="CQ35" s="319"/>
      <c r="CR35" s="319">
        <f>0.016*0.9</f>
        <v>1.4400000000000001E-2</v>
      </c>
      <c r="CS35" s="319"/>
      <c r="CT35" s="319"/>
      <c r="CU35" s="319">
        <f>0.013/3*1.5</f>
        <v>6.4999999999999997E-3</v>
      </c>
      <c r="CV35" s="319">
        <f>0.018/4*2</f>
        <v>8.9999999999999993E-3</v>
      </c>
      <c r="CW35" s="319">
        <v>4.0000000000000001E-3</v>
      </c>
      <c r="CX35" s="319">
        <f>0.078*4.2</f>
        <v>0.3276</v>
      </c>
      <c r="CY35" s="177">
        <v>0.214</v>
      </c>
      <c r="CZ35" s="32"/>
      <c r="DA35" s="32"/>
      <c r="DB35" s="319"/>
      <c r="DC35" s="319"/>
      <c r="DD35" s="319"/>
      <c r="DE35" s="319">
        <v>8.0000000000000002E-3</v>
      </c>
      <c r="DF35" s="319"/>
      <c r="DG35" s="319"/>
      <c r="DH35" s="319"/>
      <c r="DI35" s="319"/>
      <c r="DJ35" s="319">
        <f>0.016*2.5</f>
        <v>0.04</v>
      </c>
      <c r="DK35" s="319">
        <f>0.016*1.5</f>
        <v>2.4E-2</v>
      </c>
      <c r="DL35" s="319">
        <f>0.016</f>
        <v>1.6E-2</v>
      </c>
      <c r="DM35" s="319"/>
      <c r="DN35" s="319"/>
      <c r="DO35" s="319">
        <f>0.045/0.8*0.4</f>
        <v>2.2499999999999999E-2</v>
      </c>
      <c r="DP35" s="319"/>
      <c r="DQ35" s="319"/>
      <c r="DR35" s="319"/>
      <c r="DS35" s="319"/>
      <c r="DT35" s="419">
        <f t="shared" si="11"/>
        <v>1.3205</v>
      </c>
      <c r="DU35" s="57"/>
      <c r="DV35" s="319"/>
      <c r="DW35" s="319"/>
      <c r="DX35" s="319"/>
      <c r="DY35" s="319"/>
      <c r="DZ35" s="319">
        <f>0.016*3</f>
        <v>4.8000000000000001E-2</v>
      </c>
      <c r="EA35" s="319"/>
      <c r="EB35" s="319">
        <f>0.896/20*10</f>
        <v>0.44800000000000001</v>
      </c>
      <c r="EC35" s="319">
        <f>0.896/20*10</f>
        <v>0.44800000000000001</v>
      </c>
      <c r="ED35" s="319"/>
      <c r="EE35" s="319"/>
      <c r="EF35" s="319"/>
      <c r="EG35" s="177">
        <v>3.5999999999999997E-2</v>
      </c>
      <c r="EH35" s="177">
        <f>0.108/12*8</f>
        <v>7.1999999999999995E-2</v>
      </c>
      <c r="EI35" s="177">
        <f>0.108/12*4</f>
        <v>3.5999999999999997E-2</v>
      </c>
      <c r="EJ35" s="319">
        <f>0.045/0.8*0.4</f>
        <v>2.2499999999999999E-2</v>
      </c>
      <c r="EK35" s="319"/>
      <c r="EL35" s="319"/>
      <c r="EM35" s="319">
        <f>0.078</f>
        <v>7.8E-2</v>
      </c>
      <c r="EN35" s="319"/>
      <c r="EO35" s="319"/>
      <c r="EP35" s="319"/>
      <c r="EQ35" s="319"/>
      <c r="ER35" s="319"/>
      <c r="ES35" s="319"/>
      <c r="ET35" s="319"/>
      <c r="EU35" s="319">
        <f>0.078*4</f>
        <v>0.312</v>
      </c>
      <c r="EV35" s="319">
        <v>1.2999999999999999E-2</v>
      </c>
      <c r="EW35" s="319"/>
      <c r="EX35" s="319"/>
      <c r="EY35" s="319">
        <f>0.47/6*3</f>
        <v>0.23499999999999999</v>
      </c>
      <c r="EZ35" s="319"/>
      <c r="FA35" s="319"/>
      <c r="FB35" s="319"/>
      <c r="FC35" s="319">
        <f>0.078*1.5</f>
        <v>0.11699999999999999</v>
      </c>
      <c r="FD35" s="319"/>
      <c r="FE35" s="319"/>
      <c r="FF35" s="319">
        <f>0.078*0.3</f>
        <v>2.3400000000000001E-2</v>
      </c>
      <c r="FG35" s="319"/>
      <c r="FH35" s="319">
        <v>6.0000000000000001E-3</v>
      </c>
      <c r="FI35" s="319">
        <v>4.7E-2</v>
      </c>
      <c r="FJ35" s="319">
        <f>0.016*5</f>
        <v>0.08</v>
      </c>
      <c r="FK35" s="319"/>
      <c r="FL35" s="319"/>
      <c r="FM35" s="319">
        <v>9.5000000000000001E-2</v>
      </c>
      <c r="FN35" s="319">
        <v>4.0000000000000001E-3</v>
      </c>
      <c r="FO35" s="319"/>
      <c r="FP35" s="319">
        <v>3.0000000000000001E-3</v>
      </c>
      <c r="FQ35" s="319">
        <v>3.0000000000000001E-3</v>
      </c>
      <c r="FR35" s="319"/>
      <c r="FS35" s="319"/>
      <c r="FT35" s="319">
        <f>0.078*1.9</f>
        <v>0.1482</v>
      </c>
      <c r="FU35" s="319"/>
      <c r="FV35" s="319"/>
      <c r="FW35" s="319"/>
      <c r="FX35" s="319"/>
      <c r="FY35" s="319"/>
      <c r="FZ35" s="319"/>
      <c r="GA35" s="158">
        <f t="shared" si="12"/>
        <v>2.2751000000000006</v>
      </c>
      <c r="GB35" s="113"/>
      <c r="GC35" s="374"/>
      <c r="GD35" s="319"/>
      <c r="GE35" s="319"/>
      <c r="GF35" s="319"/>
      <c r="GG35" s="319"/>
      <c r="GH35" s="319"/>
      <c r="GI35" s="319"/>
      <c r="GJ35" s="319"/>
      <c r="GK35" s="319"/>
      <c r="GL35" s="319"/>
      <c r="GM35" s="319"/>
      <c r="GN35" s="319"/>
      <c r="GO35" s="319"/>
      <c r="GP35" s="319"/>
      <c r="GQ35" s="28"/>
      <c r="GR35" s="270"/>
      <c r="GS35" s="177"/>
      <c r="GT35" s="177"/>
      <c r="GU35" s="741"/>
      <c r="GV35" s="435"/>
      <c r="GW35" s="327">
        <f t="shared" si="13"/>
        <v>0</v>
      </c>
      <c r="GX35" s="445">
        <f t="shared" si="14"/>
        <v>13.465</v>
      </c>
      <c r="GY35" s="605">
        <f t="shared" si="15"/>
        <v>13.465</v>
      </c>
      <c r="GZ35" s="627">
        <f>'2_квартал'!G30</f>
        <v>2.1560000000000001</v>
      </c>
      <c r="HA35" s="239">
        <f t="shared" si="16"/>
        <v>1.33</v>
      </c>
      <c r="HB35" s="36" t="str">
        <f t="shared" si="17"/>
        <v>селенит натрия</v>
      </c>
      <c r="HC35" s="664"/>
      <c r="HD35" s="14"/>
      <c r="HE35" s="14"/>
    </row>
    <row r="36" spans="1:213" ht="15.9" customHeight="1" x14ac:dyDescent="0.3">
      <c r="A36" s="127">
        <f t="shared" si="18"/>
        <v>25</v>
      </c>
      <c r="B36" s="688" t="s">
        <v>16</v>
      </c>
      <c r="C36" s="565">
        <f>'2_квартал'!G31</f>
        <v>0</v>
      </c>
      <c r="D36" s="346">
        <v>19.66</v>
      </c>
      <c r="E36" s="241">
        <v>666.89</v>
      </c>
      <c r="F36" s="572">
        <f>313.45+1000+340.18</f>
        <v>1653.63</v>
      </c>
      <c r="G36" s="299">
        <f t="shared" si="8"/>
        <v>780.06</v>
      </c>
      <c r="H36" s="93">
        <f>313.45+1000+1000+1000+1000</f>
        <v>4313.45</v>
      </c>
      <c r="I36" s="93">
        <f>659.82+1000+1000</f>
        <v>2659.82</v>
      </c>
      <c r="J36" s="112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245"/>
      <c r="Z36" s="177"/>
      <c r="AA36" s="272"/>
      <c r="AB36" s="24"/>
      <c r="AC36" s="319"/>
      <c r="AD36" s="319"/>
      <c r="AE36" s="319"/>
      <c r="AF36" s="319"/>
      <c r="AG36" s="319"/>
      <c r="AH36" s="177"/>
      <c r="AI36" s="177"/>
      <c r="AJ36" s="319"/>
      <c r="AK36" s="319"/>
      <c r="AL36" s="319"/>
      <c r="AM36" s="319"/>
      <c r="AN36" s="319"/>
      <c r="AO36" s="319"/>
      <c r="AP36" s="319"/>
      <c r="AQ36" s="319"/>
      <c r="AR36" s="319"/>
      <c r="AS36" s="319"/>
      <c r="AT36" s="319"/>
      <c r="AU36" s="319"/>
      <c r="AV36" s="319"/>
      <c r="AW36" s="319"/>
      <c r="AX36" s="319"/>
      <c r="AY36" s="319"/>
      <c r="AZ36" s="319"/>
      <c r="BA36" s="319"/>
      <c r="BB36" s="319"/>
      <c r="BC36" s="319"/>
      <c r="BD36" s="319"/>
      <c r="BE36" s="319"/>
      <c r="BF36" s="319"/>
      <c r="BG36" s="319">
        <f>7.56/1.5*0.4</f>
        <v>2.016</v>
      </c>
      <c r="BH36" s="319"/>
      <c r="BI36" s="319"/>
      <c r="BJ36" s="319"/>
      <c r="BK36" s="319"/>
      <c r="BL36" s="319">
        <f>5.04*3.5</f>
        <v>17.64</v>
      </c>
      <c r="BM36" s="319"/>
      <c r="BN36" s="319"/>
      <c r="BO36" s="319"/>
      <c r="BP36" s="319"/>
      <c r="BQ36" s="460"/>
      <c r="BR36" s="319"/>
      <c r="BS36" s="158">
        <f t="shared" si="10"/>
        <v>19.655999999999999</v>
      </c>
      <c r="BT36" s="112"/>
      <c r="BU36" s="319"/>
      <c r="BV36" s="319">
        <v>201.6</v>
      </c>
      <c r="BW36" s="319">
        <f>15.12/3*1.5</f>
        <v>7.5600000000000005</v>
      </c>
      <c r="BX36" s="319"/>
      <c r="BY36" s="319"/>
      <c r="BZ36" s="319">
        <f>5.04*3</f>
        <v>15.120000000000001</v>
      </c>
      <c r="CA36" s="319">
        <v>3.528</v>
      </c>
      <c r="CB36" s="319">
        <v>9.0719999999999992</v>
      </c>
      <c r="CC36" s="319">
        <v>6.048</v>
      </c>
      <c r="CD36" s="319">
        <v>24.192</v>
      </c>
      <c r="CE36" s="319"/>
      <c r="CF36" s="319"/>
      <c r="CG36" s="319"/>
      <c r="CH36" s="319"/>
      <c r="CI36" s="319"/>
      <c r="CJ36" s="319">
        <f>5.04*6</f>
        <v>30.240000000000002</v>
      </c>
      <c r="CK36" s="319">
        <v>10.08</v>
      </c>
      <c r="CL36" s="319">
        <f>5.04*3</f>
        <v>15.120000000000001</v>
      </c>
      <c r="CM36" s="319"/>
      <c r="CN36" s="319">
        <v>5.04</v>
      </c>
      <c r="CO36" s="319">
        <f>50.4/5*3</f>
        <v>30.240000000000002</v>
      </c>
      <c r="CP36" s="319">
        <f>50.4/5*2</f>
        <v>20.16</v>
      </c>
      <c r="CQ36" s="319"/>
      <c r="CR36" s="319">
        <f>5.04*0.9</f>
        <v>4.5360000000000005</v>
      </c>
      <c r="CS36" s="319">
        <f>5.04*2</f>
        <v>10.08</v>
      </c>
      <c r="CT36" s="319"/>
      <c r="CU36" s="319">
        <f>15.12/3*1.5</f>
        <v>7.5600000000000005</v>
      </c>
      <c r="CV36" s="319"/>
      <c r="CW36" s="319">
        <v>1.512</v>
      </c>
      <c r="CX36" s="319">
        <f>5.04*4.2</f>
        <v>21.168000000000003</v>
      </c>
      <c r="CY36" s="177"/>
      <c r="CZ36" s="32">
        <v>5.04</v>
      </c>
      <c r="DA36" s="32">
        <v>6.5519999999999996</v>
      </c>
      <c r="DB36" s="319">
        <f>5.04*0.6</f>
        <v>3.024</v>
      </c>
      <c r="DC36" s="319">
        <f>5.04*0.3</f>
        <v>1.512</v>
      </c>
      <c r="DD36" s="319">
        <v>48.384</v>
      </c>
      <c r="DE36" s="319">
        <v>14.515000000000001</v>
      </c>
      <c r="DF36" s="319">
        <v>21.873999999999999</v>
      </c>
      <c r="DG36" s="319">
        <f>7.056*3.9</f>
        <v>27.5184</v>
      </c>
      <c r="DH36" s="319">
        <f>7.056*1.2</f>
        <v>8.4672000000000001</v>
      </c>
      <c r="DI36" s="319"/>
      <c r="DJ36" s="319"/>
      <c r="DK36" s="319"/>
      <c r="DL36" s="319"/>
      <c r="DM36" s="319"/>
      <c r="DN36" s="319"/>
      <c r="DO36" s="319">
        <f>18.547/0.8*0.4</f>
        <v>9.2735000000000003</v>
      </c>
      <c r="DP36" s="319">
        <f>27.216/1.8*0.9</f>
        <v>13.608000000000001</v>
      </c>
      <c r="DQ36" s="319">
        <f>7.258/1.2*0.6</f>
        <v>3.629</v>
      </c>
      <c r="DR36" s="319">
        <v>80.64</v>
      </c>
      <c r="DS36" s="319"/>
      <c r="DT36" s="419">
        <f t="shared" si="11"/>
        <v>666.89310000000012</v>
      </c>
      <c r="DU36" s="57"/>
      <c r="DV36" s="319">
        <v>209.66399999999999</v>
      </c>
      <c r="DW36" s="319">
        <f>10.08*2</f>
        <v>20.16</v>
      </c>
      <c r="DX36" s="319">
        <v>12.096</v>
      </c>
      <c r="DY36" s="319">
        <f>50.4*1.5</f>
        <v>75.599999999999994</v>
      </c>
      <c r="DZ36" s="319">
        <f>10.08*3</f>
        <v>30.240000000000002</v>
      </c>
      <c r="EA36" s="319"/>
      <c r="EB36" s="319">
        <f>201.6/20*10</f>
        <v>100.8</v>
      </c>
      <c r="EC36" s="319">
        <f>201.6/20*10</f>
        <v>100.8</v>
      </c>
      <c r="ED36" s="319">
        <v>13.305999999999999</v>
      </c>
      <c r="EE36" s="319">
        <v>17.135999999999999</v>
      </c>
      <c r="EF36" s="319">
        <f>9.072*1.5</f>
        <v>13.607999999999999</v>
      </c>
      <c r="EG36" s="177">
        <v>49.368000000000002</v>
      </c>
      <c r="EH36" s="177">
        <f>148.116/12*8</f>
        <v>98.744000000000014</v>
      </c>
      <c r="EI36" s="177">
        <f>148.116/12*4</f>
        <v>49.372000000000007</v>
      </c>
      <c r="EJ36" s="319">
        <f>18.547/0.8*0.4</f>
        <v>9.2735000000000003</v>
      </c>
      <c r="EK36" s="319">
        <f>7.258/1.2*0.6</f>
        <v>3.629</v>
      </c>
      <c r="EL36" s="319">
        <f>27.216/1.8*0.9</f>
        <v>13.608000000000001</v>
      </c>
      <c r="EM36" s="319">
        <f>12.701</f>
        <v>12.701000000000001</v>
      </c>
      <c r="EN36" s="319">
        <f>50.4*2</f>
        <v>100.8</v>
      </c>
      <c r="EO36" s="319">
        <v>52.415999999999997</v>
      </c>
      <c r="EP36" s="319">
        <f>25.2</f>
        <v>25.2</v>
      </c>
      <c r="EQ36" s="319"/>
      <c r="ER36" s="319">
        <f>53.424*2.5</f>
        <v>133.56</v>
      </c>
      <c r="ES36" s="319">
        <f>6.048/0.3*0.6</f>
        <v>12.096</v>
      </c>
      <c r="ET36" s="319">
        <v>96.768000000000001</v>
      </c>
      <c r="EU36" s="319">
        <f>12.701*4</f>
        <v>50.804000000000002</v>
      </c>
      <c r="EV36" s="319">
        <v>30.856999999999999</v>
      </c>
      <c r="EW36" s="319">
        <v>7.56</v>
      </c>
      <c r="EX36" s="319">
        <f>5.04*2</f>
        <v>10.08</v>
      </c>
      <c r="EY36" s="319">
        <f>60.48/6*3</f>
        <v>30.240000000000002</v>
      </c>
      <c r="EZ36" s="319"/>
      <c r="FA36" s="319"/>
      <c r="FB36" s="319">
        <v>5.04</v>
      </c>
      <c r="FC36" s="319">
        <f>12.701*1.5</f>
        <v>19.051500000000001</v>
      </c>
      <c r="FD36" s="319">
        <f>22.176</f>
        <v>22.175999999999998</v>
      </c>
      <c r="FE36" s="319">
        <f>15.12</f>
        <v>15.12</v>
      </c>
      <c r="FF36" s="319">
        <f>12.701*0.3</f>
        <v>3.8102999999999998</v>
      </c>
      <c r="FG36" s="319"/>
      <c r="FH36" s="319">
        <v>18.850000000000001</v>
      </c>
      <c r="FI36" s="319"/>
      <c r="FJ36" s="319">
        <f>5.04*5</f>
        <v>25.2</v>
      </c>
      <c r="FK36" s="319">
        <v>3.024</v>
      </c>
      <c r="FL36" s="319">
        <f>10.08/2*2.1</f>
        <v>10.584000000000001</v>
      </c>
      <c r="FM36" s="319">
        <v>65.52</v>
      </c>
      <c r="FN36" s="319">
        <v>1.512</v>
      </c>
      <c r="FO36" s="319">
        <v>8.0640000000000001</v>
      </c>
      <c r="FP36" s="319">
        <v>3.024</v>
      </c>
      <c r="FQ36" s="319">
        <v>3.024</v>
      </c>
      <c r="FR36" s="319">
        <v>0.66900000000000004</v>
      </c>
      <c r="FS36" s="319">
        <f>5.04*3</f>
        <v>15.120000000000001</v>
      </c>
      <c r="FT36" s="319">
        <f>12.701*1.9</f>
        <v>24.131899999999998</v>
      </c>
      <c r="FU36" s="319">
        <f>5.04*3</f>
        <v>15.120000000000001</v>
      </c>
      <c r="FV36" s="319">
        <f>50.803/1.8*0.5</f>
        <v>14.111944444444443</v>
      </c>
      <c r="FW36" s="319"/>
      <c r="FX36" s="319"/>
      <c r="FY36" s="319"/>
      <c r="FZ36" s="319"/>
      <c r="GA36" s="158">
        <f t="shared" si="12"/>
        <v>1653.6391444444439</v>
      </c>
      <c r="GB36" s="113"/>
      <c r="GC36" s="374"/>
      <c r="GD36" s="319"/>
      <c r="GE36" s="319"/>
      <c r="GF36" s="319"/>
      <c r="GG36" s="319"/>
      <c r="GH36" s="319"/>
      <c r="GI36" s="319"/>
      <c r="GJ36" s="319"/>
      <c r="GK36" s="319"/>
      <c r="GL36" s="319"/>
      <c r="GM36" s="319"/>
      <c r="GN36" s="319"/>
      <c r="GO36" s="319"/>
      <c r="GP36" s="319"/>
      <c r="GQ36" s="28"/>
      <c r="GR36" s="270"/>
      <c r="GS36" s="177"/>
      <c r="GT36" s="177"/>
      <c r="GU36" s="741"/>
      <c r="GV36" s="435"/>
      <c r="GW36" s="327">
        <f t="shared" si="13"/>
        <v>0</v>
      </c>
      <c r="GX36" s="454">
        <f t="shared" si="14"/>
        <v>2659.82</v>
      </c>
      <c r="GY36" s="605">
        <f t="shared" si="15"/>
        <v>2659.82</v>
      </c>
      <c r="GZ36" s="627">
        <f>'2_квартал'!G31</f>
        <v>0</v>
      </c>
      <c r="HA36" s="239">
        <f t="shared" si="16"/>
        <v>666.89</v>
      </c>
      <c r="HB36" s="36" t="str">
        <f t="shared" si="17"/>
        <v>Метионин</v>
      </c>
      <c r="HC36" s="38"/>
      <c r="HD36" s="14"/>
      <c r="HE36" s="14"/>
    </row>
    <row r="37" spans="1:213" ht="15.9" customHeight="1" x14ac:dyDescent="0.3">
      <c r="A37" s="127">
        <f t="shared" si="18"/>
        <v>26</v>
      </c>
      <c r="B37" s="690" t="s">
        <v>312</v>
      </c>
      <c r="C37" s="565"/>
      <c r="D37" s="346">
        <v>0</v>
      </c>
      <c r="E37" s="241">
        <v>0</v>
      </c>
      <c r="F37" s="572">
        <v>61.26</v>
      </c>
      <c r="G37" s="299">
        <f t="shared" si="8"/>
        <v>20.420000000000002</v>
      </c>
      <c r="H37" s="93"/>
      <c r="I37" s="93">
        <v>338.74</v>
      </c>
      <c r="J37" s="112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245"/>
      <c r="Z37" s="177"/>
      <c r="AA37" s="272"/>
      <c r="AB37" s="24"/>
      <c r="AC37" s="319"/>
      <c r="AD37" s="319"/>
      <c r="AE37" s="319"/>
      <c r="AF37" s="319"/>
      <c r="AG37" s="319"/>
      <c r="AH37" s="177"/>
      <c r="AI37" s="177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  <c r="AY37" s="319"/>
      <c r="AZ37" s="319"/>
      <c r="BA37" s="319"/>
      <c r="BB37" s="319"/>
      <c r="BC37" s="319"/>
      <c r="BD37" s="319"/>
      <c r="BE37" s="319"/>
      <c r="BF37" s="319"/>
      <c r="BG37" s="319"/>
      <c r="BH37" s="319"/>
      <c r="BI37" s="319"/>
      <c r="BJ37" s="319"/>
      <c r="BK37" s="319"/>
      <c r="BL37" s="319"/>
      <c r="BM37" s="319"/>
      <c r="BN37" s="319"/>
      <c r="BO37" s="319"/>
      <c r="BP37" s="319"/>
      <c r="BQ37" s="460"/>
      <c r="BR37" s="319"/>
      <c r="BS37" s="158"/>
      <c r="BT37" s="112"/>
      <c r="BU37" s="319"/>
      <c r="BV37" s="319"/>
      <c r="BW37" s="319"/>
      <c r="BX37" s="319"/>
      <c r="BY37" s="319"/>
      <c r="BZ37" s="319"/>
      <c r="CA37" s="319"/>
      <c r="CB37" s="319"/>
      <c r="CC37" s="319"/>
      <c r="CD37" s="319"/>
      <c r="CE37" s="319"/>
      <c r="CF37" s="319"/>
      <c r="CG37" s="319"/>
      <c r="CH37" s="319"/>
      <c r="CI37" s="319"/>
      <c r="CJ37" s="319"/>
      <c r="CK37" s="319"/>
      <c r="CL37" s="319"/>
      <c r="CM37" s="319"/>
      <c r="CN37" s="319"/>
      <c r="CO37" s="319"/>
      <c r="CP37" s="319"/>
      <c r="CQ37" s="319"/>
      <c r="CR37" s="319"/>
      <c r="CS37" s="319"/>
      <c r="CT37" s="319"/>
      <c r="CU37" s="319"/>
      <c r="CV37" s="319"/>
      <c r="CW37" s="319"/>
      <c r="CX37" s="319"/>
      <c r="CY37" s="177"/>
      <c r="CZ37" s="32"/>
      <c r="DA37" s="32"/>
      <c r="DB37" s="319"/>
      <c r="DC37" s="319"/>
      <c r="DD37" s="319"/>
      <c r="DE37" s="319"/>
      <c r="DF37" s="319"/>
      <c r="DG37" s="319"/>
      <c r="DH37" s="319"/>
      <c r="DI37" s="319"/>
      <c r="DJ37" s="319"/>
      <c r="DK37" s="319"/>
      <c r="DL37" s="319"/>
      <c r="DM37" s="319"/>
      <c r="DN37" s="319"/>
      <c r="DO37" s="319"/>
      <c r="DP37" s="319"/>
      <c r="DQ37" s="319"/>
      <c r="DR37" s="319"/>
      <c r="DS37" s="319"/>
      <c r="DT37" s="419"/>
      <c r="DU37" s="57"/>
      <c r="DV37" s="319"/>
      <c r="DW37" s="319"/>
      <c r="DX37" s="319"/>
      <c r="DY37" s="319"/>
      <c r="DZ37" s="319"/>
      <c r="EA37" s="319"/>
      <c r="EB37" s="319"/>
      <c r="EC37" s="319"/>
      <c r="ED37" s="319"/>
      <c r="EE37" s="319"/>
      <c r="EF37" s="319"/>
      <c r="EG37" s="177"/>
      <c r="EH37" s="177"/>
      <c r="EI37" s="177"/>
      <c r="EJ37" s="319"/>
      <c r="EK37" s="319"/>
      <c r="EL37" s="319"/>
      <c r="EM37" s="319"/>
      <c r="EN37" s="319"/>
      <c r="EO37" s="319"/>
      <c r="EP37" s="319"/>
      <c r="EQ37" s="319"/>
      <c r="ER37" s="319"/>
      <c r="ES37" s="319"/>
      <c r="ET37" s="319"/>
      <c r="EU37" s="319"/>
      <c r="EV37" s="319"/>
      <c r="EW37" s="319"/>
      <c r="EX37" s="319"/>
      <c r="EY37" s="319"/>
      <c r="EZ37" s="319"/>
      <c r="FA37" s="319"/>
      <c r="FB37" s="319"/>
      <c r="FC37" s="319"/>
      <c r="FD37" s="319">
        <f>28.8</f>
        <v>28.8</v>
      </c>
      <c r="FE37" s="319"/>
      <c r="FF37" s="319"/>
      <c r="FG37" s="319"/>
      <c r="FH37" s="319"/>
      <c r="FI37" s="319"/>
      <c r="FJ37" s="319"/>
      <c r="FK37" s="319">
        <v>24.106000000000002</v>
      </c>
      <c r="FL37" s="319"/>
      <c r="FM37" s="319"/>
      <c r="FN37" s="319"/>
      <c r="FO37" s="319"/>
      <c r="FP37" s="319"/>
      <c r="FQ37" s="319"/>
      <c r="FR37" s="319"/>
      <c r="FS37" s="319"/>
      <c r="FT37" s="319"/>
      <c r="FU37" s="319"/>
      <c r="FV37" s="319">
        <f>30.067/1.8*0.5</f>
        <v>8.3519444444444435</v>
      </c>
      <c r="FW37" s="319"/>
      <c r="FX37" s="319"/>
      <c r="FY37" s="319"/>
      <c r="FZ37" s="319"/>
      <c r="GA37" s="158">
        <f t="shared" si="12"/>
        <v>61.257944444444448</v>
      </c>
      <c r="GB37" s="113"/>
      <c r="GC37" s="374"/>
      <c r="GD37" s="319"/>
      <c r="GE37" s="319"/>
      <c r="GF37" s="319"/>
      <c r="GG37" s="319"/>
      <c r="GH37" s="319"/>
      <c r="GI37" s="319"/>
      <c r="GJ37" s="319"/>
      <c r="GK37" s="319"/>
      <c r="GL37" s="319"/>
      <c r="GM37" s="319"/>
      <c r="GN37" s="319"/>
      <c r="GO37" s="319"/>
      <c r="GP37" s="319"/>
      <c r="GQ37" s="28"/>
      <c r="GR37" s="270"/>
      <c r="GS37" s="177"/>
      <c r="GT37" s="177"/>
      <c r="GU37" s="741"/>
      <c r="GV37" s="435"/>
      <c r="GW37" s="327">
        <f t="shared" si="13"/>
        <v>0</v>
      </c>
      <c r="GX37" s="445">
        <f t="shared" si="14"/>
        <v>338.74</v>
      </c>
      <c r="GY37" s="605">
        <f t="shared" si="15"/>
        <v>338.74</v>
      </c>
      <c r="GZ37" s="627">
        <f>'2_квартал'!G30</f>
        <v>2.1560000000000001</v>
      </c>
      <c r="HA37" s="239">
        <f t="shared" si="16"/>
        <v>0</v>
      </c>
      <c r="HB37" s="36" t="str">
        <f t="shared" si="17"/>
        <v>МиТаргет (Метионин защищённый)</v>
      </c>
      <c r="HC37" s="38"/>
      <c r="HD37" s="14"/>
      <c r="HE37" s="22"/>
    </row>
    <row r="38" spans="1:213" ht="15.9" customHeight="1" x14ac:dyDescent="0.3">
      <c r="A38" s="127">
        <f t="shared" si="18"/>
        <v>27</v>
      </c>
      <c r="B38" s="688" t="s">
        <v>14</v>
      </c>
      <c r="C38" s="565">
        <f>'2_квартал'!G32</f>
        <v>176.78</v>
      </c>
      <c r="D38" s="346">
        <v>7523.63</v>
      </c>
      <c r="E38" s="241">
        <v>5868.07</v>
      </c>
      <c r="F38" s="572">
        <f>2554.64+2777.36</f>
        <v>5332</v>
      </c>
      <c r="G38" s="299">
        <f t="shared" si="8"/>
        <v>6241.2330000000002</v>
      </c>
      <c r="H38" s="93">
        <f>2554.64+20000</f>
        <v>22554.639999999999</v>
      </c>
      <c r="I38" s="93">
        <v>17222.64</v>
      </c>
      <c r="J38" s="112"/>
      <c r="K38" s="319"/>
      <c r="L38" s="319"/>
      <c r="M38" s="319">
        <v>82.253</v>
      </c>
      <c r="N38" s="319">
        <f>159.768*3</f>
        <v>479.30399999999997</v>
      </c>
      <c r="O38" s="319">
        <v>791.28</v>
      </c>
      <c r="P38" s="319"/>
      <c r="Q38" s="319"/>
      <c r="R38" s="319"/>
      <c r="S38" s="319"/>
      <c r="T38" s="319">
        <v>79.834000000000003</v>
      </c>
      <c r="U38" s="319">
        <f>154.829*9</f>
        <v>1393.461</v>
      </c>
      <c r="V38" s="319"/>
      <c r="W38" s="319"/>
      <c r="X38" s="319"/>
      <c r="Y38" s="245"/>
      <c r="Z38" s="177"/>
      <c r="AA38" s="272"/>
      <c r="AB38" s="24"/>
      <c r="AC38" s="319"/>
      <c r="AD38" s="319"/>
      <c r="AE38" s="319"/>
      <c r="AF38" s="319">
        <v>88.938999999999993</v>
      </c>
      <c r="AG38" s="319"/>
      <c r="AH38" s="177"/>
      <c r="AI38" s="177"/>
      <c r="AJ38" s="319"/>
      <c r="AK38" s="319">
        <f>151.2*1.5</f>
        <v>226.79999999999998</v>
      </c>
      <c r="AL38" s="319">
        <f>17.136*0.6</f>
        <v>10.281599999999999</v>
      </c>
      <c r="AM38" s="319">
        <f>159.768*3</f>
        <v>479.30399999999997</v>
      </c>
      <c r="AN38" s="319">
        <f>132.149*0.9</f>
        <v>118.9341</v>
      </c>
      <c r="AO38" s="319">
        <v>1582.56</v>
      </c>
      <c r="AP38" s="319"/>
      <c r="AQ38" s="319"/>
      <c r="AR38" s="319"/>
      <c r="AS38" s="319">
        <f>132.149*3</f>
        <v>396.447</v>
      </c>
      <c r="AT38" s="319">
        <v>68.543999999999997</v>
      </c>
      <c r="AU38" s="319">
        <v>110.376</v>
      </c>
      <c r="AV38" s="319">
        <f>639.072/4*2</f>
        <v>319.536</v>
      </c>
      <c r="AW38" s="319"/>
      <c r="AX38" s="319"/>
      <c r="AY38" s="319">
        <f>639.072/4*2</f>
        <v>319.536</v>
      </c>
      <c r="AZ38" s="319">
        <f>82.253/2.4*1.5</f>
        <v>51.408124999999998</v>
      </c>
      <c r="BA38" s="319"/>
      <c r="BB38" s="319"/>
      <c r="BC38" s="319">
        <f>201.6/2*2.4</f>
        <v>241.92</v>
      </c>
      <c r="BD38" s="319"/>
      <c r="BE38" s="319"/>
      <c r="BF38" s="319"/>
      <c r="BG38" s="319"/>
      <c r="BH38" s="319"/>
      <c r="BI38" s="319"/>
      <c r="BJ38" s="319"/>
      <c r="BK38" s="319">
        <f>87.192*1.5</f>
        <v>130.78799999999998</v>
      </c>
      <c r="BL38" s="319">
        <f>157.752*3.5</f>
        <v>552.13200000000006</v>
      </c>
      <c r="BM38" s="319"/>
      <c r="BN38" s="319"/>
      <c r="BO38" s="319"/>
      <c r="BP38" s="319"/>
      <c r="BQ38" s="460"/>
      <c r="BR38" s="319"/>
      <c r="BS38" s="158">
        <f t="shared" si="10"/>
        <v>7523.6378249999998</v>
      </c>
      <c r="BT38" s="112"/>
      <c r="BU38" s="319">
        <f>82.253/2.4*2</f>
        <v>68.544166666666669</v>
      </c>
      <c r="BV38" s="319"/>
      <c r="BW38" s="319"/>
      <c r="BX38" s="319"/>
      <c r="BY38" s="319"/>
      <c r="BZ38" s="319">
        <f>159.768*3</f>
        <v>479.30399999999997</v>
      </c>
      <c r="CA38" s="319">
        <v>88.938999999999993</v>
      </c>
      <c r="CB38" s="319"/>
      <c r="CC38" s="319"/>
      <c r="CD38" s="319"/>
      <c r="CE38" s="319">
        <v>159.667</v>
      </c>
      <c r="CF38" s="319"/>
      <c r="CG38" s="319"/>
      <c r="CH38" s="319"/>
      <c r="CI38" s="319"/>
      <c r="CJ38" s="319">
        <f>158.76*6</f>
        <v>952.56</v>
      </c>
      <c r="CK38" s="319"/>
      <c r="CL38" s="319">
        <f>34.272*3</f>
        <v>102.816</v>
      </c>
      <c r="CM38" s="319">
        <f>159.667/0.6*0.5</f>
        <v>133.05583333333334</v>
      </c>
      <c r="CN38" s="319"/>
      <c r="CO38" s="319">
        <f>428.4/5*3</f>
        <v>257.03999999999996</v>
      </c>
      <c r="CP38" s="319">
        <f>428.4/5*2</f>
        <v>171.35999999999999</v>
      </c>
      <c r="CQ38" s="319"/>
      <c r="CR38" s="319">
        <f>132.149*0.9</f>
        <v>118.9341</v>
      </c>
      <c r="CS38" s="319">
        <f>151.2*2</f>
        <v>302.39999999999998</v>
      </c>
      <c r="CT38" s="319"/>
      <c r="CU38" s="319"/>
      <c r="CV38" s="319"/>
      <c r="CW38" s="319"/>
      <c r="CX38" s="319">
        <f>157.752*4.2</f>
        <v>662.55840000000012</v>
      </c>
      <c r="CY38" s="177"/>
      <c r="CZ38" s="32"/>
      <c r="DA38" s="32"/>
      <c r="DB38" s="319">
        <f>17.136*0.6</f>
        <v>10.281599999999999</v>
      </c>
      <c r="DC38" s="319"/>
      <c r="DD38" s="319">
        <v>302.39999999999998</v>
      </c>
      <c r="DE38" s="319">
        <v>241.92</v>
      </c>
      <c r="DF38" s="319">
        <v>270.29500000000002</v>
      </c>
      <c r="DG38" s="319"/>
      <c r="DH38" s="319">
        <f>34.272*1.2</f>
        <v>41.126399999999997</v>
      </c>
      <c r="DI38" s="319">
        <f>637.056/4*5</f>
        <v>796.32</v>
      </c>
      <c r="DJ38" s="319">
        <f>110.376*2.5</f>
        <v>275.94</v>
      </c>
      <c r="DK38" s="319">
        <f>132.149*1.5</f>
        <v>198.2235</v>
      </c>
      <c r="DL38" s="319">
        <f>132.149</f>
        <v>132.149</v>
      </c>
      <c r="DM38" s="319"/>
      <c r="DN38" s="319">
        <f>68.544/4*3</f>
        <v>51.408000000000001</v>
      </c>
      <c r="DO38" s="319">
        <f>101.645/0.8*0.4</f>
        <v>50.822499999999998</v>
      </c>
      <c r="DP38" s="319"/>
      <c r="DQ38" s="319"/>
      <c r="DR38" s="319"/>
      <c r="DS38" s="319"/>
      <c r="DT38" s="419">
        <f t="shared" si="11"/>
        <v>5868.0645000000004</v>
      </c>
      <c r="DU38" s="57"/>
      <c r="DV38" s="319"/>
      <c r="DW38" s="319">
        <f>34.272*2</f>
        <v>68.543999999999997</v>
      </c>
      <c r="DX38" s="319"/>
      <c r="DY38" s="319"/>
      <c r="DZ38" s="319"/>
      <c r="EA38" s="319"/>
      <c r="EB38" s="319"/>
      <c r="EC38" s="319"/>
      <c r="ED38" s="319">
        <v>159.667</v>
      </c>
      <c r="EE38" s="319"/>
      <c r="EF38" s="319"/>
      <c r="EG38" s="177"/>
      <c r="EH38" s="177"/>
      <c r="EI38" s="177"/>
      <c r="EJ38" s="319">
        <f>101.645/0.8*0.4</f>
        <v>50.822499999999998</v>
      </c>
      <c r="EK38" s="319"/>
      <c r="EL38" s="319"/>
      <c r="EM38" s="319">
        <f>158.256</f>
        <v>158.256</v>
      </c>
      <c r="EN38" s="319"/>
      <c r="EO38" s="319"/>
      <c r="EP38" s="319"/>
      <c r="EQ38" s="319"/>
      <c r="ER38" s="319"/>
      <c r="ES38" s="319"/>
      <c r="ET38" s="319"/>
      <c r="EU38" s="319">
        <f>158.256*4</f>
        <v>633.024</v>
      </c>
      <c r="EV38" s="319"/>
      <c r="EW38" s="319"/>
      <c r="EX38" s="319">
        <f>154.829*2</f>
        <v>309.65800000000002</v>
      </c>
      <c r="EY38" s="319">
        <f>952.56/6*3</f>
        <v>476.28</v>
      </c>
      <c r="EZ38" s="319">
        <v>796.32</v>
      </c>
      <c r="FA38" s="319"/>
      <c r="FB38" s="319">
        <v>100.8</v>
      </c>
      <c r="FC38" s="319">
        <f>158.256*1.5</f>
        <v>237.38400000000001</v>
      </c>
      <c r="FD38" s="319"/>
      <c r="FE38" s="319">
        <f>102.816</f>
        <v>102.816</v>
      </c>
      <c r="FF38" s="319">
        <f>158.256*0.3</f>
        <v>47.476799999999997</v>
      </c>
      <c r="FG38" s="319"/>
      <c r="FH38" s="319">
        <v>171.36</v>
      </c>
      <c r="FI38" s="319">
        <v>396.44600000000003</v>
      </c>
      <c r="FJ38" s="319"/>
      <c r="FK38" s="319">
        <v>10.282</v>
      </c>
      <c r="FL38" s="319">
        <f>301.392/2*2.1</f>
        <v>316.46160000000003</v>
      </c>
      <c r="FM38" s="319">
        <v>428.4</v>
      </c>
      <c r="FN38" s="319"/>
      <c r="FO38" s="319"/>
      <c r="FP38" s="319"/>
      <c r="FQ38" s="319"/>
      <c r="FR38" s="319"/>
      <c r="FS38" s="319">
        <f>154.829*3</f>
        <v>464.48700000000002</v>
      </c>
      <c r="FT38" s="319">
        <f>158.256*1.9</f>
        <v>300.68639999999999</v>
      </c>
      <c r="FU38" s="319">
        <f>34.272*3</f>
        <v>102.816</v>
      </c>
      <c r="FV38" s="319"/>
      <c r="FW38" s="319"/>
      <c r="FX38" s="319"/>
      <c r="FY38" s="319"/>
      <c r="FZ38" s="319"/>
      <c r="GA38" s="158">
        <f t="shared" si="12"/>
        <v>5331.9872999999998</v>
      </c>
      <c r="GB38" s="95"/>
      <c r="GC38" s="374"/>
      <c r="GD38" s="319"/>
      <c r="GE38" s="319"/>
      <c r="GF38" s="319"/>
      <c r="GG38" s="319"/>
      <c r="GH38" s="319"/>
      <c r="GI38" s="319"/>
      <c r="GJ38" s="319"/>
      <c r="GK38" s="319"/>
      <c r="GL38" s="319"/>
      <c r="GM38" s="319"/>
      <c r="GN38" s="319"/>
      <c r="GO38" s="319"/>
      <c r="GP38" s="319"/>
      <c r="GQ38" s="28"/>
      <c r="GR38" s="270"/>
      <c r="GS38" s="177"/>
      <c r="GT38" s="177"/>
      <c r="GU38" s="741"/>
      <c r="GV38" s="435"/>
      <c r="GW38" s="327">
        <f t="shared" si="13"/>
        <v>0</v>
      </c>
      <c r="GX38" s="445">
        <f t="shared" si="14"/>
        <v>17222.64</v>
      </c>
      <c r="GY38" s="605">
        <f t="shared" si="15"/>
        <v>17222.64</v>
      </c>
      <c r="GZ38" s="627">
        <f>'2_квартал'!G32</f>
        <v>176.78</v>
      </c>
      <c r="HA38" s="239">
        <f t="shared" si="16"/>
        <v>5868.07</v>
      </c>
      <c r="HB38" s="36" t="str">
        <f t="shared" si="17"/>
        <v>монокальцийфосфат (МКФ)</v>
      </c>
      <c r="HC38" s="38"/>
      <c r="HD38" s="22"/>
      <c r="HE38" s="22"/>
    </row>
    <row r="39" spans="1:213" ht="15.9" customHeight="1" x14ac:dyDescent="0.3">
      <c r="A39" s="127">
        <f t="shared" si="18"/>
        <v>28</v>
      </c>
      <c r="B39" s="688" t="s">
        <v>15</v>
      </c>
      <c r="C39" s="565">
        <f>'2_квартал'!G33</f>
        <v>5382.17</v>
      </c>
      <c r="D39" s="346">
        <v>0</v>
      </c>
      <c r="E39" s="241">
        <v>0</v>
      </c>
      <c r="F39" s="572">
        <v>0</v>
      </c>
      <c r="G39" s="299">
        <f t="shared" si="8"/>
        <v>0</v>
      </c>
      <c r="H39" s="93">
        <v>0</v>
      </c>
      <c r="I39" s="93">
        <v>0</v>
      </c>
      <c r="J39" s="94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245"/>
      <c r="Z39" s="177"/>
      <c r="AA39" s="272"/>
      <c r="AB39" s="24"/>
      <c r="AC39" s="319"/>
      <c r="AD39" s="319"/>
      <c r="AE39" s="319"/>
      <c r="AF39" s="319"/>
      <c r="AG39" s="319"/>
      <c r="AH39" s="177"/>
      <c r="AI39" s="177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319"/>
      <c r="BK39" s="319"/>
      <c r="BL39" s="319"/>
      <c r="BM39" s="319"/>
      <c r="BN39" s="319"/>
      <c r="BO39" s="319"/>
      <c r="BP39" s="319"/>
      <c r="BQ39" s="460"/>
      <c r="BR39" s="319"/>
      <c r="BS39" s="158">
        <f t="shared" si="10"/>
        <v>0</v>
      </c>
      <c r="BT39" s="94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19"/>
      <c r="CR39" s="319"/>
      <c r="CS39" s="319"/>
      <c r="CT39" s="319"/>
      <c r="CU39" s="319"/>
      <c r="CV39" s="319"/>
      <c r="CW39" s="319"/>
      <c r="CX39" s="319"/>
      <c r="CY39" s="177"/>
      <c r="CZ39" s="32"/>
      <c r="DA39" s="32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319"/>
      <c r="DT39" s="419">
        <f t="shared" si="11"/>
        <v>0</v>
      </c>
      <c r="DU39" s="57"/>
      <c r="DV39" s="319"/>
      <c r="DW39" s="319"/>
      <c r="DX39" s="319"/>
      <c r="DY39" s="319"/>
      <c r="DZ39" s="319"/>
      <c r="EA39" s="319"/>
      <c r="EB39" s="319"/>
      <c r="EC39" s="319"/>
      <c r="ED39" s="319"/>
      <c r="EE39" s="319"/>
      <c r="EF39" s="319"/>
      <c r="EG39" s="177"/>
      <c r="EH39" s="177"/>
      <c r="EI39" s="177"/>
      <c r="EJ39" s="319"/>
      <c r="EK39" s="319"/>
      <c r="EL39" s="319"/>
      <c r="EM39" s="319"/>
      <c r="EN39" s="319"/>
      <c r="EO39" s="319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319"/>
      <c r="FQ39" s="319"/>
      <c r="FR39" s="319"/>
      <c r="FS39" s="319"/>
      <c r="FT39" s="319"/>
      <c r="FU39" s="319"/>
      <c r="FV39" s="319"/>
      <c r="FW39" s="319"/>
      <c r="FX39" s="319"/>
      <c r="FY39" s="319"/>
      <c r="FZ39" s="319"/>
      <c r="GA39" s="158">
        <f t="shared" si="12"/>
        <v>0</v>
      </c>
      <c r="GB39" s="95"/>
      <c r="GC39" s="374"/>
      <c r="GD39" s="319"/>
      <c r="GE39" s="319"/>
      <c r="GF39" s="319"/>
      <c r="GG39" s="319"/>
      <c r="GH39" s="319"/>
      <c r="GI39" s="319"/>
      <c r="GJ39" s="319"/>
      <c r="GK39" s="319"/>
      <c r="GL39" s="319"/>
      <c r="GM39" s="319"/>
      <c r="GN39" s="319"/>
      <c r="GO39" s="319"/>
      <c r="GP39" s="319"/>
      <c r="GQ39" s="28"/>
      <c r="GR39" s="270"/>
      <c r="GS39" s="177"/>
      <c r="GT39" s="177"/>
      <c r="GU39" s="741"/>
      <c r="GV39" s="435"/>
      <c r="GW39" s="327">
        <f t="shared" si="13"/>
        <v>0</v>
      </c>
      <c r="GX39" s="445">
        <f t="shared" si="14"/>
        <v>0</v>
      </c>
      <c r="GY39" s="605">
        <f t="shared" si="15"/>
        <v>0</v>
      </c>
      <c r="GZ39" s="627">
        <f>'2_квартал'!G33</f>
        <v>5382.17</v>
      </c>
      <c r="HA39" s="239">
        <f t="shared" si="16"/>
        <v>0</v>
      </c>
      <c r="HB39" s="36" t="str">
        <f t="shared" si="17"/>
        <v>фосфат дефторированный (ДФФ)</v>
      </c>
      <c r="HC39" s="664"/>
      <c r="HD39" s="22"/>
      <c r="HE39" s="22"/>
    </row>
    <row r="40" spans="1:213" s="169" customFormat="1" ht="15.9" customHeight="1" x14ac:dyDescent="0.3">
      <c r="A40" s="127">
        <f t="shared" si="18"/>
        <v>29</v>
      </c>
      <c r="B40" s="688" t="s">
        <v>98</v>
      </c>
      <c r="C40" s="565">
        <f>'2_квартал'!G34</f>
        <v>21896.785</v>
      </c>
      <c r="D40" s="263">
        <v>0</v>
      </c>
      <c r="E40" s="241">
        <v>0</v>
      </c>
      <c r="F40" s="571">
        <v>0</v>
      </c>
      <c r="G40" s="299">
        <f t="shared" si="8"/>
        <v>0</v>
      </c>
      <c r="H40" s="93">
        <v>0</v>
      </c>
      <c r="I40" s="93">
        <v>0</v>
      </c>
      <c r="J40" s="112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245"/>
      <c r="Z40" s="177"/>
      <c r="AA40" s="272"/>
      <c r="AB40" s="24"/>
      <c r="AC40" s="319"/>
      <c r="AD40" s="319"/>
      <c r="AE40" s="319"/>
      <c r="AF40" s="319"/>
      <c r="AG40" s="319"/>
      <c r="AH40" s="177"/>
      <c r="AI40" s="177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/>
      <c r="BD40" s="319"/>
      <c r="BE40" s="319"/>
      <c r="BF40" s="319"/>
      <c r="BG40" s="319"/>
      <c r="BH40" s="319"/>
      <c r="BI40" s="319"/>
      <c r="BJ40" s="319"/>
      <c r="BK40" s="319"/>
      <c r="BL40" s="319"/>
      <c r="BM40" s="319"/>
      <c r="BN40" s="319"/>
      <c r="BO40" s="319"/>
      <c r="BP40" s="319"/>
      <c r="BQ40" s="460"/>
      <c r="BR40" s="319"/>
      <c r="BS40" s="158">
        <f t="shared" si="10"/>
        <v>0</v>
      </c>
      <c r="BT40" s="112"/>
      <c r="BU40" s="319"/>
      <c r="BV40" s="319"/>
      <c r="BW40" s="319"/>
      <c r="BX40" s="319"/>
      <c r="BY40" s="319"/>
      <c r="BZ40" s="319"/>
      <c r="CA40" s="319"/>
      <c r="CB40" s="319"/>
      <c r="CC40" s="319"/>
      <c r="CD40" s="319"/>
      <c r="CE40" s="319"/>
      <c r="CF40" s="319"/>
      <c r="CG40" s="319"/>
      <c r="CH40" s="319"/>
      <c r="CI40" s="319"/>
      <c r="CJ40" s="319"/>
      <c r="CK40" s="319"/>
      <c r="CL40" s="319"/>
      <c r="CM40" s="319"/>
      <c r="CN40" s="319"/>
      <c r="CO40" s="319"/>
      <c r="CP40" s="319"/>
      <c r="CQ40" s="319"/>
      <c r="CR40" s="319"/>
      <c r="CS40" s="319"/>
      <c r="CT40" s="319"/>
      <c r="CU40" s="319"/>
      <c r="CV40" s="319"/>
      <c r="CW40" s="319"/>
      <c r="CX40" s="319"/>
      <c r="CY40" s="177"/>
      <c r="CZ40" s="32"/>
      <c r="DA40" s="32"/>
      <c r="DB40" s="319"/>
      <c r="DC40" s="319"/>
      <c r="DD40" s="319"/>
      <c r="DE40" s="319"/>
      <c r="DF40" s="319"/>
      <c r="DG40" s="319"/>
      <c r="DH40" s="319"/>
      <c r="DI40" s="319"/>
      <c r="DJ40" s="319"/>
      <c r="DK40" s="319"/>
      <c r="DL40" s="319"/>
      <c r="DM40" s="319"/>
      <c r="DN40" s="319"/>
      <c r="DO40" s="319"/>
      <c r="DP40" s="319"/>
      <c r="DQ40" s="319"/>
      <c r="DR40" s="319"/>
      <c r="DS40" s="319"/>
      <c r="DT40" s="419">
        <f t="shared" si="11"/>
        <v>0</v>
      </c>
      <c r="DU40" s="57"/>
      <c r="DV40" s="319"/>
      <c r="DW40" s="319"/>
      <c r="DX40" s="319"/>
      <c r="DY40" s="319"/>
      <c r="DZ40" s="319"/>
      <c r="EA40" s="319"/>
      <c r="EB40" s="319"/>
      <c r="EC40" s="319"/>
      <c r="ED40" s="319"/>
      <c r="EE40" s="319"/>
      <c r="EF40" s="319"/>
      <c r="EG40" s="177"/>
      <c r="EH40" s="177"/>
      <c r="EI40" s="177"/>
      <c r="EJ40" s="319"/>
      <c r="EK40" s="319"/>
      <c r="EL40" s="319"/>
      <c r="EM40" s="319"/>
      <c r="EN40" s="319"/>
      <c r="EO40" s="319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19"/>
      <c r="FC40" s="319"/>
      <c r="FD40" s="319"/>
      <c r="FE40" s="319"/>
      <c r="FF40" s="319"/>
      <c r="FG40" s="319"/>
      <c r="FH40" s="319"/>
      <c r="FI40" s="319"/>
      <c r="FJ40" s="319"/>
      <c r="FK40" s="319"/>
      <c r="FL40" s="319"/>
      <c r="FM40" s="319"/>
      <c r="FN40" s="319"/>
      <c r="FO40" s="319"/>
      <c r="FP40" s="319"/>
      <c r="FQ40" s="319"/>
      <c r="FR40" s="319"/>
      <c r="FS40" s="319"/>
      <c r="FT40" s="319"/>
      <c r="FU40" s="319"/>
      <c r="FV40" s="319"/>
      <c r="FW40" s="319"/>
      <c r="FX40" s="319"/>
      <c r="FY40" s="319"/>
      <c r="FZ40" s="319"/>
      <c r="GA40" s="158">
        <f t="shared" si="12"/>
        <v>0</v>
      </c>
      <c r="GB40" s="113"/>
      <c r="GC40" s="374"/>
      <c r="GD40" s="319"/>
      <c r="GE40" s="319"/>
      <c r="GF40" s="319"/>
      <c r="GG40" s="319"/>
      <c r="GH40" s="319"/>
      <c r="GI40" s="319"/>
      <c r="GJ40" s="319"/>
      <c r="GK40" s="319"/>
      <c r="GL40" s="319"/>
      <c r="GM40" s="319"/>
      <c r="GN40" s="319"/>
      <c r="GO40" s="319"/>
      <c r="GP40" s="319"/>
      <c r="GQ40" s="28"/>
      <c r="GR40" s="270"/>
      <c r="GS40" s="177"/>
      <c r="GT40" s="177"/>
      <c r="GU40" s="741"/>
      <c r="GV40" s="435"/>
      <c r="GW40" s="327">
        <f t="shared" si="13"/>
        <v>0</v>
      </c>
      <c r="GX40" s="445">
        <f t="shared" si="14"/>
        <v>0</v>
      </c>
      <c r="GY40" s="605">
        <f t="shared" si="15"/>
        <v>0</v>
      </c>
      <c r="GZ40" s="627">
        <f>'2_квартал'!G34</f>
        <v>21896.785</v>
      </c>
      <c r="HA40" s="239">
        <f t="shared" si="16"/>
        <v>0</v>
      </c>
      <c r="HB40" s="36" t="str">
        <f t="shared" si="17"/>
        <v>Трикальцийфосфат</v>
      </c>
      <c r="HC40" s="664"/>
      <c r="HD40" s="14"/>
      <c r="HE40" s="14"/>
    </row>
    <row r="41" spans="1:213" ht="15.9" customHeight="1" x14ac:dyDescent="0.3">
      <c r="A41" s="127">
        <f>A40+1</f>
        <v>30</v>
      </c>
      <c r="B41" s="688" t="s">
        <v>114</v>
      </c>
      <c r="C41" s="565">
        <f>'2_квартал'!G36</f>
        <v>2432.9349999999999</v>
      </c>
      <c r="D41" s="590">
        <v>30483.66</v>
      </c>
      <c r="E41" s="241">
        <v>15498.36</v>
      </c>
      <c r="F41" s="707">
        <v>29611.86</v>
      </c>
      <c r="G41" s="299">
        <f t="shared" si="8"/>
        <v>25197.96</v>
      </c>
      <c r="H41" s="93">
        <f>21563.565+67000</f>
        <v>88563.565000000002</v>
      </c>
      <c r="I41" s="93">
        <v>58951.705000000002</v>
      </c>
      <c r="J41" s="94"/>
      <c r="K41" s="319">
        <f>45.36/0.3*0.6</f>
        <v>90.720000000000013</v>
      </c>
      <c r="L41" s="319">
        <v>343.92</v>
      </c>
      <c r="M41" s="319">
        <v>93.138999999999996</v>
      </c>
      <c r="N41" s="319"/>
      <c r="O41" s="319">
        <v>1169.527</v>
      </c>
      <c r="P41" s="319">
        <v>282.24</v>
      </c>
      <c r="Q41" s="319">
        <f>6048/15*7</f>
        <v>2822.4</v>
      </c>
      <c r="R41" s="319">
        <f>6048/15*10.4</f>
        <v>4193.28</v>
      </c>
      <c r="S41" s="319">
        <f>6048/15*2.6</f>
        <v>1048.32</v>
      </c>
      <c r="T41" s="319">
        <v>56.398000000000003</v>
      </c>
      <c r="U41" s="319">
        <f>161.28*9</f>
        <v>1451.52</v>
      </c>
      <c r="V41" s="319"/>
      <c r="W41" s="319">
        <f>403.2*2</f>
        <v>806.4</v>
      </c>
      <c r="X41" s="319">
        <v>55.188000000000002</v>
      </c>
      <c r="Y41" s="245">
        <v>229.488</v>
      </c>
      <c r="Z41" s="177">
        <v>1391.04</v>
      </c>
      <c r="AA41" s="272">
        <v>648.72900000000004</v>
      </c>
      <c r="AB41" s="24">
        <f>512.266/0.7*0.3</f>
        <v>219.54257142857142</v>
      </c>
      <c r="AC41" s="319"/>
      <c r="AD41" s="319">
        <v>14.423</v>
      </c>
      <c r="AE41" s="319"/>
      <c r="AF41" s="319">
        <v>113.245</v>
      </c>
      <c r="AG41" s="319">
        <v>45.36</v>
      </c>
      <c r="AH41" s="177"/>
      <c r="AI41" s="177">
        <v>1310.4000000000001</v>
      </c>
      <c r="AJ41" s="319">
        <f>100.8*0.8</f>
        <v>80.64</v>
      </c>
      <c r="AK41" s="319">
        <f>161.28*1.5</f>
        <v>241.92000000000002</v>
      </c>
      <c r="AL41" s="319"/>
      <c r="AM41" s="319"/>
      <c r="AN41" s="319">
        <f>478.195*0.9</f>
        <v>430.37549999999999</v>
      </c>
      <c r="AO41" s="319">
        <v>2339.0540000000001</v>
      </c>
      <c r="AP41" s="319">
        <f>504*5</f>
        <v>2520</v>
      </c>
      <c r="AQ41" s="319">
        <f>34.272*5</f>
        <v>171.35999999999999</v>
      </c>
      <c r="AR41" s="319">
        <v>55.188000000000002</v>
      </c>
      <c r="AS41" s="319">
        <f>478.195*3</f>
        <v>1434.585</v>
      </c>
      <c r="AT41" s="319"/>
      <c r="AU41" s="319">
        <v>558.029</v>
      </c>
      <c r="AV41" s="319"/>
      <c r="AW41" s="319">
        <v>1100.232</v>
      </c>
      <c r="AX41" s="319"/>
      <c r="AY41" s="319"/>
      <c r="AZ41" s="319">
        <f>93.139/2.4*1.5</f>
        <v>58.211874999999992</v>
      </c>
      <c r="BA41" s="319">
        <v>252.38300000000001</v>
      </c>
      <c r="BB41" s="319">
        <v>220.04599999999999</v>
      </c>
      <c r="BC41" s="319">
        <f>201.6/2*2.4</f>
        <v>241.92</v>
      </c>
      <c r="BD41" s="319">
        <f>100.8*2</f>
        <v>201.6</v>
      </c>
      <c r="BE41" s="319">
        <f>2147.04/7.1*4.1</f>
        <v>1239.8400000000001</v>
      </c>
      <c r="BF41" s="319">
        <f>55.188*2</f>
        <v>110.376</v>
      </c>
      <c r="BG41" s="319">
        <f>295.519/1.5*0.4</f>
        <v>78.805066666666676</v>
      </c>
      <c r="BH41" s="319"/>
      <c r="BI41" s="319">
        <f>191.801*0.6</f>
        <v>115.08059999999999</v>
      </c>
      <c r="BJ41" s="319">
        <f>272.16*2</f>
        <v>544.32000000000005</v>
      </c>
      <c r="BK41" s="319">
        <f>292.32*1.5</f>
        <v>438.48</v>
      </c>
      <c r="BL41" s="319">
        <f>274.378*3.5</f>
        <v>960.32299999999998</v>
      </c>
      <c r="BM41" s="319">
        <v>705.6</v>
      </c>
      <c r="BN41" s="319"/>
      <c r="BO41" s="319"/>
      <c r="BP41" s="319"/>
      <c r="BQ41" s="460"/>
      <c r="BR41" s="319"/>
      <c r="BS41" s="158">
        <f t="shared" si="10"/>
        <v>30483.648613095229</v>
      </c>
      <c r="BT41" s="94"/>
      <c r="BU41" s="319">
        <f>93.139/2.4*2</f>
        <v>77.615833333333327</v>
      </c>
      <c r="BV41" s="319">
        <v>1128.96</v>
      </c>
      <c r="BW41" s="319">
        <f>505.247/3*1.5</f>
        <v>252.62350000000004</v>
      </c>
      <c r="BX41" s="319">
        <f>603.965/3*1.5</f>
        <v>301.98250000000002</v>
      </c>
      <c r="BY41" s="319"/>
      <c r="BZ41" s="319"/>
      <c r="CA41" s="319">
        <v>113.245</v>
      </c>
      <c r="CB41" s="319">
        <v>17.308</v>
      </c>
      <c r="CC41" s="319"/>
      <c r="CD41" s="319"/>
      <c r="CE41" s="319">
        <v>112.795</v>
      </c>
      <c r="CF41" s="319">
        <v>211.75800000000001</v>
      </c>
      <c r="CG41" s="319">
        <v>410.52300000000002</v>
      </c>
      <c r="CH41" s="319"/>
      <c r="CI41" s="319">
        <v>233.23599999999999</v>
      </c>
      <c r="CJ41" s="319">
        <f>274.378*6</f>
        <v>1646.268</v>
      </c>
      <c r="CK41" s="319">
        <v>252</v>
      </c>
      <c r="CL41" s="319">
        <f>38.808*3</f>
        <v>116.42400000000001</v>
      </c>
      <c r="CM41" s="319">
        <f>112.795/0.6*0.5</f>
        <v>93.995833333333337</v>
      </c>
      <c r="CN41" s="319">
        <v>282.24</v>
      </c>
      <c r="CO41" s="319">
        <f>1098.72/5*3</f>
        <v>659.23199999999997</v>
      </c>
      <c r="CP41" s="319">
        <f>1098.72/5*2</f>
        <v>439.488</v>
      </c>
      <c r="CQ41" s="319">
        <f>55.188*2</f>
        <v>110.376</v>
      </c>
      <c r="CR41" s="319">
        <f>478.195*0.9</f>
        <v>430.37549999999999</v>
      </c>
      <c r="CS41" s="319">
        <f>161.28*2</f>
        <v>322.56</v>
      </c>
      <c r="CT41" s="319">
        <f>603.965/3*1.5</f>
        <v>301.98250000000002</v>
      </c>
      <c r="CU41" s="319">
        <f>505.247/3*1.5</f>
        <v>252.62350000000004</v>
      </c>
      <c r="CV41" s="319"/>
      <c r="CW41" s="319">
        <v>229.488</v>
      </c>
      <c r="CX41" s="319">
        <f>274.378*4.2</f>
        <v>1152.3876</v>
      </c>
      <c r="CY41" s="177"/>
      <c r="CZ41" s="32">
        <v>282.24</v>
      </c>
      <c r="DA41" s="32">
        <v>100.8</v>
      </c>
      <c r="DB41" s="319"/>
      <c r="DC41" s="319">
        <f>126*0.3</f>
        <v>37.799999999999997</v>
      </c>
      <c r="DD41" s="319">
        <v>302.39999999999998</v>
      </c>
      <c r="DE41" s="319">
        <v>241.92</v>
      </c>
      <c r="DF41" s="319">
        <v>906.19200000000001</v>
      </c>
      <c r="DG41" s="319">
        <f>272.16*3.9</f>
        <v>1061.424</v>
      </c>
      <c r="DH41" s="319">
        <f>38.808*1.2</f>
        <v>46.569600000000001</v>
      </c>
      <c r="DI41" s="319"/>
      <c r="DJ41" s="319">
        <f>558.029*2.5</f>
        <v>1395.0725</v>
      </c>
      <c r="DK41" s="319">
        <f>478.195*1.5</f>
        <v>717.29250000000002</v>
      </c>
      <c r="DL41" s="319">
        <f>478.195</f>
        <v>478.19499999999999</v>
      </c>
      <c r="DM41" s="319"/>
      <c r="DN41" s="319"/>
      <c r="DO41" s="319">
        <f>129.422/0.8*0.4</f>
        <v>64.710999999999999</v>
      </c>
      <c r="DP41" s="319">
        <f>17.308/1.8*0.9</f>
        <v>8.6539999999999999</v>
      </c>
      <c r="DQ41" s="319"/>
      <c r="DR41" s="319"/>
      <c r="DS41" s="319">
        <v>705.6</v>
      </c>
      <c r="DT41" s="419">
        <f t="shared" si="11"/>
        <v>15498.358366666667</v>
      </c>
      <c r="DU41" s="57"/>
      <c r="DV41" s="319">
        <v>1128.96</v>
      </c>
      <c r="DW41" s="319">
        <f>38.808*2</f>
        <v>77.616</v>
      </c>
      <c r="DX41" s="319">
        <v>252.38300000000001</v>
      </c>
      <c r="DY41" s="319">
        <f>282.24*1.5</f>
        <v>423.36</v>
      </c>
      <c r="DZ41" s="319">
        <f>504*3</f>
        <v>1512</v>
      </c>
      <c r="EA41" s="319">
        <f>38.052*5</f>
        <v>190.26</v>
      </c>
      <c r="EB41" s="319">
        <f>8064/20*10</f>
        <v>4032</v>
      </c>
      <c r="EC41" s="319">
        <f>8064/20*10</f>
        <v>4032</v>
      </c>
      <c r="ED41" s="319">
        <v>112.795</v>
      </c>
      <c r="EE41" s="319">
        <v>282.24</v>
      </c>
      <c r="EF41" s="319">
        <f>100.8*1.5</f>
        <v>151.19999999999999</v>
      </c>
      <c r="EG41" s="177">
        <v>1709.0440000000001</v>
      </c>
      <c r="EH41" s="177">
        <f>1556.949/12*8</f>
        <v>1037.9660000000001</v>
      </c>
      <c r="EI41" s="177">
        <f>1556.949/12*4</f>
        <v>518.98300000000006</v>
      </c>
      <c r="EJ41" s="319">
        <f>129.422/0.8*0.4</f>
        <v>64.710999999999999</v>
      </c>
      <c r="EK41" s="319"/>
      <c r="EL41" s="319">
        <f>17.308/1.8*0.9</f>
        <v>8.6539999999999999</v>
      </c>
      <c r="EM41" s="319">
        <f>274.378</f>
        <v>274.37799999999999</v>
      </c>
      <c r="EN41" s="319">
        <f>282.24*2</f>
        <v>564.48</v>
      </c>
      <c r="EO41" s="319">
        <f>100.8</f>
        <v>100.8</v>
      </c>
      <c r="EP41" s="319">
        <f>1100.232</f>
        <v>1100.232</v>
      </c>
      <c r="EQ41" s="319">
        <v>45.36</v>
      </c>
      <c r="ER41" s="319">
        <f>282.24*2.5</f>
        <v>705.6</v>
      </c>
      <c r="ES41" s="319">
        <f>37.8/0.3*0.6</f>
        <v>75.599999999999994</v>
      </c>
      <c r="ET41" s="319">
        <v>151.19999999999999</v>
      </c>
      <c r="EU41" s="319">
        <f>274.378*4</f>
        <v>1097.5119999999999</v>
      </c>
      <c r="EV41" s="319">
        <v>104.54</v>
      </c>
      <c r="EW41" s="319"/>
      <c r="EX41" s="319">
        <f>161.28*2</f>
        <v>322.56</v>
      </c>
      <c r="EY41" s="319">
        <f>1646.266/6*3</f>
        <v>823.13300000000004</v>
      </c>
      <c r="EZ41" s="319"/>
      <c r="FA41" s="319"/>
      <c r="FB41" s="319">
        <v>100.8</v>
      </c>
      <c r="FC41" s="319">
        <f>274.378*1.5</f>
        <v>411.56700000000001</v>
      </c>
      <c r="FD41" s="319">
        <f>272.16</f>
        <v>272.16000000000003</v>
      </c>
      <c r="FE41" s="319">
        <f>116.424</f>
        <v>116.42400000000001</v>
      </c>
      <c r="FF41" s="319">
        <f>274.378*0.3</f>
        <v>82.313399999999987</v>
      </c>
      <c r="FG41" s="319">
        <v>907.2</v>
      </c>
      <c r="FH41" s="319">
        <v>171.36</v>
      </c>
      <c r="FI41" s="319">
        <v>1434.586</v>
      </c>
      <c r="FJ41" s="319">
        <f>403.2*5</f>
        <v>2016</v>
      </c>
      <c r="FK41" s="319"/>
      <c r="FL41" s="319">
        <f>322.56/2*2.1</f>
        <v>338.68800000000005</v>
      </c>
      <c r="FM41" s="319">
        <v>1098.72</v>
      </c>
      <c r="FN41" s="319">
        <v>229.488</v>
      </c>
      <c r="FO41" s="319">
        <v>78.805000000000007</v>
      </c>
      <c r="FP41" s="319"/>
      <c r="FQ41" s="319">
        <v>94.195999999999998</v>
      </c>
      <c r="FR41" s="319">
        <v>233.589</v>
      </c>
      <c r="FS41" s="319">
        <f>161.28*3</f>
        <v>483.84000000000003</v>
      </c>
      <c r="FT41" s="319">
        <f>274.378*1.9</f>
        <v>521.31819999999993</v>
      </c>
      <c r="FU41" s="319">
        <f>38.808*3</f>
        <v>116.42400000000001</v>
      </c>
      <c r="FV41" s="319">
        <f>17.308/1.8*0.5</f>
        <v>4.8077777777777779</v>
      </c>
      <c r="FW41" s="319"/>
      <c r="FX41" s="319"/>
      <c r="FY41" s="319"/>
      <c r="FZ41" s="319"/>
      <c r="GA41" s="158">
        <f t="shared" si="12"/>
        <v>29611.853377777777</v>
      </c>
      <c r="GB41" s="95"/>
      <c r="GC41" s="374"/>
      <c r="GD41" s="319"/>
      <c r="GE41" s="319"/>
      <c r="GF41" s="319"/>
      <c r="GG41" s="319"/>
      <c r="GH41" s="319"/>
      <c r="GI41" s="319"/>
      <c r="GJ41" s="319"/>
      <c r="GK41" s="319"/>
      <c r="GL41" s="319"/>
      <c r="GM41" s="319"/>
      <c r="GN41" s="319"/>
      <c r="GO41" s="319"/>
      <c r="GP41" s="319"/>
      <c r="GQ41" s="28"/>
      <c r="GR41" s="270"/>
      <c r="GS41" s="177"/>
      <c r="GT41" s="177"/>
      <c r="GU41" s="741"/>
      <c r="GV41" s="435"/>
      <c r="GW41" s="327">
        <f t="shared" si="13"/>
        <v>0</v>
      </c>
      <c r="GX41" s="445">
        <f t="shared" si="14"/>
        <v>58951.705000000002</v>
      </c>
      <c r="GY41" s="605">
        <f t="shared" si="15"/>
        <v>58951.705000000002</v>
      </c>
      <c r="GZ41" s="627">
        <f>'2_квартал'!G36</f>
        <v>2432.9349999999999</v>
      </c>
      <c r="HA41" s="239">
        <f t="shared" si="16"/>
        <v>15498.36</v>
      </c>
      <c r="HB41" s="36" t="str">
        <f t="shared" si="17"/>
        <v>мука известняковая</v>
      </c>
      <c r="HC41" s="664"/>
      <c r="HD41" s="14"/>
      <c r="HE41" s="14"/>
    </row>
    <row r="42" spans="1:213" ht="15.9" customHeight="1" x14ac:dyDescent="0.3">
      <c r="A42" s="132">
        <f t="shared" si="18"/>
        <v>31</v>
      </c>
      <c r="B42" s="692" t="s">
        <v>40</v>
      </c>
      <c r="C42" s="565" t="e">
        <f>'2_квартал'!#REF!</f>
        <v>#REF!</v>
      </c>
      <c r="D42" s="346">
        <v>1696</v>
      </c>
      <c r="E42" s="241">
        <f>600.31+3606.64</f>
        <v>4206.95</v>
      </c>
      <c r="F42" s="572">
        <v>3826.59</v>
      </c>
      <c r="G42" s="299">
        <f t="shared" si="8"/>
        <v>3243.18</v>
      </c>
      <c r="H42" s="93">
        <v>16343.36</v>
      </c>
      <c r="I42" s="93">
        <v>12516.77</v>
      </c>
      <c r="J42" s="112"/>
      <c r="K42" s="319">
        <f>43.189/0.3*0.6</f>
        <v>86.378</v>
      </c>
      <c r="L42" s="319"/>
      <c r="M42" s="319">
        <v>326.59199999999998</v>
      </c>
      <c r="N42" s="319"/>
      <c r="O42" s="319"/>
      <c r="P42" s="319">
        <v>40.32</v>
      </c>
      <c r="Q42" s="319"/>
      <c r="R42" s="319"/>
      <c r="S42" s="319"/>
      <c r="T42" s="319">
        <v>43.243000000000002</v>
      </c>
      <c r="U42" s="319"/>
      <c r="V42" s="319"/>
      <c r="W42" s="319"/>
      <c r="X42" s="319"/>
      <c r="Y42" s="245"/>
      <c r="Z42" s="177"/>
      <c r="AA42" s="272"/>
      <c r="AB42" s="24"/>
      <c r="AC42" s="319"/>
      <c r="AD42" s="319">
        <v>215.94499999999999</v>
      </c>
      <c r="AE42" s="319"/>
      <c r="AF42" s="319">
        <v>89.891999999999996</v>
      </c>
      <c r="AG42" s="319">
        <v>43.189</v>
      </c>
      <c r="AH42" s="177"/>
      <c r="AI42" s="177">
        <v>2.7120000000000002</v>
      </c>
      <c r="AJ42" s="319"/>
      <c r="AK42" s="319"/>
      <c r="AL42" s="319"/>
      <c r="AM42" s="319"/>
      <c r="AN42" s="319">
        <f>101.304*0.9</f>
        <v>91.173600000000008</v>
      </c>
      <c r="AO42" s="319"/>
      <c r="AP42" s="319"/>
      <c r="AQ42" s="319"/>
      <c r="AR42" s="319"/>
      <c r="AS42" s="319">
        <f>101.304*3</f>
        <v>303.91200000000003</v>
      </c>
      <c r="AT42" s="319"/>
      <c r="AU42" s="319">
        <v>114.408</v>
      </c>
      <c r="AV42" s="319"/>
      <c r="AW42" s="319"/>
      <c r="AX42" s="319">
        <v>50.4</v>
      </c>
      <c r="AY42" s="319"/>
      <c r="AZ42" s="319">
        <f>326.592/2.4*1.5</f>
        <v>204.12</v>
      </c>
      <c r="BA42" s="319"/>
      <c r="BB42" s="319"/>
      <c r="BC42" s="319">
        <f>2.57/2*2.4</f>
        <v>3.0839999999999996</v>
      </c>
      <c r="BD42" s="319"/>
      <c r="BE42" s="319"/>
      <c r="BF42" s="319"/>
      <c r="BG42" s="319"/>
      <c r="BH42" s="319"/>
      <c r="BI42" s="319"/>
      <c r="BJ42" s="319">
        <f>40.32*2</f>
        <v>80.64</v>
      </c>
      <c r="BK42" s="319"/>
      <c r="BL42" s="319"/>
      <c r="BM42" s="319"/>
      <c r="BN42" s="319"/>
      <c r="BO42" s="319"/>
      <c r="BP42" s="319"/>
      <c r="BQ42" s="460"/>
      <c r="BR42" s="319"/>
      <c r="BS42" s="158">
        <f t="shared" si="10"/>
        <v>1696.0086000000001</v>
      </c>
      <c r="BT42" s="112"/>
      <c r="BU42" s="319">
        <f>326.592/2.4*2</f>
        <v>272.16000000000003</v>
      </c>
      <c r="BV42" s="319">
        <v>161.28</v>
      </c>
      <c r="BW42" s="319"/>
      <c r="BX42" s="319"/>
      <c r="BY42" s="319"/>
      <c r="BZ42" s="319"/>
      <c r="CA42" s="319">
        <v>89.891999999999996</v>
      </c>
      <c r="CB42" s="319">
        <v>259.13400000000001</v>
      </c>
      <c r="CC42" s="319"/>
      <c r="CD42" s="319"/>
      <c r="CE42" s="319">
        <v>86.486000000000004</v>
      </c>
      <c r="CF42" s="319"/>
      <c r="CG42" s="319"/>
      <c r="CH42" s="319"/>
      <c r="CI42" s="319"/>
      <c r="CJ42" s="319"/>
      <c r="CK42" s="319">
        <v>60.48</v>
      </c>
      <c r="CL42" s="319">
        <f>136.08*3</f>
        <v>408.24</v>
      </c>
      <c r="CM42" s="319">
        <f>86.486/0.6*0.5</f>
        <v>72.071666666666673</v>
      </c>
      <c r="CN42" s="319">
        <v>40.32</v>
      </c>
      <c r="CO42" s="319">
        <f>1496.88/5*3</f>
        <v>898.12800000000016</v>
      </c>
      <c r="CP42" s="319">
        <f>1496.88/5*2</f>
        <v>598.75200000000007</v>
      </c>
      <c r="CQ42" s="319"/>
      <c r="CR42" s="319">
        <f>101.304*0.9</f>
        <v>91.173600000000008</v>
      </c>
      <c r="CS42" s="319"/>
      <c r="CT42" s="319"/>
      <c r="CU42" s="319"/>
      <c r="CV42" s="319"/>
      <c r="CW42" s="319"/>
      <c r="CX42" s="319"/>
      <c r="CY42" s="177"/>
      <c r="CZ42" s="32">
        <v>40.32</v>
      </c>
      <c r="DA42" s="32"/>
      <c r="DB42" s="319"/>
      <c r="DC42" s="319">
        <f>30.24*0.3</f>
        <v>9.0719999999999992</v>
      </c>
      <c r="DD42" s="319"/>
      <c r="DE42" s="319">
        <v>3.0840000000000001</v>
      </c>
      <c r="DF42" s="319"/>
      <c r="DG42" s="319">
        <f>40.32*3.9</f>
        <v>157.24799999999999</v>
      </c>
      <c r="DH42" s="319">
        <f>136.08*1.2</f>
        <v>163.29600000000002</v>
      </c>
      <c r="DI42" s="319"/>
      <c r="DJ42" s="319">
        <f>114.408*2.5</f>
        <v>286.02</v>
      </c>
      <c r="DK42" s="319">
        <f>101.304*1.5</f>
        <v>151.95600000000002</v>
      </c>
      <c r="DL42" s="319">
        <f>101.304</f>
        <v>101.304</v>
      </c>
      <c r="DM42" s="319">
        <f>50.4*1.5</f>
        <v>75.599999999999994</v>
      </c>
      <c r="DN42" s="319"/>
      <c r="DO42" s="319">
        <f>102.734/0.8*0.4</f>
        <v>51.366999999999997</v>
      </c>
      <c r="DP42" s="319">
        <f>259.134/1.8*0.9</f>
        <v>129.56700000000001</v>
      </c>
      <c r="DQ42" s="319"/>
      <c r="DR42" s="319"/>
      <c r="DS42" s="319"/>
      <c r="DT42" s="419">
        <f t="shared" si="11"/>
        <v>4206.9512666666669</v>
      </c>
      <c r="DU42" s="57"/>
      <c r="DV42" s="319">
        <v>161.28</v>
      </c>
      <c r="DW42" s="319">
        <f>136.08*2</f>
        <v>272.16000000000003</v>
      </c>
      <c r="DX42" s="319"/>
      <c r="DY42" s="319">
        <f>40.32*1.5</f>
        <v>60.480000000000004</v>
      </c>
      <c r="DZ42" s="319"/>
      <c r="EA42" s="319"/>
      <c r="EB42" s="319"/>
      <c r="EC42" s="319"/>
      <c r="ED42" s="319">
        <v>86.486000000000004</v>
      </c>
      <c r="EE42" s="319">
        <v>40.32</v>
      </c>
      <c r="EF42" s="319"/>
      <c r="EG42" s="177"/>
      <c r="EH42" s="177"/>
      <c r="EI42" s="177"/>
      <c r="EJ42" s="319">
        <f>102.734/0.8*0.4</f>
        <v>51.366999999999997</v>
      </c>
      <c r="EK42" s="319"/>
      <c r="EL42" s="319">
        <f>259.134/1.8*0.9</f>
        <v>129.56700000000001</v>
      </c>
      <c r="EM42" s="319"/>
      <c r="EN42" s="319">
        <f>40.32*2</f>
        <v>80.64</v>
      </c>
      <c r="EO42" s="319"/>
      <c r="EP42" s="319"/>
      <c r="EQ42" s="319">
        <v>43.189</v>
      </c>
      <c r="ER42" s="319">
        <f>40.32*2.5</f>
        <v>100.8</v>
      </c>
      <c r="ES42" s="319">
        <f>9.072/0.3*0.6</f>
        <v>18.143999999999998</v>
      </c>
      <c r="ET42" s="319"/>
      <c r="EU42" s="319"/>
      <c r="EV42" s="319"/>
      <c r="EW42" s="319"/>
      <c r="EX42" s="319"/>
      <c r="EY42" s="319"/>
      <c r="EZ42" s="319"/>
      <c r="FA42" s="319">
        <f>75.6/1.5</f>
        <v>50.4</v>
      </c>
      <c r="FB42" s="319"/>
      <c r="FC42" s="319"/>
      <c r="FD42" s="319">
        <f>40.32</f>
        <v>40.32</v>
      </c>
      <c r="FE42" s="319">
        <f>408.24</f>
        <v>408.24</v>
      </c>
      <c r="FF42" s="319"/>
      <c r="FG42" s="319"/>
      <c r="FH42" s="319">
        <v>2.1850000000000001</v>
      </c>
      <c r="FI42" s="319">
        <v>303.91199999999998</v>
      </c>
      <c r="FJ42" s="319"/>
      <c r="FK42" s="319"/>
      <c r="FL42" s="319"/>
      <c r="FM42" s="319">
        <v>1496.88</v>
      </c>
      <c r="FN42" s="319"/>
      <c r="FO42" s="319"/>
      <c r="FP42" s="319"/>
      <c r="FQ42" s="319"/>
      <c r="FR42" s="319"/>
      <c r="FS42" s="319"/>
      <c r="FT42" s="319"/>
      <c r="FU42" s="319">
        <f>136.08*3</f>
        <v>408.24</v>
      </c>
      <c r="FV42" s="319">
        <f>259.134/1.8*0.5</f>
        <v>71.981666666666669</v>
      </c>
      <c r="FW42" s="319"/>
      <c r="FX42" s="319"/>
      <c r="FY42" s="319"/>
      <c r="FZ42" s="319"/>
      <c r="GA42" s="158">
        <f t="shared" si="12"/>
        <v>3826.5916666666662</v>
      </c>
      <c r="GB42" s="113"/>
      <c r="GC42" s="374"/>
      <c r="GD42" s="319"/>
      <c r="GE42" s="319"/>
      <c r="GF42" s="319"/>
      <c r="GG42" s="319"/>
      <c r="GH42" s="319"/>
      <c r="GI42" s="319"/>
      <c r="GJ42" s="319"/>
      <c r="GK42" s="319"/>
      <c r="GL42" s="319"/>
      <c r="GM42" s="319"/>
      <c r="GN42" s="319"/>
      <c r="GO42" s="319"/>
      <c r="GP42" s="319"/>
      <c r="GQ42" s="28"/>
      <c r="GR42" s="270"/>
      <c r="GS42" s="177"/>
      <c r="GT42" s="177"/>
      <c r="GU42" s="741"/>
      <c r="GV42" s="435"/>
      <c r="GW42" s="327">
        <f t="shared" si="13"/>
        <v>0</v>
      </c>
      <c r="GX42" s="445">
        <f t="shared" si="14"/>
        <v>12516.77</v>
      </c>
      <c r="GY42" s="605">
        <f t="shared" si="15"/>
        <v>12516.77</v>
      </c>
      <c r="GZ42" s="627" t="e">
        <f>'2_квартал'!#REF!</f>
        <v>#REF!</v>
      </c>
      <c r="HA42" s="239">
        <f t="shared" si="16"/>
        <v>4206.95</v>
      </c>
      <c r="HB42" s="36" t="str">
        <f t="shared" si="17"/>
        <v xml:space="preserve">Соль пищ выварочн сорт экстра </v>
      </c>
      <c r="HC42" s="38"/>
      <c r="HD42" s="175"/>
      <c r="HE42" s="175"/>
    </row>
    <row r="43" spans="1:213" ht="15.9" customHeight="1" x14ac:dyDescent="0.3">
      <c r="A43" s="127">
        <f t="shared" si="18"/>
        <v>32</v>
      </c>
      <c r="B43" s="693" t="s">
        <v>27</v>
      </c>
      <c r="C43" s="565" t="e">
        <f>'2_квартал'!#REF!</f>
        <v>#REF!</v>
      </c>
      <c r="D43" s="346">
        <v>130.43</v>
      </c>
      <c r="E43" s="241">
        <v>985.65</v>
      </c>
      <c r="F43" s="572">
        <v>612.15</v>
      </c>
      <c r="G43" s="299">
        <f t="shared" si="8"/>
        <v>576.077</v>
      </c>
      <c r="H43" s="93">
        <v>804.66</v>
      </c>
      <c r="I43" s="93">
        <v>192.51</v>
      </c>
      <c r="J43" s="112"/>
      <c r="K43" s="319"/>
      <c r="L43" s="319"/>
      <c r="M43" s="319"/>
      <c r="N43" s="319"/>
      <c r="O43" s="319"/>
      <c r="P43" s="319"/>
      <c r="Q43" s="319"/>
      <c r="R43" s="319"/>
      <c r="S43" s="319"/>
      <c r="T43" s="319">
        <v>6.35</v>
      </c>
      <c r="U43" s="319"/>
      <c r="V43" s="319"/>
      <c r="W43" s="319"/>
      <c r="X43" s="319"/>
      <c r="Y43" s="245"/>
      <c r="Z43" s="177"/>
      <c r="AA43" s="272"/>
      <c r="AB43" s="24"/>
      <c r="AC43" s="319"/>
      <c r="AD43" s="319"/>
      <c r="AE43" s="319"/>
      <c r="AF43" s="319"/>
      <c r="AG43" s="319"/>
      <c r="AH43" s="177"/>
      <c r="AI43" s="177"/>
      <c r="AJ43" s="319"/>
      <c r="AK43" s="319"/>
      <c r="AL43" s="319"/>
      <c r="AM43" s="319"/>
      <c r="AN43" s="319">
        <f>8.568*0.9</f>
        <v>7.7111999999999998</v>
      </c>
      <c r="AO43" s="319"/>
      <c r="AP43" s="319"/>
      <c r="AQ43" s="319"/>
      <c r="AR43" s="319"/>
      <c r="AS43" s="319">
        <f>8.568*3</f>
        <v>25.704000000000001</v>
      </c>
      <c r="AT43" s="319"/>
      <c r="AU43" s="319">
        <v>29.044</v>
      </c>
      <c r="AV43" s="319"/>
      <c r="AW43" s="319"/>
      <c r="AX43" s="319">
        <v>16.834</v>
      </c>
      <c r="AY43" s="319"/>
      <c r="AZ43" s="319"/>
      <c r="BA43" s="319"/>
      <c r="BB43" s="319"/>
      <c r="BC43" s="319"/>
      <c r="BD43" s="319"/>
      <c r="BE43" s="319"/>
      <c r="BF43" s="319"/>
      <c r="BG43" s="319"/>
      <c r="BH43" s="319"/>
      <c r="BI43" s="319">
        <f>74.667*0.6</f>
        <v>44.800199999999997</v>
      </c>
      <c r="BJ43" s="319"/>
      <c r="BK43" s="319"/>
      <c r="BL43" s="319"/>
      <c r="BM43" s="319"/>
      <c r="BN43" s="319"/>
      <c r="BO43" s="319"/>
      <c r="BP43" s="319"/>
      <c r="BQ43" s="460"/>
      <c r="BR43" s="319"/>
      <c r="BS43" s="158">
        <f t="shared" si="10"/>
        <v>130.4434</v>
      </c>
      <c r="BT43" s="112"/>
      <c r="BU43" s="319"/>
      <c r="BV43" s="319"/>
      <c r="BW43" s="319">
        <f>224/3*1.5</f>
        <v>112</v>
      </c>
      <c r="BX43" s="319"/>
      <c r="BY43" s="319"/>
      <c r="BZ43" s="319"/>
      <c r="CA43" s="319"/>
      <c r="CB43" s="319"/>
      <c r="CC43" s="319"/>
      <c r="CD43" s="319"/>
      <c r="CE43" s="319">
        <v>12.701000000000001</v>
      </c>
      <c r="CF43" s="319">
        <v>82.132999999999996</v>
      </c>
      <c r="CG43" s="319"/>
      <c r="CH43" s="319"/>
      <c r="CI43" s="319"/>
      <c r="CJ43" s="319"/>
      <c r="CK43" s="319">
        <v>20.16</v>
      </c>
      <c r="CL43" s="319"/>
      <c r="CM43" s="319">
        <f>12.701/0.6*0.5</f>
        <v>10.584166666666668</v>
      </c>
      <c r="CN43" s="319"/>
      <c r="CO43" s="319">
        <f>506.066/5*3</f>
        <v>303.63959999999997</v>
      </c>
      <c r="CP43" s="319">
        <f>506.066/5*2</f>
        <v>202.4264</v>
      </c>
      <c r="CQ43" s="319"/>
      <c r="CR43" s="319">
        <f>8.568*0.9</f>
        <v>7.7111999999999998</v>
      </c>
      <c r="CS43" s="319"/>
      <c r="CT43" s="319"/>
      <c r="CU43" s="319">
        <f>224/3*1.5</f>
        <v>112</v>
      </c>
      <c r="CV43" s="319"/>
      <c r="CW43" s="319"/>
      <c r="CX43" s="319"/>
      <c r="CY43" s="177"/>
      <c r="CZ43" s="32"/>
      <c r="DA43" s="32"/>
      <c r="DB43" s="319"/>
      <c r="DC43" s="319">
        <f>10.08*0.3</f>
        <v>3.024</v>
      </c>
      <c r="DD43" s="319"/>
      <c r="DE43" s="319"/>
      <c r="DF43" s="319"/>
      <c r="DG43" s="319"/>
      <c r="DH43" s="319"/>
      <c r="DI43" s="319"/>
      <c r="DJ43" s="319">
        <f>29.044*2.5</f>
        <v>72.61</v>
      </c>
      <c r="DK43" s="319">
        <f>8.568*1.5</f>
        <v>12.852</v>
      </c>
      <c r="DL43" s="319">
        <f>8.568</f>
        <v>8.5679999999999996</v>
      </c>
      <c r="DM43" s="319">
        <f>16.834*1.5</f>
        <v>25.250999999999998</v>
      </c>
      <c r="DN43" s="319"/>
      <c r="DO43" s="319"/>
      <c r="DP43" s="319"/>
      <c r="DQ43" s="319"/>
      <c r="DR43" s="319"/>
      <c r="DS43" s="319"/>
      <c r="DT43" s="419">
        <f t="shared" si="11"/>
        <v>985.66036666666662</v>
      </c>
      <c r="DU43" s="57"/>
      <c r="DV43" s="319"/>
      <c r="DW43" s="319"/>
      <c r="DX43" s="319"/>
      <c r="DY43" s="319"/>
      <c r="DZ43" s="319"/>
      <c r="EA43" s="319"/>
      <c r="EB43" s="319"/>
      <c r="EC43" s="319"/>
      <c r="ED43" s="319">
        <v>12.701000000000001</v>
      </c>
      <c r="EE43" s="319"/>
      <c r="EF43" s="319"/>
      <c r="EG43" s="177"/>
      <c r="EH43" s="177"/>
      <c r="EI43" s="177"/>
      <c r="EJ43" s="319"/>
      <c r="EK43" s="319"/>
      <c r="EL43" s="319"/>
      <c r="EM43" s="319"/>
      <c r="EN43" s="319"/>
      <c r="EO43" s="319"/>
      <c r="EP43" s="319"/>
      <c r="EQ43" s="319"/>
      <c r="ER43" s="319"/>
      <c r="ES43" s="319">
        <f>3.024/0.3*0.6</f>
        <v>6.048</v>
      </c>
      <c r="ET43" s="319"/>
      <c r="EU43" s="319"/>
      <c r="EV43" s="319"/>
      <c r="EW43" s="319"/>
      <c r="EX43" s="319"/>
      <c r="EY43" s="319"/>
      <c r="EZ43" s="319"/>
      <c r="FA43" s="319">
        <f>25.25/1.5</f>
        <v>16.833333333333332</v>
      </c>
      <c r="FB43" s="319"/>
      <c r="FC43" s="319"/>
      <c r="FD43" s="319"/>
      <c r="FE43" s="319"/>
      <c r="FF43" s="319"/>
      <c r="FG43" s="319"/>
      <c r="FH43" s="319"/>
      <c r="FI43" s="319">
        <v>25.704000000000001</v>
      </c>
      <c r="FJ43" s="319"/>
      <c r="FK43" s="319"/>
      <c r="FL43" s="319"/>
      <c r="FM43" s="319">
        <v>506.06599999999997</v>
      </c>
      <c r="FN43" s="319"/>
      <c r="FO43" s="319"/>
      <c r="FP43" s="319"/>
      <c r="FQ43" s="319">
        <v>44.8</v>
      </c>
      <c r="FR43" s="319"/>
      <c r="FS43" s="319"/>
      <c r="FT43" s="319"/>
      <c r="FU43" s="319"/>
      <c r="FV43" s="319"/>
      <c r="FW43" s="319"/>
      <c r="FX43" s="319"/>
      <c r="FY43" s="319"/>
      <c r="FZ43" s="319"/>
      <c r="GA43" s="158">
        <f t="shared" si="12"/>
        <v>612.15233333333322</v>
      </c>
      <c r="GB43" s="113"/>
      <c r="GC43" s="374"/>
      <c r="GD43" s="319"/>
      <c r="GE43" s="319"/>
      <c r="GF43" s="319"/>
      <c r="GG43" s="319"/>
      <c r="GH43" s="319"/>
      <c r="GI43" s="319"/>
      <c r="GJ43" s="319"/>
      <c r="GK43" s="319"/>
      <c r="GL43" s="319"/>
      <c r="GM43" s="319"/>
      <c r="GN43" s="319"/>
      <c r="GO43" s="319"/>
      <c r="GP43" s="319"/>
      <c r="GQ43" s="28"/>
      <c r="GR43" s="270"/>
      <c r="GS43" s="177"/>
      <c r="GT43" s="177"/>
      <c r="GU43" s="741"/>
      <c r="GV43" s="435"/>
      <c r="GW43" s="327">
        <f t="shared" si="13"/>
        <v>0</v>
      </c>
      <c r="GX43" s="558">
        <f t="shared" si="14"/>
        <v>192.51</v>
      </c>
      <c r="GY43" s="605">
        <f t="shared" si="15"/>
        <v>192.51</v>
      </c>
      <c r="GZ43" s="627" t="e">
        <f>'2_квартал'!#REF!</f>
        <v>#REF!</v>
      </c>
      <c r="HA43" s="239">
        <f t="shared" si="16"/>
        <v>985.65</v>
      </c>
      <c r="HB43" s="36" t="str">
        <f t="shared" si="17"/>
        <v>Гидрокарбонат натрия Е500 (сода)</v>
      </c>
      <c r="HC43" s="664"/>
      <c r="HD43" s="175"/>
      <c r="HE43" s="175"/>
    </row>
    <row r="44" spans="1:213" s="169" customFormat="1" ht="15.9" customHeight="1" x14ac:dyDescent="0.3">
      <c r="A44" s="129"/>
      <c r="B44" s="129"/>
      <c r="C44" s="129"/>
      <c r="D44" s="591"/>
      <c r="E44" s="577"/>
      <c r="F44" s="578"/>
      <c r="G44" s="579"/>
      <c r="H44" s="736">
        <f>SUM(H24:H43)</f>
        <v>175368.43799999999</v>
      </c>
      <c r="I44" s="736">
        <f>SUM(I24:I43)</f>
        <v>126924.95799999998</v>
      </c>
      <c r="J44" s="112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1"/>
      <c r="Z44" s="178"/>
      <c r="AA44" s="357"/>
      <c r="AB44" s="91"/>
      <c r="AC44" s="90"/>
      <c r="AD44" s="90"/>
      <c r="AE44" s="90"/>
      <c r="AF44" s="90"/>
      <c r="AG44" s="90"/>
      <c r="AH44" s="178"/>
      <c r="AI44" s="178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159"/>
      <c r="BT44" s="112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178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502"/>
      <c r="DU44" s="57"/>
      <c r="DV44" s="90"/>
      <c r="DW44" s="90"/>
      <c r="DX44" s="90"/>
      <c r="DY44" s="90"/>
      <c r="DZ44" s="90"/>
      <c r="EA44" s="90"/>
      <c r="EB44" s="90"/>
      <c r="EC44" s="90"/>
      <c r="ED44" s="90"/>
      <c r="EE44" s="90"/>
      <c r="EF44" s="90"/>
      <c r="EG44" s="178"/>
      <c r="EH44" s="178"/>
      <c r="EI44" s="178"/>
      <c r="EJ44" s="90"/>
      <c r="EK44" s="90"/>
      <c r="EL44" s="90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90"/>
      <c r="FC44" s="90"/>
      <c r="FD44" s="90"/>
      <c r="FE44" s="90"/>
      <c r="FF44" s="90"/>
      <c r="FG44" s="90"/>
      <c r="FH44" s="90"/>
      <c r="FI44" s="90"/>
      <c r="FJ44" s="90"/>
      <c r="FK44" s="90"/>
      <c r="FL44" s="90"/>
      <c r="FM44" s="90"/>
      <c r="FN44" s="90"/>
      <c r="FO44" s="90"/>
      <c r="FP44" s="90"/>
      <c r="FQ44" s="90"/>
      <c r="FR44" s="90"/>
      <c r="FS44" s="90"/>
      <c r="FT44" s="90"/>
      <c r="FU44" s="90"/>
      <c r="FV44" s="90"/>
      <c r="FW44" s="90"/>
      <c r="FX44" s="90"/>
      <c r="FY44" s="90"/>
      <c r="FZ44" s="90"/>
      <c r="GA44" s="159"/>
      <c r="GB44" s="113"/>
      <c r="GC44" s="170"/>
      <c r="GD44" s="90"/>
      <c r="GE44" s="90"/>
      <c r="GF44" s="90"/>
      <c r="GG44" s="90"/>
      <c r="GH44" s="90"/>
      <c r="GI44" s="90"/>
      <c r="GJ44" s="90"/>
      <c r="GK44" s="90"/>
      <c r="GL44" s="90"/>
      <c r="GM44" s="90"/>
      <c r="GN44" s="90"/>
      <c r="GO44" s="90"/>
      <c r="GP44" s="90"/>
      <c r="GQ44" s="260"/>
      <c r="GR44" s="347"/>
      <c r="GS44" s="178"/>
      <c r="GT44" s="178"/>
      <c r="GU44" s="743"/>
      <c r="GV44" s="436"/>
      <c r="GW44" s="348"/>
      <c r="GX44" s="446"/>
      <c r="GY44" s="607"/>
      <c r="GZ44" s="607"/>
      <c r="HA44" s="446"/>
      <c r="HB44" s="453"/>
      <c r="HC44" s="213"/>
      <c r="HD44" s="14"/>
      <c r="HE44" s="14"/>
    </row>
    <row r="45" spans="1:213" ht="15.9" customHeight="1" x14ac:dyDescent="0.3">
      <c r="A45" s="127">
        <f>A43+1</f>
        <v>33</v>
      </c>
      <c r="B45" s="691" t="s">
        <v>33</v>
      </c>
      <c r="C45" s="565">
        <f>'2_квартал'!G38</f>
        <v>329.49</v>
      </c>
      <c r="D45" s="346">
        <v>594.83000000000004</v>
      </c>
      <c r="E45" s="241">
        <v>435.25</v>
      </c>
      <c r="F45" s="572">
        <f>126.32+215.43</f>
        <v>341.75</v>
      </c>
      <c r="G45" s="299">
        <f t="shared" si="8"/>
        <v>457.27699999999999</v>
      </c>
      <c r="H45" s="93">
        <f>26.32+100+250</f>
        <v>376.32</v>
      </c>
      <c r="I45" s="93">
        <f>34.57+200</f>
        <v>234.57</v>
      </c>
      <c r="J45" s="112"/>
      <c r="K45" s="319">
        <f>42.336/0.3*0.6</f>
        <v>84.671999999999997</v>
      </c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245"/>
      <c r="Z45" s="177"/>
      <c r="AA45" s="272"/>
      <c r="AB45" s="24"/>
      <c r="AC45" s="319">
        <v>0.30199999999999999</v>
      </c>
      <c r="AD45" s="319">
        <v>30.24</v>
      </c>
      <c r="AE45" s="319">
        <v>12.096</v>
      </c>
      <c r="AF45" s="319"/>
      <c r="AG45" s="319">
        <v>42.335999999999999</v>
      </c>
      <c r="AH45" s="177"/>
      <c r="AI45" s="177">
        <v>50.4</v>
      </c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>
        <v>64.512</v>
      </c>
      <c r="AU45" s="319"/>
      <c r="AV45" s="319"/>
      <c r="AW45" s="319">
        <v>136.08000000000001</v>
      </c>
      <c r="AX45" s="319">
        <v>20.16</v>
      </c>
      <c r="AY45" s="319"/>
      <c r="AZ45" s="319"/>
      <c r="BA45" s="319">
        <v>1.21</v>
      </c>
      <c r="BB45" s="319">
        <v>27.216000000000001</v>
      </c>
      <c r="BC45" s="319">
        <f>10.08/2*2.4</f>
        <v>12.096</v>
      </c>
      <c r="BD45" s="319"/>
      <c r="BE45" s="319"/>
      <c r="BF45" s="319"/>
      <c r="BG45" s="319"/>
      <c r="BH45" s="319">
        <f>0.672*0.6</f>
        <v>0.4032</v>
      </c>
      <c r="BI45" s="319">
        <f>0.336*0.6</f>
        <v>0.2016</v>
      </c>
      <c r="BJ45" s="319"/>
      <c r="BK45" s="319"/>
      <c r="BL45" s="319"/>
      <c r="BM45" s="319">
        <v>112.896</v>
      </c>
      <c r="BN45" s="319"/>
      <c r="BO45" s="319"/>
      <c r="BP45" s="319"/>
      <c r="BQ45" s="460"/>
      <c r="BR45" s="319"/>
      <c r="BS45" s="158">
        <f t="shared" si="10"/>
        <v>594.82080000000008</v>
      </c>
      <c r="BT45" s="112"/>
      <c r="BU45" s="319"/>
      <c r="BV45" s="319"/>
      <c r="BW45" s="319">
        <f>2.017/3*1.5</f>
        <v>1.0085</v>
      </c>
      <c r="BX45" s="319">
        <f>30.24/3*1.5</f>
        <v>15.120000000000001</v>
      </c>
      <c r="BY45" s="319">
        <f>2.689/4*2</f>
        <v>1.3445</v>
      </c>
      <c r="BZ45" s="319"/>
      <c r="CA45" s="319"/>
      <c r="CB45" s="319">
        <v>36.287999999999997</v>
      </c>
      <c r="CC45" s="319">
        <v>24.192</v>
      </c>
      <c r="CD45" s="319"/>
      <c r="CE45" s="319"/>
      <c r="CF45" s="319"/>
      <c r="CG45" s="319"/>
      <c r="CH45" s="319">
        <v>2.7E-2</v>
      </c>
      <c r="CI45" s="319"/>
      <c r="CJ45" s="319"/>
      <c r="CK45" s="319">
        <v>24.192</v>
      </c>
      <c r="CL45" s="319"/>
      <c r="CM45" s="319"/>
      <c r="CN45" s="319"/>
      <c r="CO45" s="319">
        <f>63/5*3</f>
        <v>37.799999999999997</v>
      </c>
      <c r="CP45" s="319">
        <f>63/5*2</f>
        <v>25.2</v>
      </c>
      <c r="CQ45" s="319"/>
      <c r="CR45" s="319"/>
      <c r="CS45" s="319"/>
      <c r="CT45" s="319">
        <f>30.24/3*1.5</f>
        <v>15.120000000000001</v>
      </c>
      <c r="CU45" s="319">
        <f>2.017/3*1.5</f>
        <v>1.0085</v>
      </c>
      <c r="CV45" s="319">
        <f>2.689/4*2</f>
        <v>1.3445</v>
      </c>
      <c r="CW45" s="319"/>
      <c r="CX45" s="319"/>
      <c r="CY45" s="177"/>
      <c r="CZ45" s="32"/>
      <c r="DA45" s="32"/>
      <c r="DB45" s="319"/>
      <c r="DC45" s="319">
        <f>12.096*0.3</f>
        <v>3.6288</v>
      </c>
      <c r="DD45" s="319">
        <v>15.12</v>
      </c>
      <c r="DE45" s="319">
        <v>12.096</v>
      </c>
      <c r="DF45" s="319"/>
      <c r="DG45" s="319"/>
      <c r="DH45" s="319"/>
      <c r="DI45" s="319"/>
      <c r="DJ45" s="319"/>
      <c r="DK45" s="319"/>
      <c r="DL45" s="319"/>
      <c r="DM45" s="319">
        <f>20.16*1.5</f>
        <v>30.240000000000002</v>
      </c>
      <c r="DN45" s="319">
        <f>64.512/4*3</f>
        <v>48.384</v>
      </c>
      <c r="DO45" s="319"/>
      <c r="DP45" s="319">
        <f>36.288/1.8*0.9</f>
        <v>18.143999999999998</v>
      </c>
      <c r="DQ45" s="319">
        <f>24.192/1.2*0.6</f>
        <v>12.096</v>
      </c>
      <c r="DR45" s="319"/>
      <c r="DS45" s="319">
        <v>112.896</v>
      </c>
      <c r="DT45" s="419">
        <f t="shared" ref="DT45:DT71" si="19">SUM(BU45:DS45)</f>
        <v>435.24980000000005</v>
      </c>
      <c r="DU45" s="57"/>
      <c r="DV45" s="319"/>
      <c r="DW45" s="319"/>
      <c r="DX45" s="319">
        <v>1.21</v>
      </c>
      <c r="DY45" s="319"/>
      <c r="DZ45" s="319"/>
      <c r="EA45" s="319"/>
      <c r="EB45" s="319"/>
      <c r="EC45" s="319"/>
      <c r="ED45" s="319"/>
      <c r="EE45" s="319"/>
      <c r="EF45" s="319"/>
      <c r="EG45" s="177"/>
      <c r="EH45" s="177"/>
      <c r="EI45" s="177"/>
      <c r="EJ45" s="319"/>
      <c r="EK45" s="319">
        <f>24.192/1.2*0.6</f>
        <v>12.096</v>
      </c>
      <c r="EL45" s="319">
        <f>36.288/1.8*0.9</f>
        <v>18.143999999999998</v>
      </c>
      <c r="EM45" s="319"/>
      <c r="EN45" s="319"/>
      <c r="EO45" s="319"/>
      <c r="EP45" s="319">
        <f>136.08</f>
        <v>136.08000000000001</v>
      </c>
      <c r="EQ45" s="319">
        <v>42.335999999999999</v>
      </c>
      <c r="ER45" s="319"/>
      <c r="ES45" s="319">
        <f>3.629/0.3*0.6</f>
        <v>7.258</v>
      </c>
      <c r="ET45" s="319"/>
      <c r="EU45" s="319"/>
      <c r="EV45" s="319">
        <v>15.12</v>
      </c>
      <c r="EW45" s="319">
        <v>0.30199999999999999</v>
      </c>
      <c r="EX45" s="319"/>
      <c r="EY45" s="319"/>
      <c r="EZ45" s="319"/>
      <c r="FA45" s="319">
        <f>30.24/1.5</f>
        <v>20.16</v>
      </c>
      <c r="FB45" s="319">
        <v>5.04</v>
      </c>
      <c r="FC45" s="319"/>
      <c r="FD45" s="319"/>
      <c r="FE45" s="319"/>
      <c r="FF45" s="319"/>
      <c r="FG45" s="319"/>
      <c r="FH45" s="319">
        <v>8.5679999999999996</v>
      </c>
      <c r="FI45" s="319"/>
      <c r="FJ45" s="319"/>
      <c r="FK45" s="319"/>
      <c r="FL45" s="319"/>
      <c r="FM45" s="319">
        <f>63</f>
        <v>63</v>
      </c>
      <c r="FN45" s="319"/>
      <c r="FO45" s="319">
        <v>1.21</v>
      </c>
      <c r="FP45" s="319">
        <v>0.40300000000000002</v>
      </c>
      <c r="FQ45" s="319">
        <v>0.40300000000000002</v>
      </c>
      <c r="FR45" s="319">
        <v>0.33600000000000002</v>
      </c>
      <c r="FS45" s="319"/>
      <c r="FT45" s="319"/>
      <c r="FU45" s="319"/>
      <c r="FV45" s="319">
        <f>36.288/1.8*0.5</f>
        <v>10.079999999999998</v>
      </c>
      <c r="FW45" s="319"/>
      <c r="FX45" s="319"/>
      <c r="FY45" s="319"/>
      <c r="FZ45" s="319"/>
      <c r="GA45" s="158">
        <f t="shared" ref="GA45:GA71" si="20">SUM(DV45:FZ45)</f>
        <v>341.74599999999998</v>
      </c>
      <c r="GB45" s="113"/>
      <c r="GC45" s="374"/>
      <c r="GD45" s="319"/>
      <c r="GE45" s="319"/>
      <c r="GF45" s="319"/>
      <c r="GG45" s="319"/>
      <c r="GH45" s="319"/>
      <c r="GI45" s="319"/>
      <c r="GJ45" s="319"/>
      <c r="GK45" s="319"/>
      <c r="GL45" s="319"/>
      <c r="GM45" s="319"/>
      <c r="GN45" s="319"/>
      <c r="GO45" s="319"/>
      <c r="GP45" s="319"/>
      <c r="GQ45" s="28"/>
      <c r="GR45" s="270"/>
      <c r="GS45" s="177"/>
      <c r="GT45" s="177"/>
      <c r="GU45" s="741"/>
      <c r="GV45" s="435"/>
      <c r="GW45" s="327">
        <f t="shared" ref="GW45:GW71" si="21">SUM(GC45:GV45)</f>
        <v>0</v>
      </c>
      <c r="GX45" s="454">
        <f t="shared" ref="GX45:GX71" si="22">I45-GW45</f>
        <v>234.57</v>
      </c>
      <c r="GY45" s="605">
        <f t="shared" ref="GY45:GY71" si="23">I45</f>
        <v>234.57</v>
      </c>
      <c r="GZ45" s="627">
        <f>'2_квартал'!G38</f>
        <v>329.49</v>
      </c>
      <c r="HA45" s="239">
        <f t="shared" ref="HA45:HA71" si="24">E45</f>
        <v>435.25</v>
      </c>
      <c r="HB45" s="36" t="str">
        <f t="shared" ref="HB45:HB71" si="25">B45</f>
        <v>Актиген</v>
      </c>
      <c r="HC45" s="38"/>
      <c r="HD45" s="175"/>
      <c r="HE45" s="175"/>
    </row>
    <row r="46" spans="1:213" ht="15.9" customHeight="1" x14ac:dyDescent="0.3">
      <c r="A46" s="127">
        <f t="shared" si="18"/>
        <v>34</v>
      </c>
      <c r="B46" s="694" t="s">
        <v>34</v>
      </c>
      <c r="C46" s="565">
        <f>'2_квартал'!G39</f>
        <v>499.44499999999999</v>
      </c>
      <c r="D46" s="346">
        <v>458.18</v>
      </c>
      <c r="E46" s="241">
        <v>36.29</v>
      </c>
      <c r="F46" s="572">
        <v>244.43</v>
      </c>
      <c r="G46" s="299">
        <f t="shared" si="8"/>
        <v>246.3</v>
      </c>
      <c r="H46" s="93">
        <v>963.21</v>
      </c>
      <c r="I46" s="93">
        <v>718.78</v>
      </c>
      <c r="J46" s="112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245"/>
      <c r="Z46" s="177">
        <v>458.18</v>
      </c>
      <c r="AA46" s="272"/>
      <c r="AB46" s="24"/>
      <c r="AC46" s="319"/>
      <c r="AD46" s="319"/>
      <c r="AE46" s="319"/>
      <c r="AF46" s="319"/>
      <c r="AG46" s="319"/>
      <c r="AH46" s="177"/>
      <c r="AI46" s="177"/>
      <c r="AJ46" s="319"/>
      <c r="AK46" s="319"/>
      <c r="AL46" s="319"/>
      <c r="AM46" s="319"/>
      <c r="AN46" s="319"/>
      <c r="AO46" s="319"/>
      <c r="AP46" s="319"/>
      <c r="AQ46" s="319"/>
      <c r="AR46" s="319"/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/>
      <c r="BE46" s="319"/>
      <c r="BF46" s="319"/>
      <c r="BG46" s="319"/>
      <c r="BH46" s="319"/>
      <c r="BI46" s="319"/>
      <c r="BJ46" s="319"/>
      <c r="BK46" s="319"/>
      <c r="BL46" s="319"/>
      <c r="BM46" s="319"/>
      <c r="BN46" s="319"/>
      <c r="BO46" s="319"/>
      <c r="BP46" s="319"/>
      <c r="BQ46" s="460"/>
      <c r="BR46" s="319"/>
      <c r="BS46" s="158">
        <f t="shared" si="10"/>
        <v>458.18</v>
      </c>
      <c r="BT46" s="94"/>
      <c r="BU46" s="319"/>
      <c r="BV46" s="319"/>
      <c r="BW46" s="319"/>
      <c r="BX46" s="319"/>
      <c r="BY46" s="319"/>
      <c r="BZ46" s="319"/>
      <c r="CA46" s="319"/>
      <c r="CB46" s="319"/>
      <c r="CC46" s="319"/>
      <c r="CD46" s="319"/>
      <c r="CE46" s="319"/>
      <c r="CF46" s="319"/>
      <c r="CG46" s="319"/>
      <c r="CH46" s="319"/>
      <c r="CI46" s="319"/>
      <c r="CJ46" s="319"/>
      <c r="CK46" s="319"/>
      <c r="CL46" s="319"/>
      <c r="CM46" s="319"/>
      <c r="CN46" s="319"/>
      <c r="CO46" s="319"/>
      <c r="CP46" s="319"/>
      <c r="CQ46" s="319"/>
      <c r="CR46" s="319"/>
      <c r="CS46" s="319"/>
      <c r="CT46" s="319"/>
      <c r="CU46" s="319"/>
      <c r="CV46" s="319"/>
      <c r="CW46" s="319"/>
      <c r="CX46" s="319"/>
      <c r="CY46" s="177"/>
      <c r="CZ46" s="32"/>
      <c r="DA46" s="32"/>
      <c r="DB46" s="319"/>
      <c r="DC46" s="319"/>
      <c r="DD46" s="319"/>
      <c r="DE46" s="319">
        <v>36.287999999999997</v>
      </c>
      <c r="DF46" s="319"/>
      <c r="DG46" s="319"/>
      <c r="DH46" s="319"/>
      <c r="DI46" s="319"/>
      <c r="DJ46" s="319"/>
      <c r="DK46" s="319"/>
      <c r="DL46" s="319"/>
      <c r="DM46" s="319"/>
      <c r="DN46" s="319"/>
      <c r="DO46" s="319"/>
      <c r="DP46" s="319"/>
      <c r="DQ46" s="319"/>
      <c r="DR46" s="319"/>
      <c r="DS46" s="319"/>
      <c r="DT46" s="419">
        <f t="shared" si="19"/>
        <v>36.287999999999997</v>
      </c>
      <c r="DU46" s="57"/>
      <c r="DV46" s="319"/>
      <c r="DW46" s="319"/>
      <c r="DX46" s="319"/>
      <c r="DY46" s="319"/>
      <c r="DZ46" s="319"/>
      <c r="EA46" s="319"/>
      <c r="EB46" s="319"/>
      <c r="EC46" s="319"/>
      <c r="ED46" s="319"/>
      <c r="EE46" s="319"/>
      <c r="EF46" s="319"/>
      <c r="EG46" s="177"/>
      <c r="EH46" s="177"/>
      <c r="EI46" s="177"/>
      <c r="EJ46" s="319"/>
      <c r="EK46" s="319"/>
      <c r="EL46" s="319"/>
      <c r="EM46" s="319"/>
      <c r="EN46" s="319"/>
      <c r="EO46" s="319"/>
      <c r="EP46" s="319"/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>
        <v>100.8</v>
      </c>
      <c r="FC46" s="319"/>
      <c r="FD46" s="319"/>
      <c r="FE46" s="319"/>
      <c r="FF46" s="319"/>
      <c r="FG46" s="319"/>
      <c r="FH46" s="319">
        <v>25.704000000000001</v>
      </c>
      <c r="FI46" s="319"/>
      <c r="FJ46" s="319"/>
      <c r="FK46" s="319"/>
      <c r="FL46" s="319"/>
      <c r="FM46" s="319"/>
      <c r="FN46" s="319"/>
      <c r="FO46" s="319"/>
      <c r="FP46" s="319">
        <v>54.432000000000002</v>
      </c>
      <c r="FQ46" s="319">
        <v>63.503999999999998</v>
      </c>
      <c r="FR46" s="319"/>
      <c r="FS46" s="319"/>
      <c r="FT46" s="319"/>
      <c r="FU46" s="319"/>
      <c r="FV46" s="319"/>
      <c r="FW46" s="319"/>
      <c r="FX46" s="319"/>
      <c r="FY46" s="319"/>
      <c r="FZ46" s="319"/>
      <c r="GA46" s="158">
        <f t="shared" si="20"/>
        <v>244.43999999999997</v>
      </c>
      <c r="GB46" s="113"/>
      <c r="GC46" s="374"/>
      <c r="GD46" s="319"/>
      <c r="GE46" s="319"/>
      <c r="GF46" s="319"/>
      <c r="GG46" s="319"/>
      <c r="GH46" s="319"/>
      <c r="GI46" s="319"/>
      <c r="GJ46" s="319"/>
      <c r="GK46" s="319"/>
      <c r="GL46" s="319"/>
      <c r="GM46" s="319"/>
      <c r="GN46" s="319"/>
      <c r="GO46" s="319"/>
      <c r="GP46" s="319"/>
      <c r="GQ46" s="28"/>
      <c r="GR46" s="270"/>
      <c r="GS46" s="177"/>
      <c r="GT46" s="177"/>
      <c r="GU46" s="741"/>
      <c r="GV46" s="435"/>
      <c r="GW46" s="327">
        <f t="shared" si="21"/>
        <v>0</v>
      </c>
      <c r="GX46" s="445">
        <f t="shared" si="22"/>
        <v>718.78</v>
      </c>
      <c r="GY46" s="605">
        <f t="shared" si="23"/>
        <v>718.78</v>
      </c>
      <c r="GZ46" s="627">
        <f>'2_квартал'!G39</f>
        <v>499.44499999999999</v>
      </c>
      <c r="HA46" s="239">
        <f t="shared" si="24"/>
        <v>36.29</v>
      </c>
      <c r="HB46" s="36" t="str">
        <f t="shared" si="25"/>
        <v>Биогром Энерджи</v>
      </c>
      <c r="HC46" s="38"/>
      <c r="HD46" s="560">
        <v>46126</v>
      </c>
      <c r="HE46" s="22"/>
    </row>
    <row r="47" spans="1:213" ht="15.9" customHeight="1" x14ac:dyDescent="0.3">
      <c r="A47" s="127">
        <f>A46+1</f>
        <v>35</v>
      </c>
      <c r="B47" s="695" t="s">
        <v>126</v>
      </c>
      <c r="C47" s="565">
        <f>'2_квартал'!G40</f>
        <v>8.1999999999999993</v>
      </c>
      <c r="D47" s="346">
        <f>1079.72+320.91</f>
        <v>1400.63</v>
      </c>
      <c r="E47" s="108">
        <v>1686.17</v>
      </c>
      <c r="F47" s="572">
        <v>396.27</v>
      </c>
      <c r="G47" s="299">
        <f t="shared" si="8"/>
        <v>1161.0229999999999</v>
      </c>
      <c r="H47" s="93">
        <f>192.92+400</f>
        <v>592.91999999999996</v>
      </c>
      <c r="I47" s="93">
        <v>196.65</v>
      </c>
      <c r="J47" s="112"/>
      <c r="K47" s="319">
        <f>22.68/0.3*0.6</f>
        <v>45.360000000000007</v>
      </c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245"/>
      <c r="Z47" s="177">
        <v>378</v>
      </c>
      <c r="AA47" s="272"/>
      <c r="AB47" s="24"/>
      <c r="AC47" s="319"/>
      <c r="AD47" s="319">
        <v>75.599999999999994</v>
      </c>
      <c r="AE47" s="319">
        <v>18.143999999999998</v>
      </c>
      <c r="AF47" s="319"/>
      <c r="AG47" s="319">
        <v>22.68</v>
      </c>
      <c r="AH47" s="177">
        <v>60.48</v>
      </c>
      <c r="AI47" s="177"/>
      <c r="AJ47" s="319"/>
      <c r="AK47" s="319"/>
      <c r="AL47" s="319">
        <f>60*0.6</f>
        <v>36</v>
      </c>
      <c r="AM47" s="319"/>
      <c r="AN47" s="319"/>
      <c r="AO47" s="319"/>
      <c r="AP47" s="319"/>
      <c r="AQ47" s="319"/>
      <c r="AR47" s="319"/>
      <c r="AS47" s="319"/>
      <c r="AT47" s="319">
        <v>240</v>
      </c>
      <c r="AU47" s="319"/>
      <c r="AV47" s="319"/>
      <c r="AW47" s="319"/>
      <c r="AX47" s="319">
        <v>100.001</v>
      </c>
      <c r="AY47" s="319"/>
      <c r="AZ47" s="319"/>
      <c r="BA47" s="319">
        <v>54.432000000000002</v>
      </c>
      <c r="BB47" s="319"/>
      <c r="BC47" s="319"/>
      <c r="BD47" s="319"/>
      <c r="BE47" s="319"/>
      <c r="BF47" s="319"/>
      <c r="BG47" s="319">
        <f>7.56/1.5*0.4</f>
        <v>2.016</v>
      </c>
      <c r="BH47" s="319">
        <f>45.36*0.6</f>
        <v>27.215999999999998</v>
      </c>
      <c r="BI47" s="319">
        <f>42.84*0.6</f>
        <v>25.704000000000001</v>
      </c>
      <c r="BJ47" s="319">
        <f>63*2</f>
        <v>126</v>
      </c>
      <c r="BK47" s="319">
        <f>126*1.5</f>
        <v>189</v>
      </c>
      <c r="BL47" s="319"/>
      <c r="BM47" s="319"/>
      <c r="BN47" s="319"/>
      <c r="BO47" s="319"/>
      <c r="BP47" s="319"/>
      <c r="BQ47" s="460"/>
      <c r="BR47" s="319"/>
      <c r="BS47" s="158">
        <f t="shared" si="10"/>
        <v>1400.6329999999998</v>
      </c>
      <c r="BT47" s="112"/>
      <c r="BU47" s="319"/>
      <c r="BV47" s="319"/>
      <c r="BW47" s="319">
        <f>151.2/3*1.5</f>
        <v>75.599999999999994</v>
      </c>
      <c r="BX47" s="319">
        <f>15.12/3*1.5</f>
        <v>7.5600000000000005</v>
      </c>
      <c r="BY47" s="319">
        <f>181.44/4*2</f>
        <v>90.72</v>
      </c>
      <c r="BZ47" s="319"/>
      <c r="CA47" s="319"/>
      <c r="CB47" s="319">
        <v>90.72</v>
      </c>
      <c r="CC47" s="319">
        <v>36.287999999999997</v>
      </c>
      <c r="CD47" s="319"/>
      <c r="CE47" s="319"/>
      <c r="CF47" s="319"/>
      <c r="CG47" s="319">
        <v>3.7999999999999999E-2</v>
      </c>
      <c r="CH47" s="319">
        <v>7.56</v>
      </c>
      <c r="CI47" s="319"/>
      <c r="CJ47" s="319"/>
      <c r="CK47" s="319">
        <v>120</v>
      </c>
      <c r="CL47" s="319"/>
      <c r="CM47" s="319"/>
      <c r="CN47" s="319"/>
      <c r="CO47" s="319"/>
      <c r="CP47" s="319"/>
      <c r="CQ47" s="319"/>
      <c r="CR47" s="319"/>
      <c r="CS47" s="319"/>
      <c r="CT47" s="319">
        <f>15.12/3*1.5</f>
        <v>7.5600000000000005</v>
      </c>
      <c r="CU47" s="319">
        <f>151.2/3*1.5</f>
        <v>75.599999999999994</v>
      </c>
      <c r="CV47" s="319">
        <f>181.44/4*2</f>
        <v>90.72</v>
      </c>
      <c r="CW47" s="319"/>
      <c r="CX47" s="319"/>
      <c r="CY47" s="177"/>
      <c r="CZ47" s="32"/>
      <c r="DA47" s="32"/>
      <c r="DB47" s="319">
        <f>60*0.6</f>
        <v>36</v>
      </c>
      <c r="DC47" s="319">
        <f>60*0.3</f>
        <v>18</v>
      </c>
      <c r="DD47" s="319"/>
      <c r="DE47" s="319"/>
      <c r="DF47" s="319">
        <v>390.6</v>
      </c>
      <c r="DG47" s="319">
        <f>63*3.9</f>
        <v>245.7</v>
      </c>
      <c r="DH47" s="319"/>
      <c r="DI47" s="319"/>
      <c r="DJ47" s="319"/>
      <c r="DK47" s="319"/>
      <c r="DL47" s="319"/>
      <c r="DM47" s="319">
        <f>100.001*1.5</f>
        <v>150.00150000000002</v>
      </c>
      <c r="DN47" s="319">
        <f>240/4*3</f>
        <v>180</v>
      </c>
      <c r="DO47" s="319"/>
      <c r="DP47" s="319">
        <f>90.72/1.8*0.9</f>
        <v>45.36</v>
      </c>
      <c r="DQ47" s="319">
        <f>36.288/1.2*0.6</f>
        <v>18.143999999999998</v>
      </c>
      <c r="DR47" s="319"/>
      <c r="DS47" s="319"/>
      <c r="DT47" s="419">
        <f t="shared" si="19"/>
        <v>1686.1715000000002</v>
      </c>
      <c r="DU47" s="57"/>
      <c r="DV47" s="319"/>
      <c r="DW47" s="319"/>
      <c r="DX47" s="319"/>
      <c r="DY47" s="319"/>
      <c r="DZ47" s="319"/>
      <c r="EA47" s="319"/>
      <c r="EB47" s="319"/>
      <c r="EC47" s="319"/>
      <c r="ED47" s="319"/>
      <c r="EE47" s="319"/>
      <c r="EF47" s="319"/>
      <c r="EG47" s="177"/>
      <c r="EH47" s="177"/>
      <c r="EI47" s="177"/>
      <c r="EJ47" s="319"/>
      <c r="EK47" s="319">
        <f>36.288/1.2*0.6</f>
        <v>18.143999999999998</v>
      </c>
      <c r="EL47" s="319">
        <f>90.72/1.8*0.9</f>
        <v>45.36</v>
      </c>
      <c r="EM47" s="319"/>
      <c r="EN47" s="319"/>
      <c r="EO47" s="319"/>
      <c r="EP47" s="319"/>
      <c r="EQ47" s="319">
        <v>22.68</v>
      </c>
      <c r="ER47" s="319"/>
      <c r="ES47" s="319">
        <f>18/0.3*0.6</f>
        <v>36</v>
      </c>
      <c r="ET47" s="319"/>
      <c r="EU47" s="319"/>
      <c r="EV47" s="319"/>
      <c r="EW47" s="319"/>
      <c r="EX47" s="319"/>
      <c r="EY47" s="319"/>
      <c r="EZ47" s="319"/>
      <c r="FA47" s="319">
        <f>150.001/1.5</f>
        <v>100.00066666666667</v>
      </c>
      <c r="FB47" s="319"/>
      <c r="FC47" s="319"/>
      <c r="FD47" s="319">
        <f>63</f>
        <v>63</v>
      </c>
      <c r="FE47" s="319"/>
      <c r="FF47" s="319"/>
      <c r="FG47" s="319"/>
      <c r="FH47" s="319"/>
      <c r="FI47" s="319"/>
      <c r="FJ47" s="319"/>
      <c r="FK47" s="319">
        <v>36</v>
      </c>
      <c r="FL47" s="319"/>
      <c r="FM47" s="319"/>
      <c r="FN47" s="319"/>
      <c r="FO47" s="319"/>
      <c r="FP47" s="319">
        <v>24.192</v>
      </c>
      <c r="FQ47" s="319">
        <v>25.704000000000001</v>
      </c>
      <c r="FR47" s="319"/>
      <c r="FS47" s="319"/>
      <c r="FT47" s="319"/>
      <c r="FU47" s="319"/>
      <c r="FV47" s="319">
        <f>90.72/1.8*0.5</f>
        <v>25.2</v>
      </c>
      <c r="FW47" s="319"/>
      <c r="FX47" s="319"/>
      <c r="FY47" s="319"/>
      <c r="FZ47" s="319"/>
      <c r="GA47" s="158">
        <f t="shared" si="20"/>
        <v>396.28066666666666</v>
      </c>
      <c r="GB47" s="113"/>
      <c r="GC47" s="374"/>
      <c r="GD47" s="319"/>
      <c r="GE47" s="319"/>
      <c r="GF47" s="319"/>
      <c r="GG47" s="319"/>
      <c r="GH47" s="319"/>
      <c r="GI47" s="319"/>
      <c r="GJ47" s="319"/>
      <c r="GK47" s="319"/>
      <c r="GL47" s="319"/>
      <c r="GM47" s="319"/>
      <c r="GN47" s="319"/>
      <c r="GO47" s="319"/>
      <c r="GP47" s="319"/>
      <c r="GQ47" s="28"/>
      <c r="GR47" s="270"/>
      <c r="GS47" s="177"/>
      <c r="GT47" s="177"/>
      <c r="GU47" s="741"/>
      <c r="GV47" s="435"/>
      <c r="GW47" s="327">
        <f t="shared" si="21"/>
        <v>0</v>
      </c>
      <c r="GX47" s="558">
        <f t="shared" si="22"/>
        <v>196.65</v>
      </c>
      <c r="GY47" s="605">
        <f t="shared" si="23"/>
        <v>196.65</v>
      </c>
      <c r="GZ47" s="627">
        <f>'2_квартал'!G40</f>
        <v>8.1999999999999993</v>
      </c>
      <c r="HA47" s="239">
        <f t="shared" si="24"/>
        <v>1686.17</v>
      </c>
      <c r="HB47" s="36" t="str">
        <f t="shared" si="25"/>
        <v>Биогром Холин</v>
      </c>
      <c r="HC47" s="38"/>
      <c r="HD47" s="14"/>
      <c r="HE47" s="14"/>
    </row>
    <row r="48" spans="1:213" ht="15.9" customHeight="1" x14ac:dyDescent="0.3">
      <c r="A48" s="127">
        <f>A47+1</f>
        <v>36</v>
      </c>
      <c r="B48" s="695" t="s">
        <v>161</v>
      </c>
      <c r="C48" s="565">
        <f>'2_квартал'!G41</f>
        <v>60.435000000000002</v>
      </c>
      <c r="D48" s="346">
        <v>288.44</v>
      </c>
      <c r="E48" s="241">
        <v>0</v>
      </c>
      <c r="F48" s="572">
        <v>211.06</v>
      </c>
      <c r="G48" s="299">
        <f t="shared" si="8"/>
        <v>166.5</v>
      </c>
      <c r="H48" s="93">
        <v>211.06</v>
      </c>
      <c r="I48" s="93">
        <v>0</v>
      </c>
      <c r="J48" s="112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245"/>
      <c r="Z48" s="177"/>
      <c r="AA48" s="272"/>
      <c r="AB48" s="24"/>
      <c r="AC48" s="319"/>
      <c r="AD48" s="319"/>
      <c r="AE48" s="319"/>
      <c r="AF48" s="319"/>
      <c r="AG48" s="319"/>
      <c r="AH48" s="177"/>
      <c r="AI48" s="177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 s="319"/>
      <c r="BE48" s="319">
        <f>499.5/7.1*4.1</f>
        <v>288.44366197183098</v>
      </c>
      <c r="BF48" s="319"/>
      <c r="BG48" s="319"/>
      <c r="BH48" s="319"/>
      <c r="BI48" s="319"/>
      <c r="BJ48" s="319"/>
      <c r="BK48" s="319"/>
      <c r="BL48" s="319"/>
      <c r="BM48" s="319"/>
      <c r="BN48" s="319"/>
      <c r="BO48" s="319"/>
      <c r="BP48" s="319"/>
      <c r="BQ48" s="460"/>
      <c r="BR48" s="319"/>
      <c r="BS48" s="158">
        <f t="shared" si="10"/>
        <v>288.44366197183098</v>
      </c>
      <c r="BT48" s="112"/>
      <c r="BU48" s="319"/>
      <c r="BV48" s="319"/>
      <c r="BW48" s="319"/>
      <c r="BX48" s="319"/>
      <c r="BY48" s="319"/>
      <c r="BZ48" s="319"/>
      <c r="CA48" s="319"/>
      <c r="CB48" s="319"/>
      <c r="CC48" s="319"/>
      <c r="CD48" s="319"/>
      <c r="CE48" s="319"/>
      <c r="CF48" s="319"/>
      <c r="CG48" s="319"/>
      <c r="CH48" s="319"/>
      <c r="CI48" s="319"/>
      <c r="CJ48" s="319"/>
      <c r="CK48" s="319"/>
      <c r="CL48" s="319"/>
      <c r="CM48" s="319"/>
      <c r="CN48" s="319"/>
      <c r="CO48" s="319"/>
      <c r="CP48" s="319"/>
      <c r="CQ48" s="319"/>
      <c r="CR48" s="319"/>
      <c r="CS48" s="319"/>
      <c r="CT48" s="319"/>
      <c r="CU48" s="319"/>
      <c r="CV48" s="319"/>
      <c r="CW48" s="319"/>
      <c r="CX48" s="319"/>
      <c r="CY48" s="177"/>
      <c r="CZ48" s="32"/>
      <c r="DA48" s="32"/>
      <c r="DB48" s="319"/>
      <c r="DC48" s="319"/>
      <c r="DD48" s="319"/>
      <c r="DE48" s="319"/>
      <c r="DF48" s="319"/>
      <c r="DG48" s="319"/>
      <c r="DH48" s="319"/>
      <c r="DI48" s="319"/>
      <c r="DJ48" s="319"/>
      <c r="DK48" s="319"/>
      <c r="DL48" s="319"/>
      <c r="DM48" s="319"/>
      <c r="DN48" s="319"/>
      <c r="DO48" s="319"/>
      <c r="DP48" s="319"/>
      <c r="DQ48" s="319"/>
      <c r="DR48" s="319"/>
      <c r="DS48" s="319"/>
      <c r="DT48" s="419">
        <f t="shared" si="19"/>
        <v>0</v>
      </c>
      <c r="DU48" s="57"/>
      <c r="DV48" s="319"/>
      <c r="DW48" s="319"/>
      <c r="DX48" s="319"/>
      <c r="DY48" s="319"/>
      <c r="DZ48" s="319"/>
      <c r="EA48" s="319"/>
      <c r="EB48" s="319"/>
      <c r="EC48" s="319"/>
      <c r="ED48" s="319"/>
      <c r="EE48" s="319"/>
      <c r="EF48" s="319"/>
      <c r="EG48" s="177"/>
      <c r="EH48" s="177"/>
      <c r="EI48" s="177"/>
      <c r="EJ48" s="319"/>
      <c r="EK48" s="319"/>
      <c r="EL48" s="319"/>
      <c r="EM48" s="319"/>
      <c r="EN48" s="319"/>
      <c r="EO48" s="319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19"/>
      <c r="FE48" s="319"/>
      <c r="FF48" s="319"/>
      <c r="FG48" s="319">
        <v>211.06</v>
      </c>
      <c r="FH48" s="319"/>
      <c r="FI48" s="319"/>
      <c r="FJ48" s="319"/>
      <c r="FK48" s="319"/>
      <c r="FL48" s="319"/>
      <c r="FM48" s="319"/>
      <c r="FN48" s="319"/>
      <c r="FO48" s="319"/>
      <c r="FP48" s="319"/>
      <c r="FQ48" s="319"/>
      <c r="FR48" s="319"/>
      <c r="FS48" s="319"/>
      <c r="FT48" s="319"/>
      <c r="FU48" s="319"/>
      <c r="FV48" s="319"/>
      <c r="FW48" s="319"/>
      <c r="FX48" s="319"/>
      <c r="FY48" s="319"/>
      <c r="FZ48" s="319"/>
      <c r="GA48" s="158">
        <f t="shared" si="20"/>
        <v>211.06</v>
      </c>
      <c r="GB48" s="113"/>
      <c r="GC48" s="374"/>
      <c r="GD48" s="319"/>
      <c r="GE48" s="319"/>
      <c r="GF48" s="319"/>
      <c r="GG48" s="319"/>
      <c r="GH48" s="319"/>
      <c r="GI48" s="319"/>
      <c r="GJ48" s="319"/>
      <c r="GK48" s="319"/>
      <c r="GL48" s="319"/>
      <c r="GM48" s="319"/>
      <c r="GN48" s="319"/>
      <c r="GO48" s="319"/>
      <c r="GP48" s="319"/>
      <c r="GQ48" s="28"/>
      <c r="GR48" s="270"/>
      <c r="GS48" s="177"/>
      <c r="GT48" s="177"/>
      <c r="GU48" s="741"/>
      <c r="GV48" s="435"/>
      <c r="GW48" s="327">
        <f t="shared" si="21"/>
        <v>0</v>
      </c>
      <c r="GX48" s="445">
        <f t="shared" si="22"/>
        <v>0</v>
      </c>
      <c r="GY48" s="605">
        <f t="shared" si="23"/>
        <v>0</v>
      </c>
      <c r="GZ48" s="627">
        <f>'2_квартал'!G41</f>
        <v>60.435000000000002</v>
      </c>
      <c r="HA48" s="239">
        <f t="shared" si="24"/>
        <v>0</v>
      </c>
      <c r="HB48" s="36" t="str">
        <f t="shared" si="25"/>
        <v>Био-Мос</v>
      </c>
      <c r="HC48" s="38"/>
      <c r="HD48" s="14"/>
      <c r="HE48" s="14"/>
    </row>
    <row r="49" spans="1:213" ht="15.9" customHeight="1" x14ac:dyDescent="0.3">
      <c r="A49" s="127">
        <f t="shared" si="18"/>
        <v>37</v>
      </c>
      <c r="B49" s="691" t="s">
        <v>101</v>
      </c>
      <c r="C49" s="565">
        <f>'2_квартал'!G42</f>
        <v>781.72500000000002</v>
      </c>
      <c r="D49" s="346">
        <v>975.91</v>
      </c>
      <c r="E49" s="241">
        <f>267.283+572.487</f>
        <v>839.77</v>
      </c>
      <c r="F49" s="572">
        <f>427.513+415.767</f>
        <v>843.28</v>
      </c>
      <c r="G49" s="299">
        <f t="shared" si="8"/>
        <v>886.32</v>
      </c>
      <c r="H49" s="93">
        <f>427.513+1000</f>
        <v>1427.5129999999999</v>
      </c>
      <c r="I49" s="93">
        <f>584.233+499</f>
        <v>1083.2329999999999</v>
      </c>
      <c r="J49" s="112"/>
      <c r="K49" s="319">
        <f>1.008/0.3*0.6</f>
        <v>2.016</v>
      </c>
      <c r="L49" s="319"/>
      <c r="M49" s="319">
        <v>42.417000000000002</v>
      </c>
      <c r="N49" s="319">
        <f>23.52*3</f>
        <v>70.56</v>
      </c>
      <c r="O49" s="319">
        <v>42.84</v>
      </c>
      <c r="P49" s="319">
        <v>3.36</v>
      </c>
      <c r="Q49" s="319"/>
      <c r="R49" s="319"/>
      <c r="S49" s="319"/>
      <c r="T49" s="319">
        <v>2.218</v>
      </c>
      <c r="U49" s="319">
        <f>23.52*9</f>
        <v>211.68</v>
      </c>
      <c r="V49" s="319">
        <v>23.52</v>
      </c>
      <c r="W49" s="319"/>
      <c r="X49" s="319"/>
      <c r="Y49" s="245"/>
      <c r="Z49" s="177">
        <v>21.491</v>
      </c>
      <c r="AA49" s="272">
        <v>13.44</v>
      </c>
      <c r="AB49" s="24"/>
      <c r="AC49" s="319">
        <v>0.40300000000000002</v>
      </c>
      <c r="AD49" s="319">
        <v>7.056</v>
      </c>
      <c r="AE49" s="319">
        <v>4.032</v>
      </c>
      <c r="AF49" s="319">
        <v>0.47</v>
      </c>
      <c r="AG49" s="319">
        <v>1.008</v>
      </c>
      <c r="AH49" s="177">
        <v>3.5819999999999999</v>
      </c>
      <c r="AI49" s="177"/>
      <c r="AJ49" s="319">
        <f>2.352*0.8</f>
        <v>1.8815999999999999</v>
      </c>
      <c r="AK49" s="319">
        <f>23.52*1.5</f>
        <v>35.28</v>
      </c>
      <c r="AL49" s="319">
        <f>4.704*0.6</f>
        <v>2.8223999999999996</v>
      </c>
      <c r="AM49" s="319">
        <f>23.52*3</f>
        <v>70.56</v>
      </c>
      <c r="AN49" s="319">
        <f>8.4*0.9</f>
        <v>7.5600000000000005</v>
      </c>
      <c r="AO49" s="319">
        <v>85.68</v>
      </c>
      <c r="AP49" s="319">
        <f>8.064*5</f>
        <v>40.32</v>
      </c>
      <c r="AQ49" s="319"/>
      <c r="AR49" s="319"/>
      <c r="AS49" s="319">
        <f>8.4*3</f>
        <v>25.200000000000003</v>
      </c>
      <c r="AT49" s="319">
        <v>18.815999999999999</v>
      </c>
      <c r="AU49" s="319">
        <v>5.5439999999999996</v>
      </c>
      <c r="AV49" s="319">
        <f>94.08/4*2</f>
        <v>47.04</v>
      </c>
      <c r="AW49" s="319"/>
      <c r="AX49" s="319">
        <v>11.202</v>
      </c>
      <c r="AY49" s="319">
        <f>94.08/4*2</f>
        <v>47.04</v>
      </c>
      <c r="AZ49" s="319">
        <f>42.417/2.4*1.5</f>
        <v>26.510625000000005</v>
      </c>
      <c r="BA49" s="319">
        <v>3.629</v>
      </c>
      <c r="BB49" s="319"/>
      <c r="BC49" s="319">
        <f>0.134/2*2.4</f>
        <v>0.1608</v>
      </c>
      <c r="BD49" s="319">
        <f>2.352*2</f>
        <v>4.7039999999999997</v>
      </c>
      <c r="BE49" s="319"/>
      <c r="BF49" s="319"/>
      <c r="BG49" s="319">
        <f>7.56/1.5*0.4</f>
        <v>2.016</v>
      </c>
      <c r="BH49" s="319">
        <f>0.101*0.6</f>
        <v>6.0600000000000001E-2</v>
      </c>
      <c r="BI49" s="319">
        <f>0.255*0.6</f>
        <v>0.153</v>
      </c>
      <c r="BJ49" s="319">
        <f>7.19*2</f>
        <v>14.38</v>
      </c>
      <c r="BK49" s="319">
        <f>11.76*1.5</f>
        <v>17.64</v>
      </c>
      <c r="BL49" s="319">
        <f>11.76*3.5</f>
        <v>41.16</v>
      </c>
      <c r="BM49" s="319">
        <v>16.465</v>
      </c>
      <c r="BN49" s="319"/>
      <c r="BO49" s="319"/>
      <c r="BP49" s="319"/>
      <c r="BQ49" s="460"/>
      <c r="BR49" s="319"/>
      <c r="BS49" s="158">
        <f t="shared" si="10"/>
        <v>975.91802499999994</v>
      </c>
      <c r="BT49" s="112"/>
      <c r="BU49" s="319">
        <f>42.417/2.4*2</f>
        <v>35.347500000000004</v>
      </c>
      <c r="BV49" s="319">
        <v>26.881</v>
      </c>
      <c r="BW49" s="319"/>
      <c r="BX49" s="319">
        <f>15.12/3*1.5</f>
        <v>7.5600000000000005</v>
      </c>
      <c r="BY49" s="319"/>
      <c r="BZ49" s="319">
        <f>23.52*3</f>
        <v>70.56</v>
      </c>
      <c r="CA49" s="319">
        <v>0.47</v>
      </c>
      <c r="CB49" s="319">
        <v>8.4670000000000005</v>
      </c>
      <c r="CC49" s="319">
        <v>8.0640000000000001</v>
      </c>
      <c r="CD49" s="319">
        <v>35.28</v>
      </c>
      <c r="CE49" s="319">
        <v>4.4349999999999996</v>
      </c>
      <c r="CF49" s="319"/>
      <c r="CG49" s="319">
        <v>4.032</v>
      </c>
      <c r="CH49" s="319"/>
      <c r="CI49" s="319">
        <v>0.32300000000000001</v>
      </c>
      <c r="CJ49" s="319">
        <f>11.76*6</f>
        <v>70.56</v>
      </c>
      <c r="CK49" s="319">
        <v>13.44</v>
      </c>
      <c r="CL49" s="319">
        <f>17.674*3</f>
        <v>53.021999999999998</v>
      </c>
      <c r="CM49" s="319">
        <f>4.435/0.6*0.5</f>
        <v>3.6958333333333333</v>
      </c>
      <c r="CN49" s="319">
        <v>3.36</v>
      </c>
      <c r="CO49" s="319">
        <f>16.8/5*3</f>
        <v>10.080000000000002</v>
      </c>
      <c r="CP49" s="319">
        <f>16.8/5*2</f>
        <v>6.7200000000000006</v>
      </c>
      <c r="CQ49" s="319"/>
      <c r="CR49" s="319">
        <f>8.4*0.9</f>
        <v>7.5600000000000005</v>
      </c>
      <c r="CS49" s="319">
        <f>23.52*2</f>
        <v>47.04</v>
      </c>
      <c r="CT49" s="319">
        <f>15.12/3*1.5</f>
        <v>7.5600000000000005</v>
      </c>
      <c r="CU49" s="319"/>
      <c r="CV49" s="319"/>
      <c r="CW49" s="319"/>
      <c r="CX49" s="319">
        <f>11.76*4.2</f>
        <v>49.392000000000003</v>
      </c>
      <c r="CY49" s="177"/>
      <c r="CZ49" s="32">
        <v>3.36</v>
      </c>
      <c r="DA49" s="32">
        <v>2.3519999999999999</v>
      </c>
      <c r="DB49" s="319">
        <f>4.704*0.6</f>
        <v>2.8223999999999996</v>
      </c>
      <c r="DC49" s="319">
        <f>6.72*0.3</f>
        <v>2.016</v>
      </c>
      <c r="DD49" s="319">
        <v>14.112</v>
      </c>
      <c r="DE49" s="319">
        <v>0.161</v>
      </c>
      <c r="DF49" s="319">
        <v>36.456000000000003</v>
      </c>
      <c r="DG49" s="319">
        <f>7.19*3.9</f>
        <v>28.041</v>
      </c>
      <c r="DH49" s="319">
        <f>17.674*1.2</f>
        <v>21.2088</v>
      </c>
      <c r="DI49" s="319">
        <f>94.08/4*5</f>
        <v>117.6</v>
      </c>
      <c r="DJ49" s="319">
        <f>5.544*2.5</f>
        <v>13.86</v>
      </c>
      <c r="DK49" s="319">
        <f>8.4*1.5</f>
        <v>12.600000000000001</v>
      </c>
      <c r="DL49" s="319">
        <f>8.4</f>
        <v>8.4</v>
      </c>
      <c r="DM49" s="319">
        <f>11.202*1.5</f>
        <v>16.803000000000001</v>
      </c>
      <c r="DN49" s="319">
        <f>18.816/4*3</f>
        <v>14.111999999999998</v>
      </c>
      <c r="DO49" s="319">
        <f>0.538/0.8*0.4</f>
        <v>0.26900000000000002</v>
      </c>
      <c r="DP49" s="319">
        <f>8.467/1.8*0.9</f>
        <v>4.2335000000000003</v>
      </c>
      <c r="DQ49" s="319">
        <f>8.064/1.2*0.6</f>
        <v>4.032</v>
      </c>
      <c r="DR49" s="319">
        <v>47.04</v>
      </c>
      <c r="DS49" s="319">
        <v>16.465</v>
      </c>
      <c r="DT49" s="419">
        <f t="shared" si="19"/>
        <v>839.7930333333336</v>
      </c>
      <c r="DU49" s="57"/>
      <c r="DV49" s="319">
        <v>26.881</v>
      </c>
      <c r="DW49" s="319">
        <f>17.674*2</f>
        <v>35.347999999999999</v>
      </c>
      <c r="DX49" s="319">
        <v>3.629</v>
      </c>
      <c r="DY49" s="319">
        <f>3.36*1.5</f>
        <v>5.04</v>
      </c>
      <c r="DZ49" s="319">
        <f>8.064*3</f>
        <v>24.192</v>
      </c>
      <c r="EA49" s="319"/>
      <c r="EB49" s="319"/>
      <c r="EC49" s="319"/>
      <c r="ED49" s="319">
        <v>4.4349999999999996</v>
      </c>
      <c r="EE49" s="319">
        <v>3.36</v>
      </c>
      <c r="EF49" s="319">
        <f>2.352*1.5</f>
        <v>3.5279999999999996</v>
      </c>
      <c r="EG49" s="177">
        <v>28.654</v>
      </c>
      <c r="EH49" s="177">
        <f>32.256/12*8</f>
        <v>21.504000000000001</v>
      </c>
      <c r="EI49" s="177">
        <f>32.256/12*4</f>
        <v>10.752000000000001</v>
      </c>
      <c r="EJ49" s="319">
        <f>0.538/0.8*0.4</f>
        <v>0.26900000000000002</v>
      </c>
      <c r="EK49" s="319">
        <f>8.064/1.2*0.6</f>
        <v>4.032</v>
      </c>
      <c r="EL49" s="319">
        <f>8.467/1.8*0.9</f>
        <v>4.2335000000000003</v>
      </c>
      <c r="EM49" s="319">
        <f>11.76</f>
        <v>11.76</v>
      </c>
      <c r="EN49" s="319">
        <f>3.36*2</f>
        <v>6.72</v>
      </c>
      <c r="EO49" s="319">
        <f>2.352</f>
        <v>2.3519999999999999</v>
      </c>
      <c r="EP49" s="319"/>
      <c r="EQ49" s="319">
        <v>1.008</v>
      </c>
      <c r="ER49" s="319">
        <f>3.36*2.5</f>
        <v>8.4</v>
      </c>
      <c r="ES49" s="319">
        <f>2.016/0.3*0.6</f>
        <v>4.032</v>
      </c>
      <c r="ET49" s="319">
        <v>3.528</v>
      </c>
      <c r="EU49" s="319">
        <f>11.76*4</f>
        <v>47.04</v>
      </c>
      <c r="EV49" s="319"/>
      <c r="EW49" s="319">
        <v>0.40300000000000002</v>
      </c>
      <c r="EX49" s="319">
        <f>23.52*2</f>
        <v>47.04</v>
      </c>
      <c r="EY49" s="319">
        <f>70.56/6*3</f>
        <v>35.28</v>
      </c>
      <c r="EZ49" s="319">
        <v>117.6</v>
      </c>
      <c r="FA49" s="319">
        <f>16.803/1.5</f>
        <v>11.202</v>
      </c>
      <c r="FB49" s="319">
        <v>4.7039999999999997</v>
      </c>
      <c r="FC49" s="319">
        <f>11.76*1.5</f>
        <v>17.64</v>
      </c>
      <c r="FD49" s="319">
        <f>7.19</f>
        <v>7.19</v>
      </c>
      <c r="FE49" s="319">
        <f>53.021</f>
        <v>53.021000000000001</v>
      </c>
      <c r="FF49" s="319">
        <f>11.76*0.3</f>
        <v>3.528</v>
      </c>
      <c r="FG49" s="319"/>
      <c r="FH49" s="319">
        <v>0.114</v>
      </c>
      <c r="FI49" s="319">
        <v>25.2</v>
      </c>
      <c r="FJ49" s="319">
        <f>8.064*5</f>
        <v>40.32</v>
      </c>
      <c r="FK49" s="319">
        <v>2.8220000000000001</v>
      </c>
      <c r="FL49" s="319">
        <f>47.04/2*2.1</f>
        <v>49.392000000000003</v>
      </c>
      <c r="FM49" s="319">
        <v>16.8</v>
      </c>
      <c r="FN49" s="319"/>
      <c r="FO49" s="319">
        <v>2.016</v>
      </c>
      <c r="FP49" s="319">
        <v>0.04</v>
      </c>
      <c r="FQ49" s="319">
        <v>0.02</v>
      </c>
      <c r="FR49" s="319"/>
      <c r="FS49" s="319">
        <f>23.52*3</f>
        <v>70.56</v>
      </c>
      <c r="FT49" s="319">
        <f>11.76*1.9</f>
        <v>22.343999999999998</v>
      </c>
      <c r="FU49" s="319">
        <f>17.674*3</f>
        <v>53.021999999999998</v>
      </c>
      <c r="FV49" s="319">
        <f>8.467/1.8*0.5</f>
        <v>2.3519444444444444</v>
      </c>
      <c r="FW49" s="319"/>
      <c r="FX49" s="319"/>
      <c r="FY49" s="319"/>
      <c r="FZ49" s="319"/>
      <c r="GA49" s="158">
        <f t="shared" si="20"/>
        <v>843.30744444444463</v>
      </c>
      <c r="GB49" s="113"/>
      <c r="GC49" s="374"/>
      <c r="GD49" s="319"/>
      <c r="GE49" s="319"/>
      <c r="GF49" s="319"/>
      <c r="GG49" s="319"/>
      <c r="GH49" s="319"/>
      <c r="GI49" s="319"/>
      <c r="GJ49" s="319"/>
      <c r="GK49" s="319"/>
      <c r="GL49" s="319"/>
      <c r="GM49" s="319"/>
      <c r="GN49" s="319"/>
      <c r="GO49" s="319"/>
      <c r="GP49" s="319"/>
      <c r="GQ49" s="28"/>
      <c r="GR49" s="270"/>
      <c r="GS49" s="177"/>
      <c r="GT49" s="177"/>
      <c r="GU49" s="741"/>
      <c r="GV49" s="435"/>
      <c r="GW49" s="327">
        <f t="shared" si="21"/>
        <v>0</v>
      </c>
      <c r="GX49" s="454">
        <f t="shared" si="22"/>
        <v>1083.2329999999999</v>
      </c>
      <c r="GY49" s="605">
        <f t="shared" si="23"/>
        <v>1083.2329999999999</v>
      </c>
      <c r="GZ49" s="627">
        <f>'2_квартал'!G42</f>
        <v>781.72500000000002</v>
      </c>
      <c r="HA49" s="239">
        <f t="shared" si="24"/>
        <v>839.77</v>
      </c>
      <c r="HB49" s="36" t="str">
        <f t="shared" si="25"/>
        <v>Биоплекс марганец</v>
      </c>
      <c r="HC49" s="38"/>
      <c r="HD49" s="14"/>
      <c r="HE49" s="14"/>
    </row>
    <row r="50" spans="1:213" ht="15.9" customHeight="1" x14ac:dyDescent="0.3">
      <c r="A50" s="127">
        <f t="shared" si="18"/>
        <v>38</v>
      </c>
      <c r="B50" s="691" t="s">
        <v>110</v>
      </c>
      <c r="C50" s="565">
        <f>'2_квартал'!G43</f>
        <v>619.92499999999995</v>
      </c>
      <c r="D50" s="346">
        <v>771.98</v>
      </c>
      <c r="E50" s="241">
        <f>629.403+68.287</f>
        <v>697.69</v>
      </c>
      <c r="F50" s="572">
        <f>431.213+214.567</f>
        <v>645.78</v>
      </c>
      <c r="G50" s="299">
        <f t="shared" si="8"/>
        <v>705.15</v>
      </c>
      <c r="H50" s="93">
        <f>431.213+500+999</f>
        <v>1930.213</v>
      </c>
      <c r="I50" s="93">
        <v>784.43299999999999</v>
      </c>
      <c r="J50" s="112"/>
      <c r="K50" s="319"/>
      <c r="L50" s="319"/>
      <c r="M50" s="319">
        <v>30.603000000000002</v>
      </c>
      <c r="N50" s="319">
        <f>20.16*3</f>
        <v>60.480000000000004</v>
      </c>
      <c r="O50" s="319">
        <v>36.792000000000002</v>
      </c>
      <c r="P50" s="319">
        <v>2.419</v>
      </c>
      <c r="Q50" s="319"/>
      <c r="R50" s="319"/>
      <c r="S50" s="319"/>
      <c r="T50" s="319">
        <v>3.3260000000000001</v>
      </c>
      <c r="U50" s="319">
        <f>20.16*9</f>
        <v>181.44</v>
      </c>
      <c r="V50" s="319">
        <v>20.16</v>
      </c>
      <c r="W50" s="319"/>
      <c r="X50" s="319"/>
      <c r="Y50" s="245"/>
      <c r="Z50" s="177">
        <v>6.048</v>
      </c>
      <c r="AA50" s="272">
        <v>20.16</v>
      </c>
      <c r="AB50" s="24"/>
      <c r="AC50" s="319">
        <v>0.24199999999999999</v>
      </c>
      <c r="AD50" s="319">
        <v>4.5359999999999996</v>
      </c>
      <c r="AE50" s="319">
        <v>2.419</v>
      </c>
      <c r="AF50" s="319">
        <v>0.70599999999999996</v>
      </c>
      <c r="AG50" s="319"/>
      <c r="AH50" s="177">
        <v>1.008</v>
      </c>
      <c r="AI50" s="177"/>
      <c r="AJ50" s="319">
        <f>2.419*0.8</f>
        <v>1.9352</v>
      </c>
      <c r="AK50" s="319">
        <f>20.16*1.5</f>
        <v>30.240000000000002</v>
      </c>
      <c r="AL50" s="319">
        <f>4.032*0.6</f>
        <v>2.4192</v>
      </c>
      <c r="AM50" s="319">
        <f>20.16*3</f>
        <v>60.480000000000004</v>
      </c>
      <c r="AN50" s="319">
        <f>3.528*0.9</f>
        <v>3.1752000000000002</v>
      </c>
      <c r="AO50" s="319">
        <v>73.584000000000003</v>
      </c>
      <c r="AP50" s="319"/>
      <c r="AQ50" s="319"/>
      <c r="AR50" s="319"/>
      <c r="AS50" s="319">
        <f>3.528*3</f>
        <v>10.584</v>
      </c>
      <c r="AT50" s="319">
        <v>16.128</v>
      </c>
      <c r="AU50" s="319">
        <v>3.024</v>
      </c>
      <c r="AV50" s="319">
        <f>80.64/4*2</f>
        <v>40.32</v>
      </c>
      <c r="AW50" s="319"/>
      <c r="AX50" s="319">
        <v>8.0640000000000001</v>
      </c>
      <c r="AY50" s="319">
        <f>80.64/4*2</f>
        <v>40.32</v>
      </c>
      <c r="AZ50" s="319">
        <f>30.603/2.4*1.5</f>
        <v>19.126875000000002</v>
      </c>
      <c r="BA50" s="319">
        <v>5.4429999999999996</v>
      </c>
      <c r="BB50" s="319"/>
      <c r="BC50" s="319">
        <f>0.101/2*2.4</f>
        <v>0.1212</v>
      </c>
      <c r="BD50" s="319">
        <f>2.419*2</f>
        <v>4.8380000000000001</v>
      </c>
      <c r="BE50" s="319"/>
      <c r="BF50" s="319"/>
      <c r="BG50" s="319">
        <f>11.34/1.5*0.4</f>
        <v>3.024</v>
      </c>
      <c r="BH50" s="319">
        <f>0.471*0.6</f>
        <v>0.28259999999999996</v>
      </c>
      <c r="BI50" s="319">
        <f>0.521*0.6</f>
        <v>0.31259999999999999</v>
      </c>
      <c r="BJ50" s="319">
        <f>5.443*2</f>
        <v>10.885999999999999</v>
      </c>
      <c r="BK50" s="319">
        <f>10.08*1.5</f>
        <v>15.120000000000001</v>
      </c>
      <c r="BL50" s="319">
        <f>10.08*3.5</f>
        <v>35.28</v>
      </c>
      <c r="BM50" s="319">
        <v>16.934000000000001</v>
      </c>
      <c r="BN50" s="319"/>
      <c r="BO50" s="319"/>
      <c r="BP50" s="319"/>
      <c r="BQ50" s="460"/>
      <c r="BR50" s="319"/>
      <c r="BS50" s="158">
        <f t="shared" si="10"/>
        <v>771.98087500000008</v>
      </c>
      <c r="BT50" s="112"/>
      <c r="BU50" s="319">
        <f>30.603/2.4*2</f>
        <v>25.502500000000001</v>
      </c>
      <c r="BV50" s="319">
        <v>19.353999999999999</v>
      </c>
      <c r="BW50" s="319"/>
      <c r="BX50" s="319">
        <f>22.68/3*1.5</f>
        <v>11.34</v>
      </c>
      <c r="BY50" s="319"/>
      <c r="BZ50" s="319">
        <f>20.16*3</f>
        <v>60.480000000000004</v>
      </c>
      <c r="CA50" s="319">
        <v>0.70599999999999996</v>
      </c>
      <c r="CB50" s="319">
        <v>5.4429999999999996</v>
      </c>
      <c r="CC50" s="319">
        <v>4.8380000000000001</v>
      </c>
      <c r="CD50" s="319">
        <v>30.24</v>
      </c>
      <c r="CE50" s="319">
        <v>6.6529999999999996</v>
      </c>
      <c r="CF50" s="319"/>
      <c r="CG50" s="319">
        <v>7.56</v>
      </c>
      <c r="CH50" s="319"/>
      <c r="CI50" s="319"/>
      <c r="CJ50" s="319">
        <f>10.08*6</f>
        <v>60.480000000000004</v>
      </c>
      <c r="CK50" s="319">
        <v>9.6769999999999996</v>
      </c>
      <c r="CL50" s="319">
        <f>12.751*3</f>
        <v>38.253</v>
      </c>
      <c r="CM50" s="319">
        <f>6.653/0.6*0.5</f>
        <v>5.5441666666666665</v>
      </c>
      <c r="CN50" s="319">
        <v>2.419</v>
      </c>
      <c r="CO50" s="319">
        <f>25.2/5*3</f>
        <v>15.120000000000001</v>
      </c>
      <c r="CP50" s="319">
        <f>25.2/5*2</f>
        <v>10.08</v>
      </c>
      <c r="CQ50" s="319"/>
      <c r="CR50" s="319">
        <f>3.528*0.9</f>
        <v>3.1752000000000002</v>
      </c>
      <c r="CS50" s="319">
        <f>20.16*2</f>
        <v>40.32</v>
      </c>
      <c r="CT50" s="319">
        <f>22.68/3*1.5</f>
        <v>11.34</v>
      </c>
      <c r="CU50" s="319"/>
      <c r="CV50" s="319"/>
      <c r="CW50" s="319"/>
      <c r="CX50" s="319">
        <f>10.08*4.2</f>
        <v>42.336000000000006</v>
      </c>
      <c r="CY50" s="177"/>
      <c r="CZ50" s="32">
        <v>2.419</v>
      </c>
      <c r="DA50" s="32">
        <v>2.419</v>
      </c>
      <c r="DB50" s="319">
        <f>4.032*0.6</f>
        <v>2.4192</v>
      </c>
      <c r="DC50" s="319">
        <f>4.838*0.3</f>
        <v>1.4514</v>
      </c>
      <c r="DD50" s="319">
        <v>6.048</v>
      </c>
      <c r="DE50" s="319">
        <v>0.121</v>
      </c>
      <c r="DF50" s="319">
        <v>31.248000000000001</v>
      </c>
      <c r="DG50" s="319">
        <f>5.443*3.9</f>
        <v>21.227699999999999</v>
      </c>
      <c r="DH50" s="319">
        <f>12.751*1.2</f>
        <v>15.301199999999998</v>
      </c>
      <c r="DI50" s="319">
        <f>80.64/4*5</f>
        <v>100.8</v>
      </c>
      <c r="DJ50" s="319">
        <f>3.024*2.5</f>
        <v>7.5600000000000005</v>
      </c>
      <c r="DK50" s="319">
        <f>3.528*1.5</f>
        <v>5.2919999999999998</v>
      </c>
      <c r="DL50" s="319">
        <f>3.528</f>
        <v>3.528</v>
      </c>
      <c r="DM50" s="319">
        <f>8.064*1.5</f>
        <v>12.096</v>
      </c>
      <c r="DN50" s="319">
        <f>16.128/4*3</f>
        <v>12.096</v>
      </c>
      <c r="DO50" s="319">
        <f>0.806/0.8*0.4</f>
        <v>0.40300000000000002</v>
      </c>
      <c r="DP50" s="319">
        <f>5.443/1.8*0.9</f>
        <v>2.7214999999999998</v>
      </c>
      <c r="DQ50" s="319">
        <f>4.838/1.2*0.6</f>
        <v>2.419</v>
      </c>
      <c r="DR50" s="319">
        <v>40.32</v>
      </c>
      <c r="DS50" s="319">
        <v>16.934000000000001</v>
      </c>
      <c r="DT50" s="419">
        <f t="shared" si="19"/>
        <v>697.68486666666649</v>
      </c>
      <c r="DU50" s="57"/>
      <c r="DV50" s="319">
        <v>19.353999999999999</v>
      </c>
      <c r="DW50" s="319">
        <f>12.751*2</f>
        <v>25.501999999999999</v>
      </c>
      <c r="DX50" s="319">
        <v>5.4429999999999996</v>
      </c>
      <c r="DY50" s="319">
        <f>2.419*1.5</f>
        <v>3.6284999999999998</v>
      </c>
      <c r="DZ50" s="319"/>
      <c r="EA50" s="319"/>
      <c r="EB50" s="319"/>
      <c r="EC50" s="319"/>
      <c r="ED50" s="319">
        <v>6.6529999999999996</v>
      </c>
      <c r="EE50" s="319">
        <v>2.419</v>
      </c>
      <c r="EF50" s="319">
        <f>2.419*1.5</f>
        <v>3.6284999999999998</v>
      </c>
      <c r="EG50" s="177">
        <v>8.0640000000000001</v>
      </c>
      <c r="EH50" s="177">
        <f>48.384/12*8</f>
        <v>32.256</v>
      </c>
      <c r="EI50" s="177">
        <f>48.384/12*4</f>
        <v>16.128</v>
      </c>
      <c r="EJ50" s="319">
        <f>0.806/0.8*0.4</f>
        <v>0.40300000000000002</v>
      </c>
      <c r="EK50" s="319">
        <f>4.838/1.2*0.6</f>
        <v>2.419</v>
      </c>
      <c r="EL50" s="319">
        <f>5.443/1.8*0.9</f>
        <v>2.7214999999999998</v>
      </c>
      <c r="EM50" s="319">
        <f>10.08</f>
        <v>10.08</v>
      </c>
      <c r="EN50" s="319">
        <f>2.419*2</f>
        <v>4.8380000000000001</v>
      </c>
      <c r="EO50" s="319">
        <f>2.419</f>
        <v>2.419</v>
      </c>
      <c r="EP50" s="319"/>
      <c r="EQ50" s="319"/>
      <c r="ER50" s="319">
        <f>2.419*2.5</f>
        <v>6.0475000000000003</v>
      </c>
      <c r="ES50" s="319">
        <f>1.452/0.3*0.6</f>
        <v>2.9039999999999999</v>
      </c>
      <c r="ET50" s="319">
        <v>3.629</v>
      </c>
      <c r="EU50" s="319">
        <f>10.08*4</f>
        <v>40.32</v>
      </c>
      <c r="EV50" s="319"/>
      <c r="EW50" s="319">
        <v>0.24199999999999999</v>
      </c>
      <c r="EX50" s="319">
        <f>20.16*2</f>
        <v>40.32</v>
      </c>
      <c r="EY50" s="319">
        <f>60.48/6*3</f>
        <v>30.240000000000002</v>
      </c>
      <c r="EZ50" s="319">
        <v>100.8</v>
      </c>
      <c r="FA50" s="319">
        <f>12.096/1.5</f>
        <v>8.0640000000000001</v>
      </c>
      <c r="FB50" s="319">
        <v>2.016</v>
      </c>
      <c r="FC50" s="319">
        <f>10.08*1.5</f>
        <v>15.120000000000001</v>
      </c>
      <c r="FD50" s="319">
        <f>5.443</f>
        <v>5.4429999999999996</v>
      </c>
      <c r="FE50" s="319">
        <f>38.254</f>
        <v>38.253999999999998</v>
      </c>
      <c r="FF50" s="319">
        <f>10.08*0.3</f>
        <v>3.024</v>
      </c>
      <c r="FG50" s="319"/>
      <c r="FH50" s="319">
        <v>8.5999999999999993E-2</v>
      </c>
      <c r="FI50" s="319">
        <v>10.584</v>
      </c>
      <c r="FJ50" s="319"/>
      <c r="FK50" s="319">
        <v>2.419</v>
      </c>
      <c r="FL50" s="319">
        <f>40.32/2*2.1</f>
        <v>42.336000000000006</v>
      </c>
      <c r="FM50" s="319">
        <f>25.2</f>
        <v>25.2</v>
      </c>
      <c r="FN50" s="319"/>
      <c r="FO50" s="319">
        <f>3.024</f>
        <v>3.024</v>
      </c>
      <c r="FP50" s="319">
        <v>4.8000000000000001E-2</v>
      </c>
      <c r="FQ50" s="319">
        <v>0.03</v>
      </c>
      <c r="FR50" s="319">
        <v>0.30199999999999999</v>
      </c>
      <c r="FS50" s="319">
        <f>20.16*3</f>
        <v>60.480000000000004</v>
      </c>
      <c r="FT50" s="319">
        <f>10.08*1.9</f>
        <v>19.151999999999997</v>
      </c>
      <c r="FU50" s="319">
        <f>12.751*3</f>
        <v>38.253</v>
      </c>
      <c r="FV50" s="319">
        <f>5.443/1.8*0.5</f>
        <v>1.5119444444444443</v>
      </c>
      <c r="FW50" s="319"/>
      <c r="FX50" s="319"/>
      <c r="FY50" s="319"/>
      <c r="FZ50" s="319"/>
      <c r="GA50" s="158">
        <f t="shared" si="20"/>
        <v>645.80594444444466</v>
      </c>
      <c r="GB50" s="113"/>
      <c r="GC50" s="374"/>
      <c r="GD50" s="319"/>
      <c r="GE50" s="319"/>
      <c r="GF50" s="319"/>
      <c r="GG50" s="319"/>
      <c r="GH50" s="319"/>
      <c r="GI50" s="319"/>
      <c r="GJ50" s="319"/>
      <c r="GK50" s="319"/>
      <c r="GL50" s="319"/>
      <c r="GM50" s="319"/>
      <c r="GN50" s="319"/>
      <c r="GO50" s="319"/>
      <c r="GP50" s="319"/>
      <c r="GQ50" s="28"/>
      <c r="GR50" s="270"/>
      <c r="GS50" s="177"/>
      <c r="GT50" s="177"/>
      <c r="GU50" s="741"/>
      <c r="GV50" s="435"/>
      <c r="GW50" s="327">
        <f t="shared" si="21"/>
        <v>0</v>
      </c>
      <c r="GX50" s="454">
        <f t="shared" si="22"/>
        <v>784.43299999999999</v>
      </c>
      <c r="GY50" s="605">
        <f t="shared" si="23"/>
        <v>784.43299999999999</v>
      </c>
      <c r="GZ50" s="627">
        <f>'2_квартал'!G43</f>
        <v>619.92499999999995</v>
      </c>
      <c r="HA50" s="239">
        <f t="shared" si="24"/>
        <v>697.69</v>
      </c>
      <c r="HB50" s="36" t="str">
        <f t="shared" si="25"/>
        <v>Биоплекс медь</v>
      </c>
      <c r="HC50" s="38"/>
      <c r="HD50" s="175"/>
      <c r="HE50" s="175"/>
    </row>
    <row r="51" spans="1:213" ht="15.9" customHeight="1" x14ac:dyDescent="0.3">
      <c r="A51" s="132">
        <f t="shared" si="18"/>
        <v>39</v>
      </c>
      <c r="B51" s="691" t="s">
        <v>100</v>
      </c>
      <c r="C51" s="565">
        <f>'2_квартал'!G44</f>
        <v>1322.03</v>
      </c>
      <c r="D51" s="346">
        <f>58.673+1806.837</f>
        <v>1865.51</v>
      </c>
      <c r="E51" s="781">
        <f>593.163+848.637</f>
        <v>1441.8</v>
      </c>
      <c r="F51" s="572">
        <f>1648.44</f>
        <v>1648.44</v>
      </c>
      <c r="G51" s="299">
        <f t="shared" si="8"/>
        <v>1651.9169999999999</v>
      </c>
      <c r="H51" s="93">
        <f>150.863+500+1000</f>
        <v>1650.8630000000001</v>
      </c>
      <c r="I51" s="93">
        <f>2.423+999+500</f>
        <v>1501.423</v>
      </c>
      <c r="J51" s="94"/>
      <c r="K51" s="319">
        <f>8.064/0.3*0.6</f>
        <v>16.128</v>
      </c>
      <c r="L51" s="319"/>
      <c r="M51" s="319">
        <v>34.835999999999999</v>
      </c>
      <c r="N51" s="319">
        <f>43.68*3</f>
        <v>131.04</v>
      </c>
      <c r="O51" s="319">
        <v>79.463999999999999</v>
      </c>
      <c r="P51" s="319">
        <v>2.8220000000000001</v>
      </c>
      <c r="Q51" s="319"/>
      <c r="R51" s="319"/>
      <c r="S51" s="319"/>
      <c r="T51" s="319">
        <v>4.4349999999999996</v>
      </c>
      <c r="U51" s="319">
        <f>43.68*9</f>
        <v>393.12</v>
      </c>
      <c r="V51" s="319">
        <v>80.64</v>
      </c>
      <c r="W51" s="319"/>
      <c r="X51" s="319"/>
      <c r="Y51" s="245"/>
      <c r="Z51" s="177">
        <v>40.32</v>
      </c>
      <c r="AA51" s="272">
        <v>168</v>
      </c>
      <c r="AB51" s="24"/>
      <c r="AC51" s="319">
        <v>0.40300000000000002</v>
      </c>
      <c r="AD51" s="319">
        <v>10.08</v>
      </c>
      <c r="AE51" s="319">
        <v>4.032</v>
      </c>
      <c r="AF51" s="319">
        <v>3.2930000000000001</v>
      </c>
      <c r="AG51" s="319">
        <v>8.0640000000000001</v>
      </c>
      <c r="AH51" s="177">
        <v>6.72</v>
      </c>
      <c r="AI51" s="177"/>
      <c r="AJ51" s="319">
        <f>4.704*0.8</f>
        <v>3.7631999999999999</v>
      </c>
      <c r="AK51" s="319">
        <f>43.68*1.5</f>
        <v>65.52</v>
      </c>
      <c r="AL51" s="319">
        <f>8.064*0.6</f>
        <v>4.8384</v>
      </c>
      <c r="AM51" s="319">
        <f>43.68*3</f>
        <v>131.04</v>
      </c>
      <c r="AN51" s="319">
        <f>8.4*0.9</f>
        <v>7.5600000000000005</v>
      </c>
      <c r="AO51" s="319">
        <v>158.928</v>
      </c>
      <c r="AP51" s="319">
        <f>13.44*5</f>
        <v>67.2</v>
      </c>
      <c r="AQ51" s="319"/>
      <c r="AR51" s="319"/>
      <c r="AS51" s="319">
        <f>8.4*3</f>
        <v>25.200000000000003</v>
      </c>
      <c r="AT51" s="319">
        <v>32.256</v>
      </c>
      <c r="AU51" s="319">
        <v>7.056</v>
      </c>
      <c r="AV51" s="319">
        <f>174.72/4*2</f>
        <v>87.36</v>
      </c>
      <c r="AW51" s="319"/>
      <c r="AX51" s="319">
        <v>8.9600000000000009</v>
      </c>
      <c r="AY51" s="319">
        <f>174.72/4*2</f>
        <v>87.36</v>
      </c>
      <c r="AZ51" s="319">
        <f>34.836/2.4*1.5</f>
        <v>21.772500000000001</v>
      </c>
      <c r="BA51" s="319">
        <v>7.258</v>
      </c>
      <c r="BB51" s="319"/>
      <c r="BC51" s="319">
        <f>0.134/2*2.4</f>
        <v>0.1608</v>
      </c>
      <c r="BD51" s="319">
        <f>4.704*2</f>
        <v>9.4079999999999995</v>
      </c>
      <c r="BE51" s="319"/>
      <c r="BF51" s="319"/>
      <c r="BG51" s="319">
        <f>15.12/1.5*0.4</f>
        <v>4.032</v>
      </c>
      <c r="BH51" s="319">
        <f>2.688*0.6</f>
        <v>1.6128</v>
      </c>
      <c r="BI51" s="319">
        <f>2.708*0.6</f>
        <v>1.6248</v>
      </c>
      <c r="BJ51" s="319">
        <f>6.048*2</f>
        <v>12.096</v>
      </c>
      <c r="BK51" s="319">
        <f>18.48*1.5</f>
        <v>27.72</v>
      </c>
      <c r="BL51" s="319">
        <f>21.84*3.5</f>
        <v>76.44</v>
      </c>
      <c r="BM51" s="319">
        <v>32.927999999999997</v>
      </c>
      <c r="BN51" s="319"/>
      <c r="BO51" s="319"/>
      <c r="BP51" s="319"/>
      <c r="BQ51" s="460"/>
      <c r="BR51" s="319"/>
      <c r="BS51" s="158">
        <f t="shared" si="10"/>
        <v>1865.4915000000005</v>
      </c>
      <c r="BT51" s="94"/>
      <c r="BU51" s="319">
        <f>34.836/2.4*2</f>
        <v>29.03</v>
      </c>
      <c r="BV51" s="319">
        <v>21.503</v>
      </c>
      <c r="BW51" s="319"/>
      <c r="BX51" s="319">
        <f>30.24/3*1.5</f>
        <v>15.120000000000001</v>
      </c>
      <c r="BY51" s="319"/>
      <c r="BZ51" s="319">
        <f>43.68*3</f>
        <v>131.04</v>
      </c>
      <c r="CA51" s="319">
        <v>3.2930000000000001</v>
      </c>
      <c r="CB51" s="319">
        <v>12.096</v>
      </c>
      <c r="CC51" s="319">
        <v>8.0640000000000001</v>
      </c>
      <c r="CD51" s="319">
        <v>120.96</v>
      </c>
      <c r="CE51" s="319">
        <v>8.8699999999999992</v>
      </c>
      <c r="CF51" s="319"/>
      <c r="CG51" s="319">
        <v>40.32</v>
      </c>
      <c r="CH51" s="319"/>
      <c r="CI51" s="319">
        <v>1.613</v>
      </c>
      <c r="CJ51" s="319">
        <f>21.84*6</f>
        <v>131.04</v>
      </c>
      <c r="CK51" s="319">
        <v>10.752000000000001</v>
      </c>
      <c r="CL51" s="319">
        <f>14.515*3</f>
        <v>43.545000000000002</v>
      </c>
      <c r="CM51" s="319">
        <f>8.87/0.6*0.5</f>
        <v>7.3916666666666666</v>
      </c>
      <c r="CN51" s="319">
        <v>2.8220000000000001</v>
      </c>
      <c r="CO51" s="319">
        <f>25.2/5*3</f>
        <v>15.120000000000001</v>
      </c>
      <c r="CP51" s="319">
        <f>25.2/5*2</f>
        <v>10.08</v>
      </c>
      <c r="CQ51" s="319"/>
      <c r="CR51" s="319">
        <f>8.4*0.9</f>
        <v>7.5600000000000005</v>
      </c>
      <c r="CS51" s="319">
        <f>43.68*2</f>
        <v>87.36</v>
      </c>
      <c r="CT51" s="319">
        <f>30.24/3*1.5</f>
        <v>15.120000000000001</v>
      </c>
      <c r="CU51" s="319"/>
      <c r="CV51" s="319"/>
      <c r="CW51" s="319"/>
      <c r="CX51" s="319">
        <f>21.84*4.2</f>
        <v>91.728000000000009</v>
      </c>
      <c r="CY51" s="177"/>
      <c r="CZ51" s="32">
        <v>2.8220000000000001</v>
      </c>
      <c r="DA51" s="32">
        <v>4.7039999999999997</v>
      </c>
      <c r="DB51" s="319">
        <f>8.064*0.6</f>
        <v>4.8384</v>
      </c>
      <c r="DC51" s="319">
        <f>5.376*0.3</f>
        <v>1.6128</v>
      </c>
      <c r="DD51" s="319">
        <v>14.112</v>
      </c>
      <c r="DE51" s="319">
        <v>0.161</v>
      </c>
      <c r="DF51" s="319">
        <v>57.287999999999997</v>
      </c>
      <c r="DG51" s="319">
        <f>6.048*3.9</f>
        <v>23.587199999999999</v>
      </c>
      <c r="DH51" s="319">
        <f>14.515*1.2</f>
        <v>17.417999999999999</v>
      </c>
      <c r="DI51" s="319">
        <f>174.72/4*5</f>
        <v>218.4</v>
      </c>
      <c r="DJ51" s="319">
        <f>7.056*2.5</f>
        <v>17.64</v>
      </c>
      <c r="DK51" s="319">
        <f>8.4*1.5</f>
        <v>12.600000000000001</v>
      </c>
      <c r="DL51" s="319">
        <f>8.4</f>
        <v>8.4</v>
      </c>
      <c r="DM51" s="319">
        <f>8.96*1.5</f>
        <v>13.440000000000001</v>
      </c>
      <c r="DN51" s="319">
        <f>32.256/4*3</f>
        <v>24.192</v>
      </c>
      <c r="DO51" s="319">
        <f>3.763/0.8*0.4</f>
        <v>1.8815</v>
      </c>
      <c r="DP51" s="319">
        <f>12.096/1.8*0.9</f>
        <v>6.048</v>
      </c>
      <c r="DQ51" s="319">
        <f>8.064/1.2*0.6</f>
        <v>4.032</v>
      </c>
      <c r="DR51" s="319">
        <v>161.28</v>
      </c>
      <c r="DS51" s="319">
        <v>32.927999999999997</v>
      </c>
      <c r="DT51" s="419">
        <f t="shared" si="19"/>
        <v>1441.8125666666665</v>
      </c>
      <c r="DU51" s="57"/>
      <c r="DV51" s="319">
        <v>21.503</v>
      </c>
      <c r="DW51" s="319">
        <f>14.515*2</f>
        <v>29.03</v>
      </c>
      <c r="DX51" s="319">
        <v>7.258</v>
      </c>
      <c r="DY51" s="319">
        <f>2.822*1.5</f>
        <v>4.2330000000000005</v>
      </c>
      <c r="DZ51" s="319">
        <f>13.44*3</f>
        <v>40.32</v>
      </c>
      <c r="EA51" s="319"/>
      <c r="EB51" s="319"/>
      <c r="EC51" s="319"/>
      <c r="ED51" s="319">
        <v>8.8699999999999992</v>
      </c>
      <c r="EE51" s="319">
        <v>2.8220000000000001</v>
      </c>
      <c r="EF51" s="319">
        <f>4.704*1.5</f>
        <v>7.0559999999999992</v>
      </c>
      <c r="EG51" s="177">
        <v>53.76</v>
      </c>
      <c r="EH51" s="177">
        <f>403.2/12*8</f>
        <v>268.8</v>
      </c>
      <c r="EI51" s="177">
        <f>403.2/12*4</f>
        <v>134.4</v>
      </c>
      <c r="EJ51" s="319">
        <f>3.763/0.8*0.4</f>
        <v>1.8815</v>
      </c>
      <c r="EK51" s="319">
        <f>8.064/1.2*0.6</f>
        <v>4.032</v>
      </c>
      <c r="EL51" s="319">
        <f>12.096/1.8*0.9</f>
        <v>6.048</v>
      </c>
      <c r="EM51" s="319">
        <f>21.84</f>
        <v>21.84</v>
      </c>
      <c r="EN51" s="319">
        <f>2.822*2</f>
        <v>5.6440000000000001</v>
      </c>
      <c r="EO51" s="319">
        <f>4.704</f>
        <v>4.7039999999999997</v>
      </c>
      <c r="EP51" s="319"/>
      <c r="EQ51" s="319">
        <v>8.0640000000000001</v>
      </c>
      <c r="ER51" s="319">
        <f>2.822*2.5</f>
        <v>7.0549999999999997</v>
      </c>
      <c r="ES51" s="319">
        <f>1.613/0.3*0.6</f>
        <v>3.226</v>
      </c>
      <c r="ET51" s="319">
        <v>7.056</v>
      </c>
      <c r="EU51" s="319">
        <f>21.84*4</f>
        <v>87.36</v>
      </c>
      <c r="EV51" s="319"/>
      <c r="EW51" s="319">
        <v>0.40300000000000002</v>
      </c>
      <c r="EX51" s="319">
        <f>43.68*2</f>
        <v>87.36</v>
      </c>
      <c r="EY51" s="319">
        <f>131.04/6*3</f>
        <v>65.52</v>
      </c>
      <c r="EZ51" s="319">
        <v>218.4</v>
      </c>
      <c r="FA51" s="319">
        <f>13.44/1.5</f>
        <v>8.9599999999999991</v>
      </c>
      <c r="FB51" s="319">
        <v>4.819</v>
      </c>
      <c r="FC51" s="319">
        <f>21.84*1.5</f>
        <v>32.76</v>
      </c>
      <c r="FD51" s="319">
        <f>6.048</f>
        <v>6.048</v>
      </c>
      <c r="FE51" s="319">
        <f>43.546</f>
        <v>43.545999999999999</v>
      </c>
      <c r="FF51" s="319">
        <f>21.84*0.3</f>
        <v>6.5519999999999996</v>
      </c>
      <c r="FG51" s="319"/>
      <c r="FH51" s="319">
        <v>0.114</v>
      </c>
      <c r="FI51" s="319">
        <v>25.2</v>
      </c>
      <c r="FJ51" s="319">
        <f>13.44*5</f>
        <v>67.2</v>
      </c>
      <c r="FK51" s="319">
        <v>4.8380000000000001</v>
      </c>
      <c r="FL51" s="319">
        <f>87.36/2*2.1</f>
        <v>91.728000000000009</v>
      </c>
      <c r="FM51" s="319">
        <v>25.2</v>
      </c>
      <c r="FN51" s="319"/>
      <c r="FO51" s="319">
        <v>4.032</v>
      </c>
      <c r="FP51" s="319"/>
      <c r="FQ51" s="319">
        <v>1.2E-2</v>
      </c>
      <c r="FR51" s="319">
        <v>1.3440000000000001</v>
      </c>
      <c r="FS51" s="319">
        <f>43.68*3</f>
        <v>131.04</v>
      </c>
      <c r="FT51" s="319">
        <f>21.84*1.9</f>
        <v>41.495999999999995</v>
      </c>
      <c r="FU51" s="319">
        <f>14.515*3</f>
        <v>43.545000000000002</v>
      </c>
      <c r="FV51" s="319">
        <f>12.096/1.8*0.5</f>
        <v>3.36</v>
      </c>
      <c r="FW51" s="319"/>
      <c r="FX51" s="319"/>
      <c r="FY51" s="319"/>
      <c r="FZ51" s="319"/>
      <c r="GA51" s="158">
        <f t="shared" si="20"/>
        <v>1648.4395000000002</v>
      </c>
      <c r="GB51" s="95"/>
      <c r="GC51" s="374"/>
      <c r="GD51" s="319"/>
      <c r="GE51" s="319"/>
      <c r="GF51" s="319"/>
      <c r="GG51" s="319"/>
      <c r="GH51" s="319"/>
      <c r="GI51" s="319"/>
      <c r="GJ51" s="319"/>
      <c r="GK51" s="319"/>
      <c r="GL51" s="319"/>
      <c r="GM51" s="319"/>
      <c r="GN51" s="319"/>
      <c r="GO51" s="319"/>
      <c r="GP51" s="319"/>
      <c r="GQ51" s="28"/>
      <c r="GR51" s="270"/>
      <c r="GS51" s="177"/>
      <c r="GT51" s="177"/>
      <c r="GU51" s="741"/>
      <c r="GV51" s="435"/>
      <c r="GW51" s="327">
        <f t="shared" si="21"/>
        <v>0</v>
      </c>
      <c r="GX51" s="454">
        <f t="shared" si="22"/>
        <v>1501.423</v>
      </c>
      <c r="GY51" s="605">
        <f t="shared" si="23"/>
        <v>1501.423</v>
      </c>
      <c r="GZ51" s="627">
        <f>'2_квартал'!G44</f>
        <v>1322.03</v>
      </c>
      <c r="HA51" s="239">
        <f t="shared" si="24"/>
        <v>1441.8</v>
      </c>
      <c r="HB51" s="36" t="str">
        <f t="shared" si="25"/>
        <v>Биоплекс цинк</v>
      </c>
      <c r="HC51" s="38"/>
      <c r="HD51" s="22"/>
      <c r="HE51" s="22"/>
    </row>
    <row r="52" spans="1:213" ht="15.9" customHeight="1" x14ac:dyDescent="0.3">
      <c r="A52" s="132">
        <f t="shared" si="18"/>
        <v>40</v>
      </c>
      <c r="B52" s="696" t="s">
        <v>19</v>
      </c>
      <c r="C52" s="565">
        <f>'2_квартал'!G45</f>
        <v>0</v>
      </c>
      <c r="D52" s="346">
        <v>0</v>
      </c>
      <c r="E52" s="241">
        <v>0</v>
      </c>
      <c r="F52" s="572">
        <v>0</v>
      </c>
      <c r="G52" s="299">
        <f t="shared" si="8"/>
        <v>0</v>
      </c>
      <c r="H52" s="93">
        <v>0</v>
      </c>
      <c r="I52" s="93">
        <v>0</v>
      </c>
      <c r="J52" s="94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245"/>
      <c r="Z52" s="177"/>
      <c r="AA52" s="272"/>
      <c r="AB52" s="24"/>
      <c r="AC52" s="319"/>
      <c r="AD52" s="319"/>
      <c r="AE52" s="319"/>
      <c r="AF52" s="319"/>
      <c r="AG52" s="319"/>
      <c r="AH52" s="177"/>
      <c r="AI52" s="177"/>
      <c r="AJ52" s="319"/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  <c r="BC52" s="319"/>
      <c r="BD52" s="319"/>
      <c r="BE52" s="319"/>
      <c r="BF52" s="319"/>
      <c r="BG52" s="319"/>
      <c r="BH52" s="319"/>
      <c r="BI52" s="319"/>
      <c r="BJ52" s="319"/>
      <c r="BK52" s="319"/>
      <c r="BL52" s="319"/>
      <c r="BM52" s="319"/>
      <c r="BN52" s="319"/>
      <c r="BO52" s="319"/>
      <c r="BP52" s="319"/>
      <c r="BQ52" s="460"/>
      <c r="BR52" s="319"/>
      <c r="BS52" s="158">
        <f t="shared" si="10"/>
        <v>0</v>
      </c>
      <c r="BT52" s="94"/>
      <c r="BU52" s="319"/>
      <c r="BV52" s="319"/>
      <c r="BW52" s="319"/>
      <c r="BX52" s="319"/>
      <c r="BY52" s="319"/>
      <c r="BZ52" s="319"/>
      <c r="CA52" s="319"/>
      <c r="CB52" s="319"/>
      <c r="CC52" s="319"/>
      <c r="CD52" s="319"/>
      <c r="CE52" s="319"/>
      <c r="CF52" s="319"/>
      <c r="CG52" s="319"/>
      <c r="CH52" s="319"/>
      <c r="CI52" s="319"/>
      <c r="CJ52" s="319"/>
      <c r="CK52" s="319"/>
      <c r="CL52" s="319"/>
      <c r="CM52" s="319"/>
      <c r="CN52" s="319"/>
      <c r="CO52" s="319"/>
      <c r="CP52" s="319"/>
      <c r="CQ52" s="319"/>
      <c r="CR52" s="319"/>
      <c r="CS52" s="319"/>
      <c r="CT52" s="319"/>
      <c r="CU52" s="319"/>
      <c r="CV52" s="319"/>
      <c r="CW52" s="319"/>
      <c r="CX52" s="319"/>
      <c r="CY52" s="177"/>
      <c r="CZ52" s="32"/>
      <c r="DA52" s="32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319"/>
      <c r="DT52" s="419">
        <f t="shared" si="19"/>
        <v>0</v>
      </c>
      <c r="DU52" s="57"/>
      <c r="DV52" s="319"/>
      <c r="DW52" s="319"/>
      <c r="DX52" s="319"/>
      <c r="DY52" s="319"/>
      <c r="DZ52" s="319"/>
      <c r="EA52" s="319"/>
      <c r="EB52" s="319"/>
      <c r="EC52" s="319"/>
      <c r="ED52" s="319"/>
      <c r="EE52" s="319"/>
      <c r="EF52" s="319"/>
      <c r="EG52" s="177"/>
      <c r="EH52" s="177"/>
      <c r="EI52" s="177"/>
      <c r="EJ52" s="319"/>
      <c r="EK52" s="319"/>
      <c r="EL52" s="319"/>
      <c r="EM52" s="319"/>
      <c r="EN52" s="319"/>
      <c r="EO52" s="319"/>
      <c r="EP52" s="319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319"/>
      <c r="FD52" s="319"/>
      <c r="FE52" s="319"/>
      <c r="FF52" s="319"/>
      <c r="FG52" s="319"/>
      <c r="FH52" s="319"/>
      <c r="FI52" s="319"/>
      <c r="FJ52" s="319"/>
      <c r="FK52" s="319"/>
      <c r="FL52" s="319"/>
      <c r="FM52" s="319"/>
      <c r="FN52" s="319"/>
      <c r="FO52" s="319"/>
      <c r="FP52" s="319"/>
      <c r="FQ52" s="319"/>
      <c r="FR52" s="319"/>
      <c r="FS52" s="319"/>
      <c r="FT52" s="319"/>
      <c r="FU52" s="319"/>
      <c r="FV52" s="319"/>
      <c r="FW52" s="319"/>
      <c r="FX52" s="319"/>
      <c r="FY52" s="319"/>
      <c r="FZ52" s="319"/>
      <c r="GA52" s="158">
        <f t="shared" si="20"/>
        <v>0</v>
      </c>
      <c r="GB52" s="95"/>
      <c r="GC52" s="374"/>
      <c r="GD52" s="319"/>
      <c r="GE52" s="319"/>
      <c r="GF52" s="319"/>
      <c r="GG52" s="319"/>
      <c r="GH52" s="319"/>
      <c r="GI52" s="319"/>
      <c r="GJ52" s="319"/>
      <c r="GK52" s="319"/>
      <c r="GL52" s="319"/>
      <c r="GM52" s="319"/>
      <c r="GN52" s="319"/>
      <c r="GO52" s="319"/>
      <c r="GP52" s="319"/>
      <c r="GQ52" s="28"/>
      <c r="GR52" s="270"/>
      <c r="GS52" s="177"/>
      <c r="GT52" s="177"/>
      <c r="GU52" s="741"/>
      <c r="GV52" s="435"/>
      <c r="GW52" s="327">
        <f t="shared" si="21"/>
        <v>0</v>
      </c>
      <c r="GX52" s="445">
        <f t="shared" si="22"/>
        <v>0</v>
      </c>
      <c r="GY52" s="605">
        <f t="shared" si="23"/>
        <v>0</v>
      </c>
      <c r="GZ52" s="627">
        <f>'2_квартал'!G45</f>
        <v>0</v>
      </c>
      <c r="HA52" s="239">
        <f t="shared" si="24"/>
        <v>0</v>
      </c>
      <c r="HB52" s="36" t="str">
        <f t="shared" si="25"/>
        <v>БиоПлюс YC</v>
      </c>
      <c r="HC52" s="151"/>
      <c r="HD52" s="14"/>
      <c r="HE52" s="14"/>
    </row>
    <row r="53" spans="1:213" ht="15.9" customHeight="1" x14ac:dyDescent="0.3">
      <c r="A53" s="132">
        <f t="shared" si="18"/>
        <v>41</v>
      </c>
      <c r="B53" s="697" t="s">
        <v>146</v>
      </c>
      <c r="C53" s="565">
        <f>'2_квартал'!G46</f>
        <v>39.765000000000001</v>
      </c>
      <c r="D53" s="592">
        <v>0</v>
      </c>
      <c r="E53" s="569">
        <v>0</v>
      </c>
      <c r="F53" s="572">
        <v>0</v>
      </c>
      <c r="G53" s="299">
        <f t="shared" si="8"/>
        <v>0</v>
      </c>
      <c r="H53" s="93">
        <v>0</v>
      </c>
      <c r="I53" s="93">
        <v>0</v>
      </c>
      <c r="J53" s="110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245"/>
      <c r="Z53" s="177"/>
      <c r="AA53" s="272"/>
      <c r="AB53" s="24"/>
      <c r="AC53" s="319"/>
      <c r="AD53" s="319"/>
      <c r="AE53" s="319"/>
      <c r="AF53" s="319"/>
      <c r="AG53" s="319"/>
      <c r="AH53" s="177"/>
      <c r="AI53" s="177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460"/>
      <c r="BR53" s="319"/>
      <c r="BS53" s="158">
        <f t="shared" si="10"/>
        <v>0</v>
      </c>
      <c r="BT53" s="110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  <c r="CV53" s="319"/>
      <c r="CW53" s="319"/>
      <c r="CX53" s="319"/>
      <c r="CY53" s="177"/>
      <c r="CZ53" s="32"/>
      <c r="DA53" s="32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/>
      <c r="DM53" s="319"/>
      <c r="DN53" s="319"/>
      <c r="DO53" s="319"/>
      <c r="DP53" s="319"/>
      <c r="DQ53" s="319"/>
      <c r="DR53" s="319"/>
      <c r="DS53" s="319"/>
      <c r="DT53" s="419">
        <f t="shared" si="19"/>
        <v>0</v>
      </c>
      <c r="DU53" s="59"/>
      <c r="DV53" s="319"/>
      <c r="DW53" s="319"/>
      <c r="DX53" s="319"/>
      <c r="DY53" s="319"/>
      <c r="DZ53" s="319"/>
      <c r="EA53" s="319"/>
      <c r="EB53" s="319"/>
      <c r="EC53" s="319"/>
      <c r="ED53" s="319"/>
      <c r="EE53" s="319"/>
      <c r="EF53" s="319"/>
      <c r="EG53" s="177"/>
      <c r="EH53" s="177"/>
      <c r="EI53" s="177"/>
      <c r="EJ53" s="319"/>
      <c r="EK53" s="319"/>
      <c r="EL53" s="319"/>
      <c r="EM53" s="319"/>
      <c r="EN53" s="319"/>
      <c r="EO53" s="319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19"/>
      <c r="FE53" s="319"/>
      <c r="FF53" s="319"/>
      <c r="FG53" s="319"/>
      <c r="FH53" s="319"/>
      <c r="FI53" s="319"/>
      <c r="FJ53" s="319"/>
      <c r="FK53" s="319"/>
      <c r="FL53" s="319"/>
      <c r="FM53" s="319"/>
      <c r="FN53" s="319"/>
      <c r="FO53" s="319"/>
      <c r="FP53" s="319"/>
      <c r="FQ53" s="319"/>
      <c r="FR53" s="319"/>
      <c r="FS53" s="319"/>
      <c r="FT53" s="319"/>
      <c r="FU53" s="319"/>
      <c r="FV53" s="319"/>
      <c r="FW53" s="319"/>
      <c r="FX53" s="319"/>
      <c r="FY53" s="319"/>
      <c r="FZ53" s="319"/>
      <c r="GA53" s="158">
        <f t="shared" si="20"/>
        <v>0</v>
      </c>
      <c r="GB53" s="111"/>
      <c r="GC53" s="374"/>
      <c r="GD53" s="319"/>
      <c r="GE53" s="319"/>
      <c r="GF53" s="319"/>
      <c r="GG53" s="319"/>
      <c r="GH53" s="319"/>
      <c r="GI53" s="319"/>
      <c r="GJ53" s="319"/>
      <c r="GK53" s="319"/>
      <c r="GL53" s="319"/>
      <c r="GM53" s="319"/>
      <c r="GN53" s="319"/>
      <c r="GO53" s="319"/>
      <c r="GP53" s="319"/>
      <c r="GQ53" s="28"/>
      <c r="GR53" s="270"/>
      <c r="GS53" s="177"/>
      <c r="GT53" s="177"/>
      <c r="GU53" s="741"/>
      <c r="GV53" s="435"/>
      <c r="GW53" s="327">
        <f t="shared" si="21"/>
        <v>0</v>
      </c>
      <c r="GX53" s="445">
        <f t="shared" si="22"/>
        <v>0</v>
      </c>
      <c r="GY53" s="605">
        <f t="shared" si="23"/>
        <v>0</v>
      </c>
      <c r="GZ53" s="627">
        <f>'2_квартал'!G46</f>
        <v>39.765000000000001</v>
      </c>
      <c r="HA53" s="239">
        <f t="shared" si="24"/>
        <v>0</v>
      </c>
      <c r="HB53" s="36" t="str">
        <f t="shared" si="25"/>
        <v>Биопромис Селен Пауэр</v>
      </c>
      <c r="HC53" s="151"/>
      <c r="HD53" s="42"/>
      <c r="HE53" s="42"/>
    </row>
    <row r="54" spans="1:213" ht="15.9" customHeight="1" x14ac:dyDescent="0.3">
      <c r="A54" s="132">
        <f t="shared" si="18"/>
        <v>42</v>
      </c>
      <c r="B54" s="697" t="s">
        <v>121</v>
      </c>
      <c r="C54" s="565">
        <f>'2_квартал'!G47</f>
        <v>9.74</v>
      </c>
      <c r="D54" s="346">
        <v>117.58</v>
      </c>
      <c r="E54" s="781">
        <f>72+100</f>
        <v>172</v>
      </c>
      <c r="F54" s="572">
        <f>3+16.8</f>
        <v>19.8</v>
      </c>
      <c r="G54" s="299">
        <f t="shared" si="8"/>
        <v>103.127</v>
      </c>
      <c r="H54" s="93">
        <v>3</v>
      </c>
      <c r="I54" s="93">
        <v>133.19999999999999</v>
      </c>
      <c r="J54" s="112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>
        <v>50.4</v>
      </c>
      <c r="W54" s="319"/>
      <c r="X54" s="319"/>
      <c r="Y54" s="245"/>
      <c r="Z54" s="177">
        <v>45.36</v>
      </c>
      <c r="AA54" s="272">
        <v>20.16</v>
      </c>
      <c r="AB54" s="24"/>
      <c r="AC54" s="319"/>
      <c r="AD54" s="319"/>
      <c r="AE54" s="319"/>
      <c r="AF54" s="319"/>
      <c r="AG54" s="319"/>
      <c r="AH54" s="177">
        <v>1.66</v>
      </c>
      <c r="AI54" s="177"/>
      <c r="AJ54" s="319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  <c r="BH54" s="319"/>
      <c r="BI54" s="319"/>
      <c r="BJ54" s="319"/>
      <c r="BK54" s="319"/>
      <c r="BL54" s="319"/>
      <c r="BM54" s="319"/>
      <c r="BN54" s="319"/>
      <c r="BO54" s="319"/>
      <c r="BP54" s="319"/>
      <c r="BQ54" s="460"/>
      <c r="BR54" s="319"/>
      <c r="BS54" s="158">
        <f t="shared" si="10"/>
        <v>117.57999999999998</v>
      </c>
      <c r="BT54" s="112"/>
      <c r="BU54" s="319"/>
      <c r="BV54" s="319"/>
      <c r="BW54" s="319"/>
      <c r="BX54" s="319"/>
      <c r="BY54" s="319"/>
      <c r="BZ54" s="319"/>
      <c r="CA54" s="319"/>
      <c r="CB54" s="319"/>
      <c r="CC54" s="319"/>
      <c r="CD54" s="319">
        <v>72</v>
      </c>
      <c r="CE54" s="319"/>
      <c r="CF54" s="319"/>
      <c r="CG54" s="319"/>
      <c r="CH54" s="319"/>
      <c r="CI54" s="319"/>
      <c r="CJ54" s="319"/>
      <c r="CK54" s="319"/>
      <c r="CL54" s="319"/>
      <c r="CM54" s="319"/>
      <c r="CN54" s="319"/>
      <c r="CO54" s="319"/>
      <c r="CP54" s="319"/>
      <c r="CQ54" s="319"/>
      <c r="CR54" s="319"/>
      <c r="CS54" s="319"/>
      <c r="CT54" s="319"/>
      <c r="CU54" s="319"/>
      <c r="CV54" s="319"/>
      <c r="CW54" s="319"/>
      <c r="CX54" s="319"/>
      <c r="CY54" s="177"/>
      <c r="CZ54" s="32"/>
      <c r="DA54" s="32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>
        <v>100</v>
      </c>
      <c r="DS54" s="319"/>
      <c r="DT54" s="419">
        <f t="shared" si="19"/>
        <v>172</v>
      </c>
      <c r="DU54" s="57"/>
      <c r="DV54" s="319"/>
      <c r="DW54" s="319"/>
      <c r="DX54" s="319">
        <v>3</v>
      </c>
      <c r="DY54" s="319"/>
      <c r="DZ54" s="319"/>
      <c r="EA54" s="319"/>
      <c r="EB54" s="319"/>
      <c r="EC54" s="319"/>
      <c r="ED54" s="319"/>
      <c r="EE54" s="319"/>
      <c r="EF54" s="319"/>
      <c r="EG54" s="177"/>
      <c r="EH54" s="177"/>
      <c r="EI54" s="177"/>
      <c r="EJ54" s="319"/>
      <c r="EK54" s="319"/>
      <c r="EL54" s="319"/>
      <c r="EM54" s="319"/>
      <c r="EN54" s="319"/>
      <c r="EO54" s="319"/>
      <c r="EP54" s="319"/>
      <c r="EQ54" s="319"/>
      <c r="ER54" s="319"/>
      <c r="ES54" s="319"/>
      <c r="ET54" s="319"/>
      <c r="EU54" s="319"/>
      <c r="EV54" s="319"/>
      <c r="EW54" s="319"/>
      <c r="EX54" s="319"/>
      <c r="EY54" s="319"/>
      <c r="EZ54" s="319"/>
      <c r="FA54" s="319"/>
      <c r="FB54" s="319"/>
      <c r="FC54" s="319"/>
      <c r="FD54" s="319"/>
      <c r="FE54" s="319"/>
      <c r="FF54" s="319"/>
      <c r="FG54" s="319"/>
      <c r="FH54" s="319"/>
      <c r="FI54" s="319"/>
      <c r="FJ54" s="319"/>
      <c r="FK54" s="319"/>
      <c r="FL54" s="319"/>
      <c r="FM54" s="319"/>
      <c r="FN54" s="319"/>
      <c r="FO54" s="319"/>
      <c r="FP54" s="319"/>
      <c r="FQ54" s="319"/>
      <c r="FR54" s="319">
        <v>16.8</v>
      </c>
      <c r="FS54" s="319"/>
      <c r="FT54" s="319"/>
      <c r="FU54" s="319"/>
      <c r="FV54" s="319"/>
      <c r="FW54" s="319"/>
      <c r="FX54" s="319"/>
      <c r="FY54" s="319"/>
      <c r="FZ54" s="319"/>
      <c r="GA54" s="158">
        <f t="shared" si="20"/>
        <v>19.8</v>
      </c>
      <c r="GB54" s="113"/>
      <c r="GC54" s="374"/>
      <c r="GD54" s="319"/>
      <c r="GE54" s="319"/>
      <c r="GF54" s="319"/>
      <c r="GG54" s="319"/>
      <c r="GH54" s="319"/>
      <c r="GI54" s="319"/>
      <c r="GJ54" s="319"/>
      <c r="GK54" s="319"/>
      <c r="GL54" s="319"/>
      <c r="GM54" s="319"/>
      <c r="GN54" s="319"/>
      <c r="GO54" s="319"/>
      <c r="GP54" s="319"/>
      <c r="GQ54" s="28"/>
      <c r="GR54" s="270"/>
      <c r="GS54" s="177"/>
      <c r="GT54" s="177"/>
      <c r="GU54" s="741"/>
      <c r="GV54" s="435"/>
      <c r="GW54" s="327">
        <f t="shared" si="21"/>
        <v>0</v>
      </c>
      <c r="GX54" s="445">
        <f t="shared" si="22"/>
        <v>133.19999999999999</v>
      </c>
      <c r="GY54" s="605">
        <f t="shared" si="23"/>
        <v>133.19999999999999</v>
      </c>
      <c r="GZ54" s="627">
        <f>'2_квартал'!G47</f>
        <v>9.74</v>
      </c>
      <c r="HA54" s="239">
        <f t="shared" si="24"/>
        <v>172</v>
      </c>
      <c r="HB54" s="36" t="str">
        <f t="shared" si="25"/>
        <v>Биопромис Хром пиколинат</v>
      </c>
      <c r="HC54" s="151"/>
      <c r="HD54" s="14"/>
      <c r="HE54" s="14"/>
    </row>
    <row r="55" spans="1:213" ht="15.9" customHeight="1" x14ac:dyDescent="0.3">
      <c r="A55" s="132">
        <f t="shared" si="18"/>
        <v>43</v>
      </c>
      <c r="B55" s="697" t="s">
        <v>207</v>
      </c>
      <c r="C55" s="565">
        <f>'2_квартал'!G48</f>
        <v>8914.75</v>
      </c>
      <c r="D55" s="328">
        <v>0</v>
      </c>
      <c r="E55" s="241">
        <v>82.98</v>
      </c>
      <c r="F55" s="572">
        <v>0</v>
      </c>
      <c r="G55" s="299">
        <f t="shared" si="8"/>
        <v>27.66</v>
      </c>
      <c r="H55" s="93">
        <v>0</v>
      </c>
      <c r="I55" s="93">
        <v>0</v>
      </c>
      <c r="J55" s="112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245"/>
      <c r="Z55" s="177"/>
      <c r="AA55" s="272"/>
      <c r="AB55" s="24"/>
      <c r="AC55" s="319"/>
      <c r="AD55" s="319"/>
      <c r="AE55" s="319"/>
      <c r="AF55" s="319"/>
      <c r="AG55" s="319"/>
      <c r="AH55" s="177"/>
      <c r="AI55" s="177"/>
      <c r="AJ55" s="319"/>
      <c r="AK55" s="319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19"/>
      <c r="AZ55" s="319"/>
      <c r="BA55" s="319"/>
      <c r="BB55" s="319"/>
      <c r="BC55" s="319"/>
      <c r="BD55" s="319"/>
      <c r="BE55" s="319"/>
      <c r="BF55" s="319"/>
      <c r="BG55" s="319"/>
      <c r="BH55" s="319"/>
      <c r="BI55" s="319"/>
      <c r="BJ55" s="319"/>
      <c r="BK55" s="319"/>
      <c r="BL55" s="319"/>
      <c r="BM55" s="319"/>
      <c r="BN55" s="319"/>
      <c r="BO55" s="319"/>
      <c r="BP55" s="319"/>
      <c r="BQ55" s="460"/>
      <c r="BR55" s="319"/>
      <c r="BS55" s="158">
        <f t="shared" si="10"/>
        <v>0</v>
      </c>
      <c r="BT55" s="112"/>
      <c r="BU55" s="319"/>
      <c r="BV55" s="319"/>
      <c r="BW55" s="319"/>
      <c r="BX55" s="319"/>
      <c r="BY55" s="319"/>
      <c r="BZ55" s="319"/>
      <c r="CA55" s="319"/>
      <c r="CB55" s="319"/>
      <c r="CC55" s="319"/>
      <c r="CD55" s="319"/>
      <c r="CE55" s="319"/>
      <c r="CF55" s="319"/>
      <c r="CG55" s="319"/>
      <c r="CH55" s="319"/>
      <c r="CI55" s="319">
        <v>60.48</v>
      </c>
      <c r="CJ55" s="319"/>
      <c r="CK55" s="319"/>
      <c r="CL55" s="319"/>
      <c r="CM55" s="319"/>
      <c r="CN55" s="319"/>
      <c r="CO55" s="319"/>
      <c r="CP55" s="319"/>
      <c r="CQ55" s="319"/>
      <c r="CR55" s="319"/>
      <c r="CS55" s="319"/>
      <c r="CT55" s="319"/>
      <c r="CU55" s="319"/>
      <c r="CV55" s="319"/>
      <c r="CW55" s="319"/>
      <c r="CX55" s="319"/>
      <c r="CY55" s="177"/>
      <c r="CZ55" s="32"/>
      <c r="DA55" s="32"/>
      <c r="DB55" s="319"/>
      <c r="DC55" s="319"/>
      <c r="DD55" s="319">
        <v>22.5</v>
      </c>
      <c r="DE55" s="319"/>
      <c r="DF55" s="319"/>
      <c r="DG55" s="319"/>
      <c r="DH55" s="319"/>
      <c r="DI55" s="319"/>
      <c r="DJ55" s="319"/>
      <c r="DK55" s="319"/>
      <c r="DL55" s="319"/>
      <c r="DM55" s="319"/>
      <c r="DN55" s="319"/>
      <c r="DO55" s="319"/>
      <c r="DP55" s="319"/>
      <c r="DQ55" s="319"/>
      <c r="DR55" s="319"/>
      <c r="DS55" s="319"/>
      <c r="DT55" s="419">
        <f t="shared" si="19"/>
        <v>82.97999999999999</v>
      </c>
      <c r="DU55" s="57"/>
      <c r="DV55" s="319"/>
      <c r="DW55" s="319"/>
      <c r="DX55" s="319"/>
      <c r="DY55" s="319"/>
      <c r="DZ55" s="319"/>
      <c r="EA55" s="319"/>
      <c r="EB55" s="319"/>
      <c r="EC55" s="319"/>
      <c r="ED55" s="319"/>
      <c r="EE55" s="319"/>
      <c r="EF55" s="319"/>
      <c r="EG55" s="177"/>
      <c r="EH55" s="177"/>
      <c r="EI55" s="177"/>
      <c r="EJ55" s="319"/>
      <c r="EK55" s="319"/>
      <c r="EL55" s="319"/>
      <c r="EM55" s="319"/>
      <c r="EN55" s="319"/>
      <c r="EO55" s="319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19"/>
      <c r="FE55" s="319"/>
      <c r="FF55" s="319"/>
      <c r="FG55" s="319"/>
      <c r="FH55" s="319"/>
      <c r="FI55" s="319"/>
      <c r="FJ55" s="319"/>
      <c r="FK55" s="319"/>
      <c r="FL55" s="319"/>
      <c r="FM55" s="319"/>
      <c r="FN55" s="319"/>
      <c r="FO55" s="319"/>
      <c r="FP55" s="319"/>
      <c r="FQ55" s="319"/>
      <c r="FR55" s="319"/>
      <c r="FS55" s="319"/>
      <c r="FT55" s="319"/>
      <c r="FU55" s="319"/>
      <c r="FV55" s="319"/>
      <c r="FW55" s="319"/>
      <c r="FX55" s="319"/>
      <c r="FY55" s="319"/>
      <c r="FZ55" s="319"/>
      <c r="GA55" s="158">
        <f t="shared" si="20"/>
        <v>0</v>
      </c>
      <c r="GB55" s="113"/>
      <c r="GC55" s="374"/>
      <c r="GD55" s="319"/>
      <c r="GE55" s="319"/>
      <c r="GF55" s="319"/>
      <c r="GG55" s="319"/>
      <c r="GH55" s="319"/>
      <c r="GI55" s="319"/>
      <c r="GJ55" s="319"/>
      <c r="GK55" s="319"/>
      <c r="GL55" s="319"/>
      <c r="GM55" s="319"/>
      <c r="GN55" s="319"/>
      <c r="GO55" s="319"/>
      <c r="GP55" s="319"/>
      <c r="GQ55" s="28"/>
      <c r="GR55" s="270"/>
      <c r="GS55" s="177"/>
      <c r="GT55" s="177"/>
      <c r="GU55" s="741"/>
      <c r="GV55" s="435"/>
      <c r="GW55" s="327">
        <f t="shared" si="21"/>
        <v>0</v>
      </c>
      <c r="GX55" s="445">
        <f t="shared" si="22"/>
        <v>0</v>
      </c>
      <c r="GY55" s="605">
        <f t="shared" si="23"/>
        <v>0</v>
      </c>
      <c r="GZ55" s="627">
        <f>'2_квартал'!G48</f>
        <v>8914.75</v>
      </c>
      <c r="HA55" s="239">
        <f t="shared" si="24"/>
        <v>82.98</v>
      </c>
      <c r="HB55" s="36" t="str">
        <f t="shared" si="25"/>
        <v>Виусид-Вет</v>
      </c>
      <c r="HC55" s="38"/>
      <c r="HD55" s="14"/>
      <c r="HE55" s="14"/>
    </row>
    <row r="56" spans="1:213" ht="15.9" customHeight="1" x14ac:dyDescent="0.3">
      <c r="A56" s="132">
        <f t="shared" si="18"/>
        <v>44</v>
      </c>
      <c r="B56" s="696" t="s">
        <v>35</v>
      </c>
      <c r="C56" s="565">
        <f>'2_квартал'!G49</f>
        <v>9.0749999999999993</v>
      </c>
      <c r="D56" s="592">
        <v>0</v>
      </c>
      <c r="E56" s="241">
        <v>0</v>
      </c>
      <c r="F56" s="572">
        <v>0</v>
      </c>
      <c r="G56" s="299">
        <f t="shared" si="8"/>
        <v>0</v>
      </c>
      <c r="H56" s="93">
        <v>0</v>
      </c>
      <c r="I56" s="93">
        <v>0</v>
      </c>
      <c r="J56" s="112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245"/>
      <c r="Z56" s="177"/>
      <c r="AA56" s="272"/>
      <c r="AB56" s="24"/>
      <c r="AC56" s="319"/>
      <c r="AD56" s="319"/>
      <c r="AE56" s="319"/>
      <c r="AF56" s="319"/>
      <c r="AG56" s="319"/>
      <c r="AH56" s="177"/>
      <c r="AI56" s="177"/>
      <c r="AJ56" s="319"/>
      <c r="AK56" s="319"/>
      <c r="AL56" s="319"/>
      <c r="AM56" s="319"/>
      <c r="AN56" s="319"/>
      <c r="AO56" s="319"/>
      <c r="AP56" s="319"/>
      <c r="AQ56" s="319"/>
      <c r="AR56" s="319"/>
      <c r="AS56" s="319"/>
      <c r="AT56" s="319"/>
      <c r="AU56" s="319"/>
      <c r="AV56" s="319"/>
      <c r="AW56" s="319"/>
      <c r="AX56" s="319"/>
      <c r="AY56" s="319"/>
      <c r="AZ56" s="319"/>
      <c r="BA56" s="319"/>
      <c r="BB56" s="319"/>
      <c r="BC56" s="319"/>
      <c r="BD56" s="319"/>
      <c r="BE56" s="319"/>
      <c r="BF56" s="319"/>
      <c r="BG56" s="319"/>
      <c r="BH56" s="319"/>
      <c r="BI56" s="319"/>
      <c r="BJ56" s="319"/>
      <c r="BK56" s="319"/>
      <c r="BL56" s="319"/>
      <c r="BM56" s="319"/>
      <c r="BN56" s="319"/>
      <c r="BO56" s="319"/>
      <c r="BP56" s="319"/>
      <c r="BQ56" s="460"/>
      <c r="BR56" s="319"/>
      <c r="BS56" s="158">
        <f t="shared" si="10"/>
        <v>0</v>
      </c>
      <c r="BT56" s="112"/>
      <c r="BU56" s="319"/>
      <c r="BV56" s="319"/>
      <c r="BW56" s="319"/>
      <c r="BX56" s="319"/>
      <c r="BY56" s="319"/>
      <c r="BZ56" s="319"/>
      <c r="CA56" s="319"/>
      <c r="CB56" s="319"/>
      <c r="CC56" s="319"/>
      <c r="CD56" s="319"/>
      <c r="CE56" s="319"/>
      <c r="CF56" s="319"/>
      <c r="CG56" s="319"/>
      <c r="CH56" s="319"/>
      <c r="CI56" s="319"/>
      <c r="CJ56" s="319"/>
      <c r="CK56" s="319"/>
      <c r="CL56" s="319"/>
      <c r="CM56" s="319"/>
      <c r="CN56" s="319"/>
      <c r="CO56" s="319"/>
      <c r="CP56" s="319"/>
      <c r="CQ56" s="319"/>
      <c r="CR56" s="319"/>
      <c r="CS56" s="319"/>
      <c r="CT56" s="319"/>
      <c r="CU56" s="319"/>
      <c r="CV56" s="319"/>
      <c r="CW56" s="319"/>
      <c r="CX56" s="319"/>
      <c r="CY56" s="177"/>
      <c r="CZ56" s="32"/>
      <c r="DA56" s="32"/>
      <c r="DB56" s="319"/>
      <c r="DC56" s="319"/>
      <c r="DD56" s="319"/>
      <c r="DE56" s="319"/>
      <c r="DF56" s="319"/>
      <c r="DG56" s="319"/>
      <c r="DH56" s="319"/>
      <c r="DI56" s="319"/>
      <c r="DJ56" s="319"/>
      <c r="DK56" s="319"/>
      <c r="DL56" s="319"/>
      <c r="DM56" s="319"/>
      <c r="DN56" s="319"/>
      <c r="DO56" s="319"/>
      <c r="DP56" s="319"/>
      <c r="DQ56" s="319"/>
      <c r="DR56" s="319"/>
      <c r="DS56" s="319"/>
      <c r="DT56" s="419">
        <f t="shared" si="19"/>
        <v>0</v>
      </c>
      <c r="DU56" s="57"/>
      <c r="DV56" s="319"/>
      <c r="DW56" s="319"/>
      <c r="DX56" s="319"/>
      <c r="DY56" s="319"/>
      <c r="DZ56" s="319"/>
      <c r="EA56" s="319"/>
      <c r="EB56" s="319"/>
      <c r="EC56" s="319"/>
      <c r="ED56" s="319"/>
      <c r="EE56" s="319"/>
      <c r="EF56" s="319"/>
      <c r="EG56" s="177"/>
      <c r="EH56" s="177"/>
      <c r="EI56" s="177"/>
      <c r="EJ56" s="319"/>
      <c r="EK56" s="319"/>
      <c r="EL56" s="319"/>
      <c r="EM56" s="319"/>
      <c r="EN56" s="319"/>
      <c r="EO56" s="319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19"/>
      <c r="FE56" s="319"/>
      <c r="FF56" s="319"/>
      <c r="FG56" s="319"/>
      <c r="FH56" s="319"/>
      <c r="FI56" s="319"/>
      <c r="FJ56" s="319"/>
      <c r="FK56" s="319"/>
      <c r="FL56" s="319"/>
      <c r="FM56" s="319"/>
      <c r="FN56" s="319"/>
      <c r="FO56" s="319"/>
      <c r="FP56" s="319"/>
      <c r="FQ56" s="319"/>
      <c r="FR56" s="319"/>
      <c r="FS56" s="319"/>
      <c r="FT56" s="319"/>
      <c r="FU56" s="319"/>
      <c r="FV56" s="319"/>
      <c r="FW56" s="319"/>
      <c r="FX56" s="319"/>
      <c r="FY56" s="319"/>
      <c r="FZ56" s="319"/>
      <c r="GA56" s="158">
        <f t="shared" si="20"/>
        <v>0</v>
      </c>
      <c r="GB56" s="113"/>
      <c r="GC56" s="374"/>
      <c r="GD56" s="319"/>
      <c r="GE56" s="319"/>
      <c r="GF56" s="319"/>
      <c r="GG56" s="319"/>
      <c r="GH56" s="319"/>
      <c r="GI56" s="319"/>
      <c r="GJ56" s="319"/>
      <c r="GK56" s="319"/>
      <c r="GL56" s="319"/>
      <c r="GM56" s="319"/>
      <c r="GN56" s="319"/>
      <c r="GO56" s="319"/>
      <c r="GP56" s="319"/>
      <c r="GQ56" s="28"/>
      <c r="GR56" s="270"/>
      <c r="GS56" s="177"/>
      <c r="GT56" s="177"/>
      <c r="GU56" s="741"/>
      <c r="GV56" s="435"/>
      <c r="GW56" s="327">
        <f t="shared" si="21"/>
        <v>0</v>
      </c>
      <c r="GX56" s="445">
        <f t="shared" si="22"/>
        <v>0</v>
      </c>
      <c r="GY56" s="605">
        <f t="shared" si="23"/>
        <v>0</v>
      </c>
      <c r="GZ56" s="627">
        <f>'2_квартал'!G49</f>
        <v>9.0749999999999993</v>
      </c>
      <c r="HA56" s="239">
        <f t="shared" si="24"/>
        <v>0</v>
      </c>
      <c r="HB56" s="36" t="str">
        <f t="shared" si="25"/>
        <v>Гепатрон</v>
      </c>
      <c r="HC56" s="38"/>
      <c r="HD56" s="14"/>
      <c r="HE56" s="14"/>
    </row>
    <row r="57" spans="1:213" ht="15.9" customHeight="1" x14ac:dyDescent="0.3">
      <c r="A57" s="127">
        <f>A56+1</f>
        <v>45</v>
      </c>
      <c r="B57" s="688" t="s">
        <v>36</v>
      </c>
      <c r="C57" s="565">
        <f>'2_квартал'!G50</f>
        <v>631.78499999999997</v>
      </c>
      <c r="D57" s="346">
        <f>884.91+1950+1862.37</f>
        <v>4697.28</v>
      </c>
      <c r="E57" s="241">
        <f>3137.63+325+1673.29</f>
        <v>5135.92</v>
      </c>
      <c r="F57" s="572">
        <f>500+5759.01</f>
        <v>6259.01</v>
      </c>
      <c r="G57" s="299">
        <f t="shared" si="8"/>
        <v>5364.07</v>
      </c>
      <c r="H57" s="93">
        <f>500+3326.71</f>
        <v>3826.71</v>
      </c>
      <c r="I57" s="93">
        <f>267.7+500+750</f>
        <v>1517.7</v>
      </c>
      <c r="J57" s="94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245"/>
      <c r="Z57" s="177"/>
      <c r="AA57" s="272"/>
      <c r="AB57" s="24"/>
      <c r="AC57" s="319">
        <v>15.12</v>
      </c>
      <c r="AD57" s="319"/>
      <c r="AE57" s="319">
        <v>78.623999999999995</v>
      </c>
      <c r="AF57" s="319"/>
      <c r="AG57" s="319"/>
      <c r="AH57" s="177"/>
      <c r="AI57" s="177"/>
      <c r="AJ57" s="319">
        <f>302.4*0.8</f>
        <v>241.92</v>
      </c>
      <c r="AK57" s="319"/>
      <c r="AL57" s="319">
        <f>201.6*0.6</f>
        <v>120.96</v>
      </c>
      <c r="AM57" s="319"/>
      <c r="AN57" s="319"/>
      <c r="AO57" s="319"/>
      <c r="AP57" s="319"/>
      <c r="AQ57" s="319"/>
      <c r="AR57" s="319"/>
      <c r="AS57" s="319"/>
      <c r="AT57" s="319">
        <v>806.4</v>
      </c>
      <c r="AU57" s="319"/>
      <c r="AV57" s="319"/>
      <c r="AW57" s="319"/>
      <c r="AX57" s="319">
        <v>269.13600000000002</v>
      </c>
      <c r="AY57" s="319"/>
      <c r="AZ57" s="319"/>
      <c r="BA57" s="319">
        <v>60.48</v>
      </c>
      <c r="BB57" s="319"/>
      <c r="BC57" s="319">
        <f>201.6/2*2.4</f>
        <v>241.92</v>
      </c>
      <c r="BD57" s="319">
        <f>302.4*2</f>
        <v>604.79999999999995</v>
      </c>
      <c r="BE57" s="319"/>
      <c r="BF57" s="319"/>
      <c r="BG57" s="319"/>
      <c r="BH57" s="319">
        <f>100.8*0.6</f>
        <v>60.48</v>
      </c>
      <c r="BI57" s="319">
        <f>134.4*0.6</f>
        <v>80.64</v>
      </c>
      <c r="BJ57" s="319"/>
      <c r="BK57" s="319"/>
      <c r="BL57" s="319"/>
      <c r="BM57" s="319">
        <v>2116.8000000000002</v>
      </c>
      <c r="BN57" s="319"/>
      <c r="BO57" s="319"/>
      <c r="BP57" s="319"/>
      <c r="BQ57" s="460"/>
      <c r="BR57" s="319"/>
      <c r="BS57" s="158">
        <f t="shared" si="10"/>
        <v>4697.28</v>
      </c>
      <c r="BT57" s="94"/>
      <c r="BU57" s="319"/>
      <c r="BV57" s="319"/>
      <c r="BW57" s="319">
        <f>403.199/3*1.5</f>
        <v>201.59949999999998</v>
      </c>
      <c r="BX57" s="319"/>
      <c r="BY57" s="319">
        <f>134.399/4*2</f>
        <v>67.1995</v>
      </c>
      <c r="BZ57" s="319"/>
      <c r="CA57" s="319"/>
      <c r="CB57" s="319"/>
      <c r="CC57" s="319">
        <v>157.24799999999999</v>
      </c>
      <c r="CD57" s="319"/>
      <c r="CE57" s="319"/>
      <c r="CF57" s="319">
        <v>44.351999999999997</v>
      </c>
      <c r="CG57" s="319"/>
      <c r="CH57" s="319">
        <v>5.3760000000000003</v>
      </c>
      <c r="CI57" s="319"/>
      <c r="CJ57" s="319"/>
      <c r="CK57" s="319">
        <v>201.6</v>
      </c>
      <c r="CL57" s="319"/>
      <c r="CM57" s="319"/>
      <c r="CN57" s="319"/>
      <c r="CO57" s="319"/>
      <c r="CP57" s="319"/>
      <c r="CQ57" s="319"/>
      <c r="CR57" s="319"/>
      <c r="CS57" s="319"/>
      <c r="CT57" s="319"/>
      <c r="CU57" s="319">
        <f>403.199/3*1.5</f>
        <v>201.59949999999998</v>
      </c>
      <c r="CV57" s="319">
        <f>134.399/4*2</f>
        <v>67.1995</v>
      </c>
      <c r="CW57" s="319"/>
      <c r="CX57" s="319"/>
      <c r="CY57" s="177"/>
      <c r="CZ57" s="32"/>
      <c r="DA57" s="32">
        <v>302.39999999999998</v>
      </c>
      <c r="DB57" s="319">
        <f>201.6*0.6</f>
        <v>120.96</v>
      </c>
      <c r="DC57" s="319">
        <f>60.48*0.3</f>
        <v>18.143999999999998</v>
      </c>
      <c r="DD57" s="319">
        <v>302.39999999999998</v>
      </c>
      <c r="DE57" s="319">
        <v>241.92</v>
      </c>
      <c r="DF57" s="319"/>
      <c r="DG57" s="319"/>
      <c r="DH57" s="319"/>
      <c r="DI57" s="319"/>
      <c r="DJ57" s="319"/>
      <c r="DK57" s="319"/>
      <c r="DL57" s="319"/>
      <c r="DM57" s="319">
        <f>269.136*1.5</f>
        <v>403.70400000000006</v>
      </c>
      <c r="DN57" s="319">
        <f>806.4/4*3</f>
        <v>604.79999999999995</v>
      </c>
      <c r="DO57" s="319"/>
      <c r="DP57" s="319"/>
      <c r="DQ57" s="319">
        <f>157.248/1.2*0.6</f>
        <v>78.623999999999995</v>
      </c>
      <c r="DR57" s="319"/>
      <c r="DS57" s="319">
        <v>2116.8000000000002</v>
      </c>
      <c r="DT57" s="419">
        <f t="shared" si="19"/>
        <v>5135.9259999999995</v>
      </c>
      <c r="DU57" s="57"/>
      <c r="DV57" s="319"/>
      <c r="DW57" s="319"/>
      <c r="DX57" s="319">
        <v>60.48</v>
      </c>
      <c r="DY57" s="319"/>
      <c r="DZ57" s="319"/>
      <c r="EA57" s="319"/>
      <c r="EB57" s="319"/>
      <c r="EC57" s="319"/>
      <c r="ED57" s="319"/>
      <c r="EE57" s="319"/>
      <c r="EF57" s="319">
        <f>302.4*1.5</f>
        <v>453.59999999999997</v>
      </c>
      <c r="EG57" s="177">
        <v>645.12</v>
      </c>
      <c r="EH57" s="177">
        <f>1209.6/12*8</f>
        <v>806.4</v>
      </c>
      <c r="EI57" s="177">
        <f>1209.6/12*4</f>
        <v>403.2</v>
      </c>
      <c r="EJ57" s="319"/>
      <c r="EK57" s="319">
        <f>157.248/1.2*0.6</f>
        <v>78.623999999999995</v>
      </c>
      <c r="EL57" s="319"/>
      <c r="EM57" s="319"/>
      <c r="EN57" s="319"/>
      <c r="EO57" s="319">
        <f>302.4</f>
        <v>302.39999999999998</v>
      </c>
      <c r="EP57" s="319"/>
      <c r="EQ57" s="319"/>
      <c r="ER57" s="319"/>
      <c r="ES57" s="319">
        <f>18.144/0.3*0.6</f>
        <v>36.287999999999997</v>
      </c>
      <c r="ET57" s="319">
        <v>453.6</v>
      </c>
      <c r="EU57" s="319"/>
      <c r="EV57" s="319">
        <v>2268</v>
      </c>
      <c r="EW57" s="319">
        <v>15.12</v>
      </c>
      <c r="EX57" s="319"/>
      <c r="EY57" s="319"/>
      <c r="EZ57" s="319"/>
      <c r="FA57" s="319">
        <f>403.704/1.5</f>
        <v>269.13600000000002</v>
      </c>
      <c r="FB57" s="319"/>
      <c r="FC57" s="319"/>
      <c r="FD57" s="319"/>
      <c r="FE57" s="319"/>
      <c r="FF57" s="319"/>
      <c r="FG57" s="319"/>
      <c r="FH57" s="319">
        <v>171.36</v>
      </c>
      <c r="FI57" s="319"/>
      <c r="FJ57" s="319"/>
      <c r="FK57" s="319">
        <v>120.96</v>
      </c>
      <c r="FL57" s="319"/>
      <c r="FM57" s="319"/>
      <c r="FN57" s="319"/>
      <c r="FO57" s="319"/>
      <c r="FP57" s="319">
        <v>60.48</v>
      </c>
      <c r="FQ57" s="319">
        <v>80.64</v>
      </c>
      <c r="FR57" s="319">
        <v>33.6</v>
      </c>
      <c r="FS57" s="319"/>
      <c r="FT57" s="319"/>
      <c r="FU57" s="319"/>
      <c r="FV57" s="319"/>
      <c r="FW57" s="319"/>
      <c r="FX57" s="319"/>
      <c r="FY57" s="319"/>
      <c r="FZ57" s="319"/>
      <c r="GA57" s="158">
        <f t="shared" si="20"/>
        <v>6259.0079999999998</v>
      </c>
      <c r="GB57" s="95"/>
      <c r="GC57" s="374"/>
      <c r="GD57" s="319"/>
      <c r="GE57" s="319"/>
      <c r="GF57" s="319"/>
      <c r="GG57" s="319"/>
      <c r="GH57" s="319"/>
      <c r="GI57" s="319"/>
      <c r="GJ57" s="319"/>
      <c r="GK57" s="319"/>
      <c r="GL57" s="319"/>
      <c r="GM57" s="319"/>
      <c r="GN57" s="319"/>
      <c r="GO57" s="319"/>
      <c r="GP57" s="319"/>
      <c r="GQ57" s="28"/>
      <c r="GR57" s="270"/>
      <c r="GS57" s="177"/>
      <c r="GT57" s="177"/>
      <c r="GU57" s="741"/>
      <c r="GV57" s="435"/>
      <c r="GW57" s="327">
        <f t="shared" si="21"/>
        <v>0</v>
      </c>
      <c r="GX57" s="558">
        <f t="shared" si="22"/>
        <v>1517.7</v>
      </c>
      <c r="GY57" s="605">
        <f t="shared" si="23"/>
        <v>1517.7</v>
      </c>
      <c r="GZ57" s="627">
        <f>'2_квартал'!G50</f>
        <v>631.78499999999997</v>
      </c>
      <c r="HA57" s="239">
        <f t="shared" si="24"/>
        <v>5135.92</v>
      </c>
      <c r="HB57" s="36" t="str">
        <f t="shared" si="25"/>
        <v xml:space="preserve">Декстроза </v>
      </c>
      <c r="HC57" s="664"/>
      <c r="HD57" s="22"/>
      <c r="HE57" s="22"/>
    </row>
    <row r="58" spans="1:213" ht="15.9" customHeight="1" x14ac:dyDescent="0.3">
      <c r="A58" s="127">
        <f t="shared" ref="A58:A59" si="26">A57+1</f>
        <v>46</v>
      </c>
      <c r="B58" s="688" t="s">
        <v>204</v>
      </c>
      <c r="C58" s="565">
        <f>'2_квартал'!G51</f>
        <v>50.19</v>
      </c>
      <c r="D58" s="346">
        <v>45.76</v>
      </c>
      <c r="E58" s="241">
        <v>8.06</v>
      </c>
      <c r="F58" s="572">
        <v>26.21</v>
      </c>
      <c r="G58" s="299">
        <f>ROUND(AVERAGE(D58:F58),3)</f>
        <v>26.677</v>
      </c>
      <c r="H58" s="93">
        <v>76.180000000000007</v>
      </c>
      <c r="I58" s="93">
        <v>49.97</v>
      </c>
      <c r="J58" s="94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>
        <v>4.032</v>
      </c>
      <c r="Y58" s="245"/>
      <c r="Z58" s="177"/>
      <c r="AA58" s="272"/>
      <c r="AB58" s="24">
        <f>2.822/0.7*0.3</f>
        <v>1.2094285714285715</v>
      </c>
      <c r="AC58" s="319"/>
      <c r="AD58" s="319"/>
      <c r="AE58" s="319"/>
      <c r="AF58" s="319"/>
      <c r="AG58" s="319"/>
      <c r="AH58" s="177"/>
      <c r="AI58" s="177"/>
      <c r="AJ58" s="319"/>
      <c r="AK58" s="319"/>
      <c r="AL58" s="319"/>
      <c r="AM58" s="319"/>
      <c r="AN58" s="319"/>
      <c r="AO58" s="319"/>
      <c r="AP58" s="319"/>
      <c r="AQ58" s="319">
        <f>4.032*5</f>
        <v>20.16</v>
      </c>
      <c r="AR58" s="319">
        <v>4.032</v>
      </c>
      <c r="AS58" s="319"/>
      <c r="AT58" s="319"/>
      <c r="AU58" s="319"/>
      <c r="AV58" s="319"/>
      <c r="AW58" s="319"/>
      <c r="AX58" s="319"/>
      <c r="AY58" s="319"/>
      <c r="AZ58" s="319"/>
      <c r="BA58" s="319"/>
      <c r="BB58" s="319"/>
      <c r="BC58" s="319"/>
      <c r="BD58" s="319"/>
      <c r="BE58" s="319">
        <f>14.314/7.1*4.1</f>
        <v>8.2658309859154926</v>
      </c>
      <c r="BF58" s="319">
        <f>4.032*2</f>
        <v>8.0640000000000001</v>
      </c>
      <c r="BG58" s="319"/>
      <c r="BH58" s="319"/>
      <c r="BI58" s="319"/>
      <c r="BJ58" s="319"/>
      <c r="BK58" s="319"/>
      <c r="BL58" s="319"/>
      <c r="BM58" s="319"/>
      <c r="BN58" s="319"/>
      <c r="BO58" s="319"/>
      <c r="BP58" s="319"/>
      <c r="BQ58" s="460"/>
      <c r="BR58" s="319"/>
      <c r="BS58" s="158">
        <f t="shared" si="10"/>
        <v>45.763259557344064</v>
      </c>
      <c r="BT58" s="94"/>
      <c r="BU58" s="319"/>
      <c r="BV58" s="319"/>
      <c r="BW58" s="319"/>
      <c r="BX58" s="319"/>
      <c r="BY58" s="319"/>
      <c r="BZ58" s="319"/>
      <c r="CA58" s="319"/>
      <c r="CB58" s="319"/>
      <c r="CC58" s="319"/>
      <c r="CD58" s="319"/>
      <c r="CE58" s="319"/>
      <c r="CF58" s="319"/>
      <c r="CG58" s="319"/>
      <c r="CH58" s="319"/>
      <c r="CI58" s="319"/>
      <c r="CJ58" s="319"/>
      <c r="CK58" s="319"/>
      <c r="CL58" s="319"/>
      <c r="CM58" s="319"/>
      <c r="CN58" s="319"/>
      <c r="CO58" s="319"/>
      <c r="CP58" s="319"/>
      <c r="CQ58" s="319">
        <f>4.032*2</f>
        <v>8.0640000000000001</v>
      </c>
      <c r="CR58" s="319"/>
      <c r="CS58" s="319"/>
      <c r="CT58" s="319"/>
      <c r="CU58" s="319"/>
      <c r="CV58" s="319"/>
      <c r="CW58" s="319"/>
      <c r="CX58" s="319"/>
      <c r="CY58" s="177"/>
      <c r="CZ58" s="32"/>
      <c r="DA58" s="32"/>
      <c r="DB58" s="319"/>
      <c r="DC58" s="319"/>
      <c r="DD58" s="319"/>
      <c r="DE58" s="319"/>
      <c r="DF58" s="319"/>
      <c r="DG58" s="319"/>
      <c r="DH58" s="319"/>
      <c r="DI58" s="319"/>
      <c r="DJ58" s="319"/>
      <c r="DK58" s="319"/>
      <c r="DL58" s="319"/>
      <c r="DM58" s="319"/>
      <c r="DN58" s="319"/>
      <c r="DO58" s="319"/>
      <c r="DP58" s="319"/>
      <c r="DQ58" s="319"/>
      <c r="DR58" s="319"/>
      <c r="DS58" s="319"/>
      <c r="DT58" s="419">
        <f t="shared" si="19"/>
        <v>8.0640000000000001</v>
      </c>
      <c r="DU58" s="57"/>
      <c r="DV58" s="319"/>
      <c r="DW58" s="319"/>
      <c r="DX58" s="319"/>
      <c r="DY58" s="319"/>
      <c r="DZ58" s="319"/>
      <c r="EA58" s="319">
        <f>4.032*5</f>
        <v>20.16</v>
      </c>
      <c r="EB58" s="319"/>
      <c r="EC58" s="319"/>
      <c r="ED58" s="319"/>
      <c r="EE58" s="319"/>
      <c r="EF58" s="319"/>
      <c r="EG58" s="177"/>
      <c r="EH58" s="177"/>
      <c r="EI58" s="177"/>
      <c r="EJ58" s="319"/>
      <c r="EK58" s="319"/>
      <c r="EL58" s="319"/>
      <c r="EM58" s="319"/>
      <c r="EN58" s="319"/>
      <c r="EO58" s="319"/>
      <c r="EP58" s="319"/>
      <c r="EQ58" s="319"/>
      <c r="ER58" s="319"/>
      <c r="ES58" s="319"/>
      <c r="ET58" s="319"/>
      <c r="EU58" s="319"/>
      <c r="EV58" s="319"/>
      <c r="EW58" s="319"/>
      <c r="EX58" s="319"/>
      <c r="EY58" s="319"/>
      <c r="EZ58" s="319"/>
      <c r="FA58" s="319"/>
      <c r="FB58" s="319"/>
      <c r="FC58" s="319"/>
      <c r="FD58" s="319"/>
      <c r="FE58" s="319"/>
      <c r="FF58" s="319"/>
      <c r="FG58" s="319">
        <v>6.048</v>
      </c>
      <c r="FH58" s="319"/>
      <c r="FI58" s="319"/>
      <c r="FJ58" s="319"/>
      <c r="FK58" s="319"/>
      <c r="FL58" s="319"/>
      <c r="FM58" s="319"/>
      <c r="FN58" s="319"/>
      <c r="FO58" s="319"/>
      <c r="FP58" s="319"/>
      <c r="FQ58" s="319"/>
      <c r="FR58" s="319"/>
      <c r="FS58" s="319"/>
      <c r="FT58" s="319"/>
      <c r="FU58" s="319"/>
      <c r="FV58" s="319"/>
      <c r="FW58" s="319"/>
      <c r="FX58" s="319"/>
      <c r="FY58" s="319"/>
      <c r="FZ58" s="319"/>
      <c r="GA58" s="158">
        <f t="shared" si="20"/>
        <v>26.207999999999998</v>
      </c>
      <c r="GB58" s="95"/>
      <c r="GC58" s="374"/>
      <c r="GD58" s="319"/>
      <c r="GE58" s="319"/>
      <c r="GF58" s="319"/>
      <c r="GG58" s="319"/>
      <c r="GH58" s="319"/>
      <c r="GI58" s="319"/>
      <c r="GJ58" s="319"/>
      <c r="GK58" s="319"/>
      <c r="GL58" s="319"/>
      <c r="GM58" s="319"/>
      <c r="GN58" s="319"/>
      <c r="GO58" s="319"/>
      <c r="GP58" s="319"/>
      <c r="GQ58" s="28"/>
      <c r="GR58" s="270"/>
      <c r="GS58" s="177"/>
      <c r="GT58" s="177"/>
      <c r="GU58" s="741"/>
      <c r="GV58" s="435"/>
      <c r="GW58" s="327">
        <f t="shared" si="21"/>
        <v>0</v>
      </c>
      <c r="GX58" s="445">
        <f t="shared" si="22"/>
        <v>49.97</v>
      </c>
      <c r="GY58" s="605">
        <f t="shared" si="23"/>
        <v>49.97</v>
      </c>
      <c r="GZ58" s="627">
        <f>'2_квартал'!G51</f>
        <v>50.19</v>
      </c>
      <c r="HA58" s="239">
        <f t="shared" si="24"/>
        <v>8.06</v>
      </c>
      <c r="HB58" s="36" t="str">
        <f t="shared" si="25"/>
        <v>Диоксид кремния Экстрасил</v>
      </c>
      <c r="HC58" s="664"/>
      <c r="HD58" s="22"/>
      <c r="HE58" s="22"/>
    </row>
    <row r="59" spans="1:213" ht="15.9" customHeight="1" x14ac:dyDescent="0.3">
      <c r="A59" s="127">
        <f t="shared" si="26"/>
        <v>47</v>
      </c>
      <c r="B59" s="688" t="s">
        <v>184</v>
      </c>
      <c r="C59" s="565">
        <f>'2_квартал'!G52</f>
        <v>0.71</v>
      </c>
      <c r="D59" s="346">
        <v>39.119999999999997</v>
      </c>
      <c r="E59" s="241">
        <v>0</v>
      </c>
      <c r="F59" s="572">
        <v>0</v>
      </c>
      <c r="G59" s="299">
        <f>ROUND(AVERAGE(D59:F59),3)</f>
        <v>13.04</v>
      </c>
      <c r="H59" s="93">
        <v>0</v>
      </c>
      <c r="I59" s="93">
        <v>0</v>
      </c>
      <c r="J59" s="94"/>
      <c r="K59" s="319"/>
      <c r="L59" s="319">
        <v>39.119999999999997</v>
      </c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245"/>
      <c r="Z59" s="177"/>
      <c r="AA59" s="272"/>
      <c r="AB59" s="24"/>
      <c r="AC59" s="319"/>
      <c r="AD59" s="319"/>
      <c r="AE59" s="319"/>
      <c r="AF59" s="319"/>
      <c r="AG59" s="319"/>
      <c r="AH59" s="177"/>
      <c r="AI59" s="177"/>
      <c r="AJ59" s="319"/>
      <c r="AK59" s="319"/>
      <c r="AL59" s="319"/>
      <c r="AM59" s="319"/>
      <c r="AN59" s="319"/>
      <c r="AO59" s="319"/>
      <c r="AP59" s="319"/>
      <c r="AQ59" s="319"/>
      <c r="AR59" s="319"/>
      <c r="AS59" s="319"/>
      <c r="AT59" s="319"/>
      <c r="AU59" s="319"/>
      <c r="AV59" s="319"/>
      <c r="AW59" s="319"/>
      <c r="AX59" s="319"/>
      <c r="AY59" s="319"/>
      <c r="AZ59" s="319"/>
      <c r="BA59" s="319"/>
      <c r="BB59" s="319"/>
      <c r="BC59" s="319"/>
      <c r="BD59" s="319"/>
      <c r="BE59" s="319"/>
      <c r="BF59" s="319"/>
      <c r="BG59" s="319"/>
      <c r="BH59" s="319"/>
      <c r="BI59" s="319"/>
      <c r="BJ59" s="319"/>
      <c r="BK59" s="319"/>
      <c r="BL59" s="319"/>
      <c r="BM59" s="319"/>
      <c r="BN59" s="319"/>
      <c r="BO59" s="319"/>
      <c r="BP59" s="319"/>
      <c r="BQ59" s="460"/>
      <c r="BR59" s="319"/>
      <c r="BS59" s="158">
        <f>SUM(K59:BR59)</f>
        <v>39.119999999999997</v>
      </c>
      <c r="BT59" s="94"/>
      <c r="BU59" s="319"/>
      <c r="BV59" s="319"/>
      <c r="BW59" s="319"/>
      <c r="BX59" s="319"/>
      <c r="BY59" s="319"/>
      <c r="BZ59" s="319"/>
      <c r="CA59" s="319"/>
      <c r="CB59" s="319"/>
      <c r="CC59" s="319"/>
      <c r="CD59" s="319"/>
      <c r="CE59" s="319"/>
      <c r="CF59" s="319"/>
      <c r="CG59" s="319"/>
      <c r="CH59" s="319"/>
      <c r="CI59" s="319"/>
      <c r="CJ59" s="319"/>
      <c r="CK59" s="319"/>
      <c r="CL59" s="319"/>
      <c r="CM59" s="319"/>
      <c r="CN59" s="319"/>
      <c r="CO59" s="319"/>
      <c r="CP59" s="319"/>
      <c r="CQ59" s="319"/>
      <c r="CR59" s="319"/>
      <c r="CS59" s="319"/>
      <c r="CT59" s="319"/>
      <c r="CU59" s="319"/>
      <c r="CV59" s="319"/>
      <c r="CW59" s="319"/>
      <c r="CX59" s="319"/>
      <c r="CY59" s="177"/>
      <c r="CZ59" s="32"/>
      <c r="DA59" s="32"/>
      <c r="DB59" s="319"/>
      <c r="DC59" s="319"/>
      <c r="DD59" s="319"/>
      <c r="DE59" s="319"/>
      <c r="DF59" s="319"/>
      <c r="DG59" s="319"/>
      <c r="DH59" s="319"/>
      <c r="DI59" s="319"/>
      <c r="DJ59" s="319"/>
      <c r="DK59" s="319"/>
      <c r="DL59" s="319"/>
      <c r="DM59" s="319"/>
      <c r="DN59" s="319"/>
      <c r="DO59" s="319"/>
      <c r="DP59" s="319"/>
      <c r="DQ59" s="319"/>
      <c r="DR59" s="319"/>
      <c r="DS59" s="319"/>
      <c r="DT59" s="419">
        <f t="shared" si="19"/>
        <v>0</v>
      </c>
      <c r="DU59" s="57"/>
      <c r="DV59" s="319"/>
      <c r="DW59" s="319"/>
      <c r="DX59" s="319"/>
      <c r="DY59" s="319"/>
      <c r="DZ59" s="319"/>
      <c r="EA59" s="319"/>
      <c r="EB59" s="319"/>
      <c r="EC59" s="319"/>
      <c r="ED59" s="319"/>
      <c r="EE59" s="319"/>
      <c r="EF59" s="319"/>
      <c r="EG59" s="177"/>
      <c r="EH59" s="177"/>
      <c r="EI59" s="177"/>
      <c r="EJ59" s="319"/>
      <c r="EK59" s="319"/>
      <c r="EL59" s="319"/>
      <c r="EM59" s="319"/>
      <c r="EN59" s="319"/>
      <c r="EO59" s="319"/>
      <c r="EP59" s="319"/>
      <c r="EQ59" s="319"/>
      <c r="ER59" s="319"/>
      <c r="ES59" s="319"/>
      <c r="ET59" s="319"/>
      <c r="EU59" s="319"/>
      <c r="EV59" s="319"/>
      <c r="EW59" s="319"/>
      <c r="EX59" s="319"/>
      <c r="EY59" s="319"/>
      <c r="EZ59" s="319"/>
      <c r="FA59" s="319"/>
      <c r="FB59" s="319"/>
      <c r="FC59" s="319"/>
      <c r="FD59" s="319"/>
      <c r="FE59" s="319"/>
      <c r="FF59" s="319"/>
      <c r="FG59" s="319"/>
      <c r="FH59" s="319"/>
      <c r="FI59" s="319"/>
      <c r="FJ59" s="319"/>
      <c r="FK59" s="319"/>
      <c r="FL59" s="319"/>
      <c r="FM59" s="319"/>
      <c r="FN59" s="319"/>
      <c r="FO59" s="319"/>
      <c r="FP59" s="319"/>
      <c r="FQ59" s="319"/>
      <c r="FR59" s="319"/>
      <c r="FS59" s="319"/>
      <c r="FT59" s="319"/>
      <c r="FU59" s="319"/>
      <c r="FV59" s="319"/>
      <c r="FW59" s="319"/>
      <c r="FX59" s="319"/>
      <c r="FY59" s="319"/>
      <c r="FZ59" s="319"/>
      <c r="GA59" s="158">
        <f t="shared" si="20"/>
        <v>0</v>
      </c>
      <c r="GB59" s="95"/>
      <c r="GC59" s="374"/>
      <c r="GD59" s="319"/>
      <c r="GE59" s="319"/>
      <c r="GF59" s="319"/>
      <c r="GG59" s="319"/>
      <c r="GH59" s="319"/>
      <c r="GI59" s="319"/>
      <c r="GJ59" s="319"/>
      <c r="GK59" s="319"/>
      <c r="GL59" s="319"/>
      <c r="GM59" s="319"/>
      <c r="GN59" s="319"/>
      <c r="GO59" s="319"/>
      <c r="GP59" s="319"/>
      <c r="GQ59" s="28"/>
      <c r="GR59" s="270"/>
      <c r="GS59" s="177"/>
      <c r="GT59" s="177"/>
      <c r="GU59" s="741"/>
      <c r="GV59" s="435"/>
      <c r="GW59" s="327">
        <f t="shared" si="21"/>
        <v>0</v>
      </c>
      <c r="GX59" s="445">
        <f t="shared" si="22"/>
        <v>0</v>
      </c>
      <c r="GY59" s="605">
        <f t="shared" si="23"/>
        <v>0</v>
      </c>
      <c r="GZ59" s="627">
        <f>'2_квартал'!G52</f>
        <v>0.71</v>
      </c>
      <c r="HA59" s="239">
        <f t="shared" si="24"/>
        <v>0</v>
      </c>
      <c r="HB59" s="36" t="str">
        <f t="shared" si="25"/>
        <v>Диоксид кремния Ковелос У2</v>
      </c>
      <c r="HC59" s="664"/>
      <c r="HD59" s="22"/>
      <c r="HE59" s="22"/>
    </row>
    <row r="60" spans="1:213" ht="15.9" customHeight="1" x14ac:dyDescent="0.3">
      <c r="A60" s="127">
        <f>A59+1</f>
        <v>48</v>
      </c>
      <c r="B60" s="691" t="s">
        <v>256</v>
      </c>
      <c r="C60" s="565">
        <f>'2_квартал'!G53</f>
        <v>0.5</v>
      </c>
      <c r="D60" s="346">
        <f>843.13+5.86</f>
        <v>848.99</v>
      </c>
      <c r="E60" s="241">
        <v>279.2</v>
      </c>
      <c r="F60" s="572">
        <f>714.94+22.97</f>
        <v>737.91000000000008</v>
      </c>
      <c r="G60" s="299">
        <f>ROUND(AVERAGE(D60:F60),3)</f>
        <v>622.03300000000002</v>
      </c>
      <c r="H60" s="93">
        <f>714.94+1000</f>
        <v>1714.94</v>
      </c>
      <c r="I60" s="93">
        <v>977.03</v>
      </c>
      <c r="J60" s="94"/>
      <c r="K60" s="319"/>
      <c r="L60" s="319">
        <v>171.36</v>
      </c>
      <c r="M60" s="319"/>
      <c r="N60" s="319"/>
      <c r="O60" s="319"/>
      <c r="P60" s="319">
        <v>4.032</v>
      </c>
      <c r="Q60" s="319">
        <f>226.8/15*7</f>
        <v>105.84</v>
      </c>
      <c r="R60" s="319">
        <f>226.8/15*10.4</f>
        <v>157.24800000000002</v>
      </c>
      <c r="S60" s="319">
        <f>226.8/15*2.6</f>
        <v>39.312000000000005</v>
      </c>
      <c r="T60" s="319"/>
      <c r="U60" s="319">
        <f>22.176*9</f>
        <v>199.58399999999997</v>
      </c>
      <c r="V60" s="319"/>
      <c r="W60" s="319"/>
      <c r="X60" s="319"/>
      <c r="Y60" s="245"/>
      <c r="Z60" s="177"/>
      <c r="AA60" s="272"/>
      <c r="AB60" s="24"/>
      <c r="AC60" s="319"/>
      <c r="AD60" s="319">
        <v>6.048</v>
      </c>
      <c r="AE60" s="319"/>
      <c r="AF60" s="319"/>
      <c r="AG60" s="319"/>
      <c r="AH60" s="177"/>
      <c r="AI60" s="177"/>
      <c r="AJ60" s="319">
        <f>4.032*0.8</f>
        <v>3.2256</v>
      </c>
      <c r="AK60" s="319"/>
      <c r="AL60" s="319">
        <f>4.032*0.6</f>
        <v>2.4192</v>
      </c>
      <c r="AM60" s="319"/>
      <c r="AN60" s="319"/>
      <c r="AO60" s="319"/>
      <c r="AP60" s="319"/>
      <c r="AQ60" s="319">
        <f>17.136*5</f>
        <v>85.679999999999993</v>
      </c>
      <c r="AR60" s="319"/>
      <c r="AS60" s="319"/>
      <c r="AT60" s="319">
        <v>16.128</v>
      </c>
      <c r="AU60" s="319"/>
      <c r="AV60" s="319"/>
      <c r="AW60" s="319"/>
      <c r="AX60" s="319">
        <v>6.7130000000000001</v>
      </c>
      <c r="AY60" s="319"/>
      <c r="AZ60" s="319"/>
      <c r="BA60" s="319"/>
      <c r="BB60" s="319"/>
      <c r="BC60" s="319"/>
      <c r="BD60" s="319"/>
      <c r="BE60" s="319"/>
      <c r="BF60" s="319"/>
      <c r="BG60" s="319"/>
      <c r="BH60" s="319"/>
      <c r="BI60" s="319"/>
      <c r="BJ60" s="319">
        <f>4.032*2</f>
        <v>8.0640000000000001</v>
      </c>
      <c r="BK60" s="319">
        <f>10.08*1.5</f>
        <v>15.120000000000001</v>
      </c>
      <c r="BL60" s="319"/>
      <c r="BM60" s="319">
        <v>28.224</v>
      </c>
      <c r="BN60" s="319"/>
      <c r="BO60" s="319"/>
      <c r="BP60" s="319"/>
      <c r="BQ60" s="460"/>
      <c r="BR60" s="319"/>
      <c r="BS60" s="158">
        <f t="shared" si="10"/>
        <v>848.99779999999998</v>
      </c>
      <c r="BT60" s="94"/>
      <c r="BU60" s="319"/>
      <c r="BV60" s="319">
        <v>16.128</v>
      </c>
      <c r="BW60" s="319"/>
      <c r="BX60" s="319"/>
      <c r="BY60" s="319"/>
      <c r="BZ60" s="319"/>
      <c r="CA60" s="319"/>
      <c r="CB60" s="319"/>
      <c r="CC60" s="319"/>
      <c r="CD60" s="319"/>
      <c r="CE60" s="319"/>
      <c r="CF60" s="319"/>
      <c r="CG60" s="319"/>
      <c r="CH60" s="319"/>
      <c r="CI60" s="319"/>
      <c r="CJ60" s="319">
        <f>20.16*6</f>
        <v>120.96000000000001</v>
      </c>
      <c r="CK60" s="319"/>
      <c r="CL60" s="319"/>
      <c r="CM60" s="319"/>
      <c r="CN60" s="319"/>
      <c r="CO60" s="319">
        <f>34.272/5*3</f>
        <v>20.563200000000002</v>
      </c>
      <c r="CP60" s="319">
        <f>34.272/5*2</f>
        <v>13.7088</v>
      </c>
      <c r="CQ60" s="319"/>
      <c r="CR60" s="319"/>
      <c r="CS60" s="319"/>
      <c r="CT60" s="319"/>
      <c r="CU60" s="319"/>
      <c r="CV60" s="319"/>
      <c r="CW60" s="319"/>
      <c r="CX60" s="319"/>
      <c r="CY60" s="177"/>
      <c r="CZ60" s="32">
        <v>4.032</v>
      </c>
      <c r="DA60" s="32">
        <v>4.032</v>
      </c>
      <c r="DB60" s="319">
        <f>4.032*0.6</f>
        <v>2.4192</v>
      </c>
      <c r="DC60" s="319"/>
      <c r="DD60" s="319"/>
      <c r="DE60" s="319"/>
      <c r="DF60" s="319">
        <v>31.248000000000001</v>
      </c>
      <c r="DG60" s="319">
        <f>4.032*3.9</f>
        <v>15.7248</v>
      </c>
      <c r="DH60" s="319"/>
      <c r="DI60" s="319"/>
      <c r="DJ60" s="319"/>
      <c r="DK60" s="319"/>
      <c r="DL60" s="319"/>
      <c r="DM60" s="319">
        <f>6.713*1.5</f>
        <v>10.0695</v>
      </c>
      <c r="DN60" s="319">
        <f>16.128/4*3</f>
        <v>12.096</v>
      </c>
      <c r="DO60" s="319"/>
      <c r="DP60" s="319"/>
      <c r="DQ60" s="319"/>
      <c r="DR60" s="319"/>
      <c r="DS60" s="319">
        <v>28.224</v>
      </c>
      <c r="DT60" s="419">
        <f t="shared" si="19"/>
        <v>279.20550000000003</v>
      </c>
      <c r="DU60" s="57"/>
      <c r="DV60" s="319">
        <v>16.128</v>
      </c>
      <c r="DW60" s="319"/>
      <c r="DX60" s="319"/>
      <c r="DY60" s="319">
        <f>4.032*1.5</f>
        <v>6.048</v>
      </c>
      <c r="DZ60" s="319"/>
      <c r="EA60" s="319">
        <f>17.136*5</f>
        <v>85.679999999999993</v>
      </c>
      <c r="EB60" s="319">
        <f>322.56/20*10</f>
        <v>161.28</v>
      </c>
      <c r="EC60" s="319">
        <f>322.56/20*10</f>
        <v>161.28</v>
      </c>
      <c r="ED60" s="319"/>
      <c r="EE60" s="319">
        <v>4.032</v>
      </c>
      <c r="EF60" s="319">
        <f>4.032*1.5</f>
        <v>6.048</v>
      </c>
      <c r="EG60" s="177"/>
      <c r="EH60" s="177"/>
      <c r="EI60" s="177"/>
      <c r="EJ60" s="319"/>
      <c r="EK60" s="319"/>
      <c r="EL60" s="319"/>
      <c r="EM60" s="319"/>
      <c r="EN60" s="319">
        <f>4.032*2</f>
        <v>8.0640000000000001</v>
      </c>
      <c r="EO60" s="319">
        <f>4.032</f>
        <v>4.032</v>
      </c>
      <c r="EP60" s="319"/>
      <c r="EQ60" s="319"/>
      <c r="ER60" s="319">
        <f>4.032*2.5</f>
        <v>10.08</v>
      </c>
      <c r="ES60" s="319"/>
      <c r="ET60" s="319">
        <v>6.048</v>
      </c>
      <c r="EU60" s="319"/>
      <c r="EV60" s="319"/>
      <c r="EW60" s="319"/>
      <c r="EX60" s="319">
        <f>22.176*2</f>
        <v>44.351999999999997</v>
      </c>
      <c r="EY60" s="319">
        <f>120.96/6*3</f>
        <v>60.480000000000004</v>
      </c>
      <c r="EZ60" s="319"/>
      <c r="FA60" s="319">
        <f>10.07/1.5</f>
        <v>6.7133333333333338</v>
      </c>
      <c r="FB60" s="319"/>
      <c r="FC60" s="319"/>
      <c r="FD60" s="319">
        <f>4.032</f>
        <v>4.032</v>
      </c>
      <c r="FE60" s="319"/>
      <c r="FF60" s="319"/>
      <c r="FG60" s="319"/>
      <c r="FH60" s="319"/>
      <c r="FI60" s="319"/>
      <c r="FJ60" s="319">
        <f>10.08*5</f>
        <v>50.4</v>
      </c>
      <c r="FK60" s="319">
        <v>2.419</v>
      </c>
      <c r="FL60" s="319"/>
      <c r="FM60" s="319">
        <f>34.272</f>
        <v>34.271999999999998</v>
      </c>
      <c r="FN60" s="319"/>
      <c r="FO60" s="319"/>
      <c r="FP60" s="319"/>
      <c r="FQ60" s="319"/>
      <c r="FR60" s="319"/>
      <c r="FS60" s="319">
        <f>22.176*3</f>
        <v>66.527999999999992</v>
      </c>
      <c r="FT60" s="319"/>
      <c r="FU60" s="319"/>
      <c r="FV60" s="319"/>
      <c r="FW60" s="319"/>
      <c r="FX60" s="319"/>
      <c r="FY60" s="319"/>
      <c r="FZ60" s="319"/>
      <c r="GA60" s="158">
        <f t="shared" si="20"/>
        <v>737.91633333333334</v>
      </c>
      <c r="GB60" s="95"/>
      <c r="GC60" s="374"/>
      <c r="GD60" s="319"/>
      <c r="GE60" s="319"/>
      <c r="GF60" s="319"/>
      <c r="GG60" s="319"/>
      <c r="GH60" s="319"/>
      <c r="GI60" s="319"/>
      <c r="GJ60" s="319"/>
      <c r="GK60" s="319"/>
      <c r="GL60" s="319"/>
      <c r="GM60" s="319"/>
      <c r="GN60" s="319"/>
      <c r="GO60" s="319"/>
      <c r="GP60" s="319"/>
      <c r="GQ60" s="28"/>
      <c r="GR60" s="270"/>
      <c r="GS60" s="177"/>
      <c r="GT60" s="177"/>
      <c r="GU60" s="741"/>
      <c r="GV60" s="435"/>
      <c r="GW60" s="327">
        <f t="shared" si="21"/>
        <v>0</v>
      </c>
      <c r="GX60" s="454">
        <f t="shared" si="22"/>
        <v>977.03</v>
      </c>
      <c r="GY60" s="605">
        <f t="shared" si="23"/>
        <v>977.03</v>
      </c>
      <c r="GZ60" s="627">
        <f>'2_квартал'!G53</f>
        <v>0.5</v>
      </c>
      <c r="HA60" s="239">
        <f t="shared" si="24"/>
        <v>279.2</v>
      </c>
      <c r="HB60" s="36" t="str">
        <f t="shared" si="25"/>
        <v>Дрожжевые клетки Saccharomyces</v>
      </c>
      <c r="HC60" s="664"/>
      <c r="HD60" s="14"/>
      <c r="HE60" s="14"/>
    </row>
    <row r="61" spans="1:213" ht="15.9" customHeight="1" x14ac:dyDescent="0.3">
      <c r="A61" s="127">
        <f t="shared" ref="A61:A62" si="27">A60+1</f>
        <v>49</v>
      </c>
      <c r="B61" s="690" t="s">
        <v>155</v>
      </c>
      <c r="C61" s="565">
        <f>'2_квартал'!G63</f>
        <v>0</v>
      </c>
      <c r="D61" s="346">
        <v>20.13</v>
      </c>
      <c r="E61" s="241">
        <v>321.70999999999998</v>
      </c>
      <c r="F61" s="572">
        <v>368.93</v>
      </c>
      <c r="G61" s="299">
        <f>ROUND(AVERAGE(D61:F61),3)</f>
        <v>236.923</v>
      </c>
      <c r="H61" s="324">
        <v>678.29</v>
      </c>
      <c r="I61" s="324">
        <v>309.36</v>
      </c>
      <c r="J61" s="94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177">
        <v>14.082000000000001</v>
      </c>
      <c r="AA61" s="272"/>
      <c r="AB61" s="177"/>
      <c r="AC61" s="326">
        <v>6.048</v>
      </c>
      <c r="AD61" s="326"/>
      <c r="AE61" s="326"/>
      <c r="AF61" s="326"/>
      <c r="AG61" s="326"/>
      <c r="AH61" s="177"/>
      <c r="AI61" s="177"/>
      <c r="AJ61" s="326"/>
      <c r="AK61" s="326"/>
      <c r="AL61" s="326"/>
      <c r="AM61" s="326"/>
      <c r="AN61" s="326"/>
      <c r="AO61" s="326"/>
      <c r="AP61" s="326"/>
      <c r="AQ61" s="326"/>
      <c r="AR61" s="326"/>
      <c r="AS61" s="326"/>
      <c r="AT61" s="326"/>
      <c r="AU61" s="326"/>
      <c r="AV61" s="326"/>
      <c r="AW61" s="326"/>
      <c r="AX61" s="326"/>
      <c r="AY61" s="326"/>
      <c r="AZ61" s="326"/>
      <c r="BA61" s="326"/>
      <c r="BB61" s="326"/>
      <c r="BC61" s="326"/>
      <c r="BD61" s="326"/>
      <c r="BE61" s="326"/>
      <c r="BF61" s="326"/>
      <c r="BG61" s="319"/>
      <c r="BH61" s="319"/>
      <c r="BI61" s="319"/>
      <c r="BJ61" s="319"/>
      <c r="BK61" s="319"/>
      <c r="BL61" s="319"/>
      <c r="BM61" s="319"/>
      <c r="BN61" s="326"/>
      <c r="BO61" s="326"/>
      <c r="BP61" s="326"/>
      <c r="BQ61" s="582"/>
      <c r="BR61" s="326"/>
      <c r="BS61" s="158">
        <f>SUM(K61:BR61)</f>
        <v>20.130000000000003</v>
      </c>
      <c r="BT61" s="155"/>
      <c r="BU61" s="326"/>
      <c r="BV61" s="319"/>
      <c r="BW61" s="319"/>
      <c r="BX61" s="326"/>
      <c r="BY61" s="319"/>
      <c r="BZ61" s="319"/>
      <c r="CA61" s="319"/>
      <c r="CB61" s="319"/>
      <c r="CC61" s="319"/>
      <c r="CD61" s="319"/>
      <c r="CE61" s="319"/>
      <c r="CF61" s="319"/>
      <c r="CG61" s="319"/>
      <c r="CH61" s="319"/>
      <c r="CI61" s="319"/>
      <c r="CJ61" s="319"/>
      <c r="CK61" s="319"/>
      <c r="CL61" s="319"/>
      <c r="CM61" s="319"/>
      <c r="CN61" s="319"/>
      <c r="CO61" s="319"/>
      <c r="CP61" s="319"/>
      <c r="CQ61" s="319"/>
      <c r="CR61" s="319"/>
      <c r="CS61" s="319"/>
      <c r="CT61" s="326"/>
      <c r="CU61" s="319"/>
      <c r="CV61" s="319"/>
      <c r="CW61" s="319"/>
      <c r="CX61" s="319"/>
      <c r="CY61" s="177"/>
      <c r="CZ61" s="32"/>
      <c r="DA61" s="32"/>
      <c r="DB61" s="319"/>
      <c r="DC61" s="319"/>
      <c r="DD61" s="319">
        <v>302.39999999999998</v>
      </c>
      <c r="DE61" s="319">
        <v>19.312000000000001</v>
      </c>
      <c r="DF61" s="319"/>
      <c r="DG61" s="319"/>
      <c r="DH61" s="319"/>
      <c r="DI61" s="319"/>
      <c r="DJ61" s="319"/>
      <c r="DK61" s="319"/>
      <c r="DL61" s="319"/>
      <c r="DM61" s="319"/>
      <c r="DN61" s="319"/>
      <c r="DO61" s="319"/>
      <c r="DP61" s="319"/>
      <c r="DQ61" s="319"/>
      <c r="DR61" s="319"/>
      <c r="DS61" s="319"/>
      <c r="DT61" s="419">
        <f t="shared" si="19"/>
        <v>321.71199999999999</v>
      </c>
      <c r="DU61" s="57"/>
      <c r="DV61" s="319"/>
      <c r="DW61" s="319"/>
      <c r="DX61" s="319">
        <v>120.96</v>
      </c>
      <c r="DY61" s="319"/>
      <c r="DZ61" s="319"/>
      <c r="EA61" s="319"/>
      <c r="EB61" s="326"/>
      <c r="EC61" s="326"/>
      <c r="ED61" s="319"/>
      <c r="EE61" s="319"/>
      <c r="EF61" s="319"/>
      <c r="EG61" s="177">
        <v>241.92</v>
      </c>
      <c r="EH61" s="177"/>
      <c r="EI61" s="177"/>
      <c r="EJ61" s="319"/>
      <c r="EK61" s="319"/>
      <c r="EL61" s="319"/>
      <c r="EM61" s="319"/>
      <c r="EN61" s="319"/>
      <c r="EO61" s="319"/>
      <c r="EP61" s="319"/>
      <c r="EQ61" s="319"/>
      <c r="ER61" s="319"/>
      <c r="ES61" s="319"/>
      <c r="ET61" s="319"/>
      <c r="EU61" s="319"/>
      <c r="EV61" s="319"/>
      <c r="EW61" s="326">
        <v>6.048</v>
      </c>
      <c r="EX61" s="325"/>
      <c r="EY61" s="319"/>
      <c r="EZ61" s="319"/>
      <c r="FA61" s="319"/>
      <c r="FB61" s="319"/>
      <c r="FC61" s="319"/>
      <c r="FD61" s="319"/>
      <c r="FE61" s="319"/>
      <c r="FF61" s="319"/>
      <c r="FG61" s="319"/>
      <c r="FH61" s="319"/>
      <c r="FI61" s="319"/>
      <c r="FJ61" s="319"/>
      <c r="FK61" s="319"/>
      <c r="FL61" s="319"/>
      <c r="FM61" s="319"/>
      <c r="FN61" s="319"/>
      <c r="FO61" s="319"/>
      <c r="FP61" s="319"/>
      <c r="FQ61" s="319"/>
      <c r="FR61" s="319"/>
      <c r="FS61" s="325"/>
      <c r="FT61" s="319"/>
      <c r="FU61" s="319"/>
      <c r="FV61" s="319"/>
      <c r="FW61" s="326"/>
      <c r="FX61" s="326"/>
      <c r="FY61" s="326"/>
      <c r="FZ61" s="325"/>
      <c r="GA61" s="158">
        <f>SUM(DV61:FZ61)</f>
        <v>368.928</v>
      </c>
      <c r="GB61" s="95"/>
      <c r="GC61" s="375"/>
      <c r="GD61" s="319"/>
      <c r="GE61" s="319"/>
      <c r="GF61" s="319"/>
      <c r="GG61" s="319"/>
      <c r="GH61" s="319"/>
      <c r="GI61" s="319"/>
      <c r="GJ61" s="319"/>
      <c r="GK61" s="319"/>
      <c r="GL61" s="319"/>
      <c r="GM61" s="319"/>
      <c r="GN61" s="319"/>
      <c r="GO61" s="319"/>
      <c r="GP61" s="319"/>
      <c r="GQ61" s="182"/>
      <c r="GR61" s="270"/>
      <c r="GS61" s="177"/>
      <c r="GT61" s="177"/>
      <c r="GU61" s="271"/>
      <c r="GV61" s="435"/>
      <c r="GW61" s="327">
        <f t="shared" si="21"/>
        <v>0</v>
      </c>
      <c r="GX61" s="445">
        <f t="shared" si="22"/>
        <v>309.36</v>
      </c>
      <c r="GY61" s="605">
        <f t="shared" si="23"/>
        <v>309.36</v>
      </c>
      <c r="GZ61" s="627">
        <f>'2_квартал'!G63</f>
        <v>0</v>
      </c>
      <c r="HA61" s="239">
        <f t="shared" si="24"/>
        <v>321.70999999999998</v>
      </c>
      <c r="HB61" s="36" t="str">
        <f t="shared" si="25"/>
        <v>Корм. концентрат ЭКСТРА ФИД Ф</v>
      </c>
      <c r="HC61" s="38"/>
      <c r="HD61" s="22"/>
      <c r="HE61" s="22"/>
    </row>
    <row r="62" spans="1:213" ht="15.9" customHeight="1" x14ac:dyDescent="0.3">
      <c r="A62" s="127">
        <f t="shared" si="27"/>
        <v>50</v>
      </c>
      <c r="B62" s="698" t="s">
        <v>18</v>
      </c>
      <c r="C62" s="565">
        <f>'2_квартал'!G54</f>
        <v>321.39</v>
      </c>
      <c r="D62" s="346">
        <v>72.25</v>
      </c>
      <c r="E62" s="241">
        <v>42.03</v>
      </c>
      <c r="F62" s="572">
        <v>24.43</v>
      </c>
      <c r="G62" s="299">
        <f t="shared" si="8"/>
        <v>46.237000000000002</v>
      </c>
      <c r="H62" s="109">
        <v>40.292000000000002</v>
      </c>
      <c r="I62" s="109">
        <f>15.862+100</f>
        <v>115.86199999999999</v>
      </c>
      <c r="J62" s="112"/>
      <c r="K62" s="319">
        <f>0.015/0.3*0.6</f>
        <v>0.03</v>
      </c>
      <c r="L62" s="319"/>
      <c r="M62" s="319">
        <v>1.125</v>
      </c>
      <c r="N62" s="319">
        <f>0.405*3</f>
        <v>1.2150000000000001</v>
      </c>
      <c r="O62" s="319"/>
      <c r="P62" s="319">
        <v>0.151</v>
      </c>
      <c r="Q62" s="319"/>
      <c r="R62" s="319"/>
      <c r="S62" s="319"/>
      <c r="T62" s="319">
        <v>0.14399999999999999</v>
      </c>
      <c r="U62" s="319">
        <f>0.405*9</f>
        <v>3.6450000000000005</v>
      </c>
      <c r="V62" s="319">
        <v>0.504</v>
      </c>
      <c r="W62" s="319"/>
      <c r="X62" s="319"/>
      <c r="Y62" s="245"/>
      <c r="Z62" s="177"/>
      <c r="AA62" s="272"/>
      <c r="AB62" s="24"/>
      <c r="AC62" s="319">
        <v>0.151</v>
      </c>
      <c r="AD62" s="319">
        <v>7.5999999999999998E-2</v>
      </c>
      <c r="AE62" s="319">
        <v>0.03</v>
      </c>
      <c r="AF62" s="319">
        <v>0.35299999999999998</v>
      </c>
      <c r="AG62" s="319">
        <v>1.4999999999999999E-2</v>
      </c>
      <c r="AH62" s="177"/>
      <c r="AI62" s="177">
        <v>50.4</v>
      </c>
      <c r="AJ62" s="319">
        <f>0.151*0.8</f>
        <v>0.1208</v>
      </c>
      <c r="AK62" s="319">
        <f>0.405*1.5</f>
        <v>0.60750000000000004</v>
      </c>
      <c r="AL62" s="319">
        <f>0.151*0.6</f>
        <v>9.06E-2</v>
      </c>
      <c r="AM62" s="319">
        <f>0.405*3</f>
        <v>1.2150000000000001</v>
      </c>
      <c r="AN62" s="319">
        <f>0.488*0.9</f>
        <v>0.43919999999999998</v>
      </c>
      <c r="AO62" s="319"/>
      <c r="AP62" s="319"/>
      <c r="AQ62" s="319"/>
      <c r="AR62" s="319"/>
      <c r="AS62" s="319">
        <f>0.488*3</f>
        <v>1.464</v>
      </c>
      <c r="AT62" s="319">
        <v>0.60499999999999998</v>
      </c>
      <c r="AU62" s="319">
        <v>0.49199999999999999</v>
      </c>
      <c r="AV62" s="319">
        <f>1.621/4*2</f>
        <v>0.8105</v>
      </c>
      <c r="AW62" s="319">
        <v>0.504</v>
      </c>
      <c r="AX62" s="319">
        <v>0.151</v>
      </c>
      <c r="AY62" s="319">
        <f>1.621/4*2</f>
        <v>0.8105</v>
      </c>
      <c r="AZ62" s="319">
        <f>1.125/2.4*1.5</f>
        <v>0.703125</v>
      </c>
      <c r="BA62" s="319"/>
      <c r="BB62" s="319">
        <v>0.10100000000000001</v>
      </c>
      <c r="BC62" s="319">
        <f>1.008/2*2.4</f>
        <v>1.2096</v>
      </c>
      <c r="BD62" s="319">
        <f>0.151*2</f>
        <v>0.30199999999999999</v>
      </c>
      <c r="BE62" s="319"/>
      <c r="BF62" s="319"/>
      <c r="BG62" s="319">
        <f>4.536/1.5*0.4</f>
        <v>1.2096</v>
      </c>
      <c r="BH62" s="319"/>
      <c r="BI62" s="319"/>
      <c r="BJ62" s="319">
        <f>0.151*2</f>
        <v>0.30199999999999999</v>
      </c>
      <c r="BK62" s="319">
        <f>0.443*1.5</f>
        <v>0.66449999999999998</v>
      </c>
      <c r="BL62" s="319">
        <f>0.449*3.5</f>
        <v>1.5715000000000001</v>
      </c>
      <c r="BM62" s="319">
        <v>1.0580000000000001</v>
      </c>
      <c r="BN62" s="319"/>
      <c r="BO62" s="319"/>
      <c r="BP62" s="319"/>
      <c r="BQ62" s="460"/>
      <c r="BR62" s="319"/>
      <c r="BS62" s="158">
        <f t="shared" si="10"/>
        <v>72.270425000000017</v>
      </c>
      <c r="BT62" s="112"/>
      <c r="BU62" s="319">
        <f>1.125/2.4*2</f>
        <v>0.9375</v>
      </c>
      <c r="BV62" s="319">
        <v>0.60499999999999998</v>
      </c>
      <c r="BW62" s="319"/>
      <c r="BX62" s="319">
        <f>9.072/3*1.5</f>
        <v>4.5359999999999996</v>
      </c>
      <c r="BY62" s="319"/>
      <c r="BZ62" s="319">
        <f>0.405*3</f>
        <v>1.2150000000000001</v>
      </c>
      <c r="CA62" s="319">
        <v>0.35299999999999998</v>
      </c>
      <c r="CB62" s="319">
        <v>9.0999999999999998E-2</v>
      </c>
      <c r="CC62" s="319">
        <v>0.06</v>
      </c>
      <c r="CD62" s="319">
        <v>0.75600000000000001</v>
      </c>
      <c r="CE62" s="319">
        <v>0.28699999999999998</v>
      </c>
      <c r="CF62" s="319"/>
      <c r="CG62" s="319">
        <v>0.75600000000000001</v>
      </c>
      <c r="CH62" s="319"/>
      <c r="CI62" s="319">
        <v>0.03</v>
      </c>
      <c r="CJ62" s="319">
        <f>0.449*6</f>
        <v>2.694</v>
      </c>
      <c r="CK62" s="319">
        <v>0.30199999999999999</v>
      </c>
      <c r="CL62" s="319">
        <f>0.469*3</f>
        <v>1.407</v>
      </c>
      <c r="CM62" s="319">
        <f>0.287/0.6*0.5</f>
        <v>0.23916666666666667</v>
      </c>
      <c r="CN62" s="319">
        <v>0.151</v>
      </c>
      <c r="CO62" s="319">
        <f>2.47/5*3</f>
        <v>1.4820000000000002</v>
      </c>
      <c r="CP62" s="319">
        <f>2.47/5*2</f>
        <v>0.9880000000000001</v>
      </c>
      <c r="CQ62" s="319"/>
      <c r="CR62" s="319">
        <f>0.488*0.9</f>
        <v>0.43919999999999998</v>
      </c>
      <c r="CS62" s="319">
        <f>0.405*2</f>
        <v>0.81</v>
      </c>
      <c r="CT62" s="319">
        <f>9.072/3*1.5</f>
        <v>4.5359999999999996</v>
      </c>
      <c r="CU62" s="319"/>
      <c r="CV62" s="319"/>
      <c r="CW62" s="319"/>
      <c r="CX62" s="319">
        <f>0.449*4.2</f>
        <v>1.8858000000000001</v>
      </c>
      <c r="CY62" s="177">
        <v>4.2750000000000004</v>
      </c>
      <c r="CZ62" s="32">
        <v>0.151</v>
      </c>
      <c r="DA62" s="32">
        <v>0.151</v>
      </c>
      <c r="DB62" s="319">
        <f>0.151*0.6</f>
        <v>9.06E-2</v>
      </c>
      <c r="DC62" s="319">
        <f>0.151*0.3</f>
        <v>4.53E-2</v>
      </c>
      <c r="DD62" s="319">
        <v>1.512</v>
      </c>
      <c r="DE62" s="319">
        <v>1.21</v>
      </c>
      <c r="DF62" s="319">
        <v>1.3720000000000001</v>
      </c>
      <c r="DG62" s="319">
        <f>0.151*3.9</f>
        <v>0.58889999999999998</v>
      </c>
      <c r="DH62" s="319">
        <f>0.469*1.2</f>
        <v>0.56279999999999997</v>
      </c>
      <c r="DI62" s="319">
        <f>1.621/4*5</f>
        <v>2.0262500000000001</v>
      </c>
      <c r="DJ62" s="319">
        <f>0.492*2.5</f>
        <v>1.23</v>
      </c>
      <c r="DK62" s="319">
        <f>0.488*1.5</f>
        <v>0.73199999999999998</v>
      </c>
      <c r="DL62" s="319">
        <f>0.488</f>
        <v>0.48799999999999999</v>
      </c>
      <c r="DM62" s="319">
        <f>0.151*1.5</f>
        <v>0.22649999999999998</v>
      </c>
      <c r="DN62" s="319">
        <f>0.605/4*3</f>
        <v>0.45374999999999999</v>
      </c>
      <c r="DO62" s="319">
        <f>0.403/0.8*0.4</f>
        <v>0.20150000000000001</v>
      </c>
      <c r="DP62" s="319">
        <f>0.091/1.8*0.9</f>
        <v>4.5499999999999999E-2</v>
      </c>
      <c r="DQ62" s="319">
        <f>0.06/1.2*0.6</f>
        <v>0.03</v>
      </c>
      <c r="DR62" s="319">
        <v>1.008</v>
      </c>
      <c r="DS62" s="319">
        <v>1.0580000000000001</v>
      </c>
      <c r="DT62" s="419">
        <f t="shared" si="19"/>
        <v>42.018766666666664</v>
      </c>
      <c r="DU62" s="57"/>
      <c r="DV62" s="319">
        <v>0.60499999999999998</v>
      </c>
      <c r="DW62" s="319">
        <f>0.469*2</f>
        <v>0.93799999999999994</v>
      </c>
      <c r="DX62" s="319"/>
      <c r="DY62" s="319">
        <f>0.151*1.5</f>
        <v>0.22649999999999998</v>
      </c>
      <c r="DZ62" s="319"/>
      <c r="EA62" s="319"/>
      <c r="EB62" s="319"/>
      <c r="EC62" s="319"/>
      <c r="ED62" s="319">
        <v>0.28699999999999998</v>
      </c>
      <c r="EE62" s="319">
        <v>0.151</v>
      </c>
      <c r="EF62" s="319">
        <f>0.151*1.5</f>
        <v>0.22649999999999998</v>
      </c>
      <c r="EG62" s="177"/>
      <c r="EH62" s="177"/>
      <c r="EI62" s="177"/>
      <c r="EJ62" s="319">
        <f>0.403/0.8*0.4</f>
        <v>0.20150000000000001</v>
      </c>
      <c r="EK62" s="319">
        <f>0.06/1.2*0.6</f>
        <v>0.03</v>
      </c>
      <c r="EL62" s="319">
        <f>0.091/1.8*0.9</f>
        <v>4.5499999999999999E-2</v>
      </c>
      <c r="EM62" s="319">
        <f>0.449</f>
        <v>0.44900000000000001</v>
      </c>
      <c r="EN62" s="319">
        <f>0.151*2</f>
        <v>0.30199999999999999</v>
      </c>
      <c r="EO62" s="319">
        <f>0.151</f>
        <v>0.151</v>
      </c>
      <c r="EP62" s="319">
        <f>0.504</f>
        <v>0.504</v>
      </c>
      <c r="EQ62" s="319">
        <v>1.4999999999999999E-2</v>
      </c>
      <c r="ER62" s="319">
        <f>0.151*2.5</f>
        <v>0.3775</v>
      </c>
      <c r="ES62" s="319">
        <f>0.045/0.3*0.6</f>
        <v>0.09</v>
      </c>
      <c r="ET62" s="319">
        <v>0.22700000000000001</v>
      </c>
      <c r="EU62" s="319">
        <f>0.449*4</f>
        <v>1.796</v>
      </c>
      <c r="EV62" s="319"/>
      <c r="EW62" s="319">
        <v>0.151</v>
      </c>
      <c r="EX62" s="319">
        <f>0.405*2</f>
        <v>0.81</v>
      </c>
      <c r="EY62" s="319">
        <f>2.691/6*3</f>
        <v>1.3454999999999999</v>
      </c>
      <c r="EZ62" s="319">
        <v>2.0259999999999998</v>
      </c>
      <c r="FA62" s="319">
        <f>0.227/1.5</f>
        <v>0.15133333333333335</v>
      </c>
      <c r="FB62" s="319">
        <v>0.504</v>
      </c>
      <c r="FC62" s="319">
        <f>0.449*1.5</f>
        <v>0.67349999999999999</v>
      </c>
      <c r="FD62" s="319">
        <f>0.151</f>
        <v>0.151</v>
      </c>
      <c r="FE62" s="319">
        <f>1.406</f>
        <v>1.4059999999999999</v>
      </c>
      <c r="FF62" s="319">
        <f>0.449*0.3</f>
        <v>0.13469999999999999</v>
      </c>
      <c r="FG62" s="319"/>
      <c r="FH62" s="319">
        <v>0.85699999999999998</v>
      </c>
      <c r="FI62" s="319">
        <v>1.464</v>
      </c>
      <c r="FJ62" s="319"/>
      <c r="FK62" s="319">
        <v>9.0999999999999998E-2</v>
      </c>
      <c r="FL62" s="319">
        <f>0.81/2*2.1</f>
        <v>0.85050000000000014</v>
      </c>
      <c r="FM62" s="319">
        <v>2.4700000000000002</v>
      </c>
      <c r="FN62" s="319"/>
      <c r="FO62" s="319">
        <v>1.21</v>
      </c>
      <c r="FP62" s="319"/>
      <c r="FQ62" s="319"/>
      <c r="FR62" s="319"/>
      <c r="FS62" s="319">
        <f>0.405*3</f>
        <v>1.2150000000000001</v>
      </c>
      <c r="FT62" s="319">
        <f>0.449*1.9</f>
        <v>0.85309999999999997</v>
      </c>
      <c r="FU62" s="319">
        <f>0.469*3</f>
        <v>1.407</v>
      </c>
      <c r="FV62" s="319">
        <f>0.091/1.8*0.5</f>
        <v>2.5277777777777777E-2</v>
      </c>
      <c r="FW62" s="319"/>
      <c r="FX62" s="319"/>
      <c r="FY62" s="319"/>
      <c r="FZ62" s="319"/>
      <c r="GA62" s="158">
        <f t="shared" si="20"/>
        <v>24.418411111111112</v>
      </c>
      <c r="GB62" s="113"/>
      <c r="GC62" s="374"/>
      <c r="GD62" s="319"/>
      <c r="GE62" s="319"/>
      <c r="GF62" s="319"/>
      <c r="GG62" s="319"/>
      <c r="GH62" s="319"/>
      <c r="GI62" s="319"/>
      <c r="GJ62" s="319"/>
      <c r="GK62" s="319"/>
      <c r="GL62" s="319"/>
      <c r="GM62" s="319"/>
      <c r="GN62" s="319"/>
      <c r="GO62" s="319"/>
      <c r="GP62" s="319"/>
      <c r="GQ62" s="28"/>
      <c r="GR62" s="270"/>
      <c r="GS62" s="177"/>
      <c r="GT62" s="177"/>
      <c r="GU62" s="744"/>
      <c r="GV62" s="437"/>
      <c r="GW62" s="327">
        <f t="shared" si="21"/>
        <v>0</v>
      </c>
      <c r="GX62" s="445">
        <f t="shared" si="22"/>
        <v>115.86199999999999</v>
      </c>
      <c r="GY62" s="605">
        <f t="shared" si="23"/>
        <v>115.86199999999999</v>
      </c>
      <c r="GZ62" s="627">
        <f>'2_квартал'!G54</f>
        <v>321.39</v>
      </c>
      <c r="HA62" s="239">
        <f t="shared" si="24"/>
        <v>42.03</v>
      </c>
      <c r="HB62" s="36" t="str">
        <f t="shared" si="25"/>
        <v>Оксикап</v>
      </c>
      <c r="HC62" s="41"/>
      <c r="HD62" s="22"/>
      <c r="HE62" s="22"/>
    </row>
    <row r="63" spans="1:213" s="167" customFormat="1" ht="15.9" customHeight="1" x14ac:dyDescent="0.3">
      <c r="A63" s="369">
        <f t="shared" si="18"/>
        <v>51</v>
      </c>
      <c r="B63" s="746" t="s">
        <v>139</v>
      </c>
      <c r="C63" s="565">
        <f>'2_квартал'!G55</f>
        <v>0</v>
      </c>
      <c r="D63" s="747">
        <f>444.85+254.9</f>
        <v>699.75</v>
      </c>
      <c r="E63" s="748">
        <f>245.1+742.68</f>
        <v>987.78</v>
      </c>
      <c r="F63" s="572">
        <v>150.38999999999999</v>
      </c>
      <c r="G63" s="749">
        <f t="shared" si="8"/>
        <v>612.64</v>
      </c>
      <c r="H63" s="370">
        <v>97.32</v>
      </c>
      <c r="I63" s="370">
        <v>82.93</v>
      </c>
      <c r="J63" s="371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245"/>
      <c r="Z63" s="326">
        <v>40.322000000000003</v>
      </c>
      <c r="AA63" s="325"/>
      <c r="AB63" s="245"/>
      <c r="AC63" s="319"/>
      <c r="AD63" s="319">
        <v>37.799999999999997</v>
      </c>
      <c r="AE63" s="319">
        <v>24.192</v>
      </c>
      <c r="AF63" s="319"/>
      <c r="AG63" s="319"/>
      <c r="AH63" s="326"/>
      <c r="AI63" s="326"/>
      <c r="AJ63" s="319"/>
      <c r="AK63" s="319"/>
      <c r="AL63" s="319">
        <f>60.48*0.6</f>
        <v>36.287999999999997</v>
      </c>
      <c r="AM63" s="319"/>
      <c r="AN63" s="319"/>
      <c r="AO63" s="319"/>
      <c r="AP63" s="319"/>
      <c r="AQ63" s="319"/>
      <c r="AR63" s="319"/>
      <c r="AS63" s="319"/>
      <c r="AT63" s="319">
        <v>241.92</v>
      </c>
      <c r="AU63" s="319"/>
      <c r="AV63" s="319"/>
      <c r="AW63" s="319"/>
      <c r="AX63" s="319">
        <v>67.233999999999995</v>
      </c>
      <c r="AY63" s="319"/>
      <c r="AZ63" s="319"/>
      <c r="BA63" s="319"/>
      <c r="BB63" s="319"/>
      <c r="BC63" s="319"/>
      <c r="BD63" s="319"/>
      <c r="BE63" s="319"/>
      <c r="BF63" s="319"/>
      <c r="BG63" s="319"/>
      <c r="BH63" s="319"/>
      <c r="BI63" s="319"/>
      <c r="BJ63" s="319">
        <f>44.352*2</f>
        <v>88.703999999999994</v>
      </c>
      <c r="BK63" s="319">
        <f>108.864*1.5</f>
        <v>163.29599999999999</v>
      </c>
      <c r="BL63" s="319"/>
      <c r="BM63" s="319"/>
      <c r="BN63" s="319"/>
      <c r="BO63" s="319"/>
      <c r="BP63" s="319"/>
      <c r="BQ63" s="460"/>
      <c r="BR63" s="319"/>
      <c r="BS63" s="158">
        <f t="shared" si="10"/>
        <v>699.75599999999986</v>
      </c>
      <c r="BT63" s="371"/>
      <c r="BU63" s="319"/>
      <c r="BV63" s="319"/>
      <c r="BW63" s="319"/>
      <c r="BX63" s="319"/>
      <c r="BY63" s="319"/>
      <c r="BZ63" s="319"/>
      <c r="CA63" s="319"/>
      <c r="CB63" s="319">
        <v>45.36</v>
      </c>
      <c r="CC63" s="319">
        <v>48.384</v>
      </c>
      <c r="CD63" s="319"/>
      <c r="CE63" s="319"/>
      <c r="CF63" s="319"/>
      <c r="CG63" s="319"/>
      <c r="CH63" s="319"/>
      <c r="CI63" s="319"/>
      <c r="CJ63" s="319"/>
      <c r="CK63" s="319"/>
      <c r="CL63" s="319"/>
      <c r="CM63" s="319"/>
      <c r="CN63" s="319"/>
      <c r="CO63" s="319"/>
      <c r="CP63" s="319"/>
      <c r="CQ63" s="319"/>
      <c r="CR63" s="319"/>
      <c r="CS63" s="319"/>
      <c r="CT63" s="319"/>
      <c r="CU63" s="319"/>
      <c r="CV63" s="319"/>
      <c r="CW63" s="319"/>
      <c r="CX63" s="319"/>
      <c r="CY63" s="326"/>
      <c r="CZ63" s="319"/>
      <c r="DA63" s="319"/>
      <c r="DB63" s="319">
        <f>60.48*0.6</f>
        <v>36.287999999999997</v>
      </c>
      <c r="DC63" s="319">
        <f>60.48*0.3</f>
        <v>18.143999999999998</v>
      </c>
      <c r="DD63" s="319"/>
      <c r="DE63" s="319"/>
      <c r="DF63" s="319">
        <v>337.47800000000001</v>
      </c>
      <c r="DG63" s="319">
        <f>44.352*3.9</f>
        <v>172.97279999999998</v>
      </c>
      <c r="DH63" s="319"/>
      <c r="DI63" s="319"/>
      <c r="DJ63" s="319"/>
      <c r="DK63" s="319"/>
      <c r="DL63" s="319"/>
      <c r="DM63" s="319">
        <f>67.234*1.5</f>
        <v>100.851</v>
      </c>
      <c r="DN63" s="319">
        <f>241.92/4*3</f>
        <v>181.44</v>
      </c>
      <c r="DO63" s="319"/>
      <c r="DP63" s="319">
        <f>45.36/1.8*0.9</f>
        <v>22.68</v>
      </c>
      <c r="DQ63" s="319">
        <f>48.384/1.2*0.6</f>
        <v>24.192</v>
      </c>
      <c r="DR63" s="319"/>
      <c r="DS63" s="319"/>
      <c r="DT63" s="419">
        <f t="shared" si="19"/>
        <v>987.7897999999999</v>
      </c>
      <c r="DU63" s="372"/>
      <c r="DV63" s="319"/>
      <c r="DW63" s="319"/>
      <c r="DX63" s="319"/>
      <c r="DY63" s="319"/>
      <c r="DZ63" s="319"/>
      <c r="EA63" s="319"/>
      <c r="EB63" s="319"/>
      <c r="EC63" s="319"/>
      <c r="ED63" s="319"/>
      <c r="EE63" s="319"/>
      <c r="EF63" s="319"/>
      <c r="EG63" s="326"/>
      <c r="EH63" s="326"/>
      <c r="EI63" s="326"/>
      <c r="EJ63" s="319"/>
      <c r="EK63" s="319">
        <f>48.384/1.2*0.6</f>
        <v>24.192</v>
      </c>
      <c r="EL63" s="319">
        <f>45.36/1.8*0.9</f>
        <v>22.68</v>
      </c>
      <c r="EM63" s="319"/>
      <c r="EN63" s="319"/>
      <c r="EO63" s="319"/>
      <c r="EP63" s="319"/>
      <c r="EQ63" s="319"/>
      <c r="ER63" s="319"/>
      <c r="ES63" s="319">
        <f>18.144/0.3*0.6</f>
        <v>36.287999999999997</v>
      </c>
      <c r="ET63" s="319"/>
      <c r="EU63" s="319"/>
      <c r="EV63" s="319"/>
      <c r="EW63" s="319"/>
      <c r="EX63" s="319"/>
      <c r="EY63" s="319"/>
      <c r="EZ63" s="319"/>
      <c r="FA63" s="319">
        <f>100.85/1.5</f>
        <v>67.233333333333334</v>
      </c>
      <c r="FB63" s="319"/>
      <c r="FC63" s="319"/>
      <c r="FD63" s="787"/>
      <c r="FE63" s="319"/>
      <c r="FF63" s="319"/>
      <c r="FG63" s="319"/>
      <c r="FH63" s="319"/>
      <c r="FI63" s="319"/>
      <c r="FJ63" s="319"/>
      <c r="FK63" s="319"/>
      <c r="FL63" s="319"/>
      <c r="FM63" s="319"/>
      <c r="FN63" s="319"/>
      <c r="FO63" s="319"/>
      <c r="FP63" s="319"/>
      <c r="FQ63" s="319"/>
      <c r="FR63" s="319"/>
      <c r="FS63" s="319"/>
      <c r="FT63" s="319"/>
      <c r="FU63" s="319"/>
      <c r="FV63" s="319"/>
      <c r="FW63" s="319"/>
      <c r="FX63" s="319"/>
      <c r="FY63" s="319"/>
      <c r="FZ63" s="319"/>
      <c r="GA63" s="158">
        <f t="shared" si="20"/>
        <v>150.39333333333332</v>
      </c>
      <c r="GB63" s="373"/>
      <c r="GC63" s="374"/>
      <c r="GD63" s="319"/>
      <c r="GE63" s="319"/>
      <c r="GF63" s="319"/>
      <c r="GG63" s="319"/>
      <c r="GH63" s="319"/>
      <c r="GI63" s="319"/>
      <c r="GJ63" s="319"/>
      <c r="GK63" s="319"/>
      <c r="GL63" s="319"/>
      <c r="GM63" s="319"/>
      <c r="GN63" s="319"/>
      <c r="GO63" s="319"/>
      <c r="GP63" s="319"/>
      <c r="GQ63" s="365"/>
      <c r="GR63" s="375"/>
      <c r="GS63" s="326"/>
      <c r="GT63" s="326"/>
      <c r="GU63" s="468"/>
      <c r="GV63" s="435"/>
      <c r="GW63" s="376">
        <f t="shared" si="21"/>
        <v>0</v>
      </c>
      <c r="GX63" s="445">
        <f t="shared" si="22"/>
        <v>82.93</v>
      </c>
      <c r="GY63" s="605">
        <f t="shared" si="23"/>
        <v>82.93</v>
      </c>
      <c r="GZ63" s="627">
        <f>'2_квартал'!G55</f>
        <v>0</v>
      </c>
      <c r="HA63" s="239">
        <f t="shared" si="24"/>
        <v>987.78</v>
      </c>
      <c r="HB63" s="377" t="str">
        <f t="shared" si="25"/>
        <v>МеноМет</v>
      </c>
      <c r="HC63" s="378"/>
      <c r="HD63" s="750"/>
      <c r="HE63" s="750"/>
    </row>
    <row r="64" spans="1:213" ht="15.9" customHeight="1" x14ac:dyDescent="0.3">
      <c r="A64" s="127">
        <f t="shared" si="18"/>
        <v>52</v>
      </c>
      <c r="B64" s="691" t="s">
        <v>31</v>
      </c>
      <c r="C64" s="565">
        <f>'2_квартал'!G56</f>
        <v>3284.56</v>
      </c>
      <c r="D64" s="346">
        <f>141.73+999+24+24+100+24+24.5+24+24+24+2418.6</f>
        <v>3827.83</v>
      </c>
      <c r="E64" s="241">
        <f>406.4+24+124+72.71+149+110.21</f>
        <v>886.32</v>
      </c>
      <c r="F64" s="572">
        <f>776.29+2200+300+39.79+99+425+484.46</f>
        <v>4324.54</v>
      </c>
      <c r="G64" s="299">
        <f t="shared" si="8"/>
        <v>3012.8969999999999</v>
      </c>
      <c r="H64" s="93">
        <f>776.29+2000+200+300+39.79+99</f>
        <v>3415.08</v>
      </c>
      <c r="I64" s="93">
        <f>900+999+1000+515.54</f>
        <v>3414.54</v>
      </c>
      <c r="J64" s="94"/>
      <c r="K64" s="319"/>
      <c r="L64" s="319"/>
      <c r="M64" s="319"/>
      <c r="N64" s="319"/>
      <c r="O64" s="319"/>
      <c r="P64" s="319"/>
      <c r="Q64" s="319">
        <f>1965.6/15*7</f>
        <v>917.28</v>
      </c>
      <c r="R64" s="319">
        <f>1965.6/15*10.4</f>
        <v>1362.816</v>
      </c>
      <c r="S64" s="319">
        <f>1965.6/15*2.6</f>
        <v>340.70400000000001</v>
      </c>
      <c r="T64" s="319"/>
      <c r="U64" s="319"/>
      <c r="V64" s="319"/>
      <c r="W64" s="319"/>
      <c r="X64" s="319"/>
      <c r="Y64" s="245"/>
      <c r="Z64" s="177">
        <v>4.0339999999999998</v>
      </c>
      <c r="AA64" s="272">
        <v>252</v>
      </c>
      <c r="AB64" s="24"/>
      <c r="AC64" s="319"/>
      <c r="AD64" s="319">
        <v>60.48</v>
      </c>
      <c r="AE64" s="319">
        <v>59.875</v>
      </c>
      <c r="AF64" s="319">
        <v>64.915000000000006</v>
      </c>
      <c r="AG64" s="319"/>
      <c r="AH64" s="177">
        <v>0.33600000000000002</v>
      </c>
      <c r="AI64" s="177"/>
      <c r="AJ64" s="319"/>
      <c r="AK64" s="319"/>
      <c r="AL64" s="319"/>
      <c r="AM64" s="319"/>
      <c r="AN64" s="319"/>
      <c r="AO64" s="319"/>
      <c r="AP64" s="319">
        <f>70.56*5</f>
        <v>352.8</v>
      </c>
      <c r="AQ64" s="319"/>
      <c r="AR64" s="319"/>
      <c r="AS64" s="319"/>
      <c r="AT64" s="319">
        <v>100.8</v>
      </c>
      <c r="AU64" s="319"/>
      <c r="AV64" s="319"/>
      <c r="AW64" s="319"/>
      <c r="AX64" s="319">
        <v>33.566000000000003</v>
      </c>
      <c r="AY64" s="319"/>
      <c r="AZ64" s="319"/>
      <c r="BA64" s="319">
        <v>36.287999999999997</v>
      </c>
      <c r="BB64" s="319"/>
      <c r="BC64" s="319">
        <f>4.032/2*2.4</f>
        <v>4.8384</v>
      </c>
      <c r="BD64" s="319"/>
      <c r="BE64" s="319"/>
      <c r="BF64" s="319"/>
      <c r="BG64" s="319">
        <f>19.656/1.5*0.4</f>
        <v>5.2416</v>
      </c>
      <c r="BH64" s="319">
        <f>13.44*0.6</f>
        <v>8.0640000000000001</v>
      </c>
      <c r="BI64" s="319">
        <f>20.16*0.6</f>
        <v>12.096</v>
      </c>
      <c r="BJ64" s="319"/>
      <c r="BK64" s="319"/>
      <c r="BL64" s="319"/>
      <c r="BM64" s="319">
        <v>211.68</v>
      </c>
      <c r="BN64" s="319"/>
      <c r="BO64" s="319"/>
      <c r="BP64" s="319"/>
      <c r="BQ64" s="460"/>
      <c r="BR64" s="319"/>
      <c r="BS64" s="158">
        <f t="shared" si="10"/>
        <v>3827.8139999999999</v>
      </c>
      <c r="BT64" s="94"/>
      <c r="BU64" s="319"/>
      <c r="BV64" s="319"/>
      <c r="BW64" s="319">
        <f>0.203/3*1.5</f>
        <v>0.10150000000000001</v>
      </c>
      <c r="BX64" s="319">
        <f>1.512/3*1.5</f>
        <v>0.75600000000000001</v>
      </c>
      <c r="BY64" s="319">
        <f>2.689/4*2</f>
        <v>1.3445</v>
      </c>
      <c r="BZ64" s="319"/>
      <c r="CA64" s="319">
        <v>64.915000000000006</v>
      </c>
      <c r="CB64" s="319">
        <v>72.575999999999993</v>
      </c>
      <c r="CC64" s="319">
        <v>119.75</v>
      </c>
      <c r="CD64" s="319"/>
      <c r="CE64" s="319"/>
      <c r="CF64" s="319"/>
      <c r="CG64" s="319">
        <f>0.756</f>
        <v>0.75600000000000001</v>
      </c>
      <c r="CH64" s="319"/>
      <c r="CI64" s="319">
        <v>12.096</v>
      </c>
      <c r="CJ64" s="319"/>
      <c r="CK64" s="319">
        <v>40.32</v>
      </c>
      <c r="CL64" s="319"/>
      <c r="CM64" s="319"/>
      <c r="CN64" s="319"/>
      <c r="CO64" s="319"/>
      <c r="CP64" s="319"/>
      <c r="CQ64" s="319"/>
      <c r="CR64" s="319"/>
      <c r="CS64" s="319"/>
      <c r="CT64" s="319">
        <f>1.512/3*1.5</f>
        <v>0.75600000000000001</v>
      </c>
      <c r="CU64" s="319">
        <f>0.203/3*1.5</f>
        <v>0.10150000000000001</v>
      </c>
      <c r="CV64" s="319">
        <f>2.689/4*2</f>
        <v>1.3445</v>
      </c>
      <c r="CW64" s="319"/>
      <c r="CX64" s="319"/>
      <c r="CY64" s="177"/>
      <c r="CZ64" s="32">
        <v>40.32</v>
      </c>
      <c r="DA64" s="32">
        <v>40.32</v>
      </c>
      <c r="DB64" s="319"/>
      <c r="DC64" s="319"/>
      <c r="DD64" s="319">
        <v>15.12</v>
      </c>
      <c r="DE64" s="319">
        <v>4.8380000000000001</v>
      </c>
      <c r="DF64" s="319"/>
      <c r="DG64" s="319"/>
      <c r="DH64" s="319"/>
      <c r="DI64" s="319"/>
      <c r="DJ64" s="319"/>
      <c r="DK64" s="319"/>
      <c r="DL64" s="319"/>
      <c r="DM64" s="319">
        <f>33.566*1.5</f>
        <v>50.349000000000004</v>
      </c>
      <c r="DN64" s="319">
        <f>100.8/4*3</f>
        <v>75.599999999999994</v>
      </c>
      <c r="DO64" s="319">
        <f>74.189/0.8*0.4</f>
        <v>37.094499999999996</v>
      </c>
      <c r="DP64" s="319">
        <f>72.576/1.8*0.9</f>
        <v>36.287999999999997</v>
      </c>
      <c r="DQ64" s="319">
        <f>119.75/1.2*0.6</f>
        <v>59.875</v>
      </c>
      <c r="DR64" s="319"/>
      <c r="DS64" s="319">
        <v>211.68</v>
      </c>
      <c r="DT64" s="419">
        <f t="shared" si="19"/>
        <v>886.30150000000003</v>
      </c>
      <c r="DU64" s="57"/>
      <c r="DV64" s="319"/>
      <c r="DW64" s="319"/>
      <c r="DX64" s="319">
        <v>1.21</v>
      </c>
      <c r="DY64" s="319"/>
      <c r="DZ64" s="319">
        <f>70.56*3</f>
        <v>211.68</v>
      </c>
      <c r="EA64" s="319"/>
      <c r="EB64" s="319">
        <f>3427.2/20*10</f>
        <v>1713.6</v>
      </c>
      <c r="EC64" s="319">
        <f>3427.2/20*10</f>
        <v>1713.6</v>
      </c>
      <c r="ED64" s="319"/>
      <c r="EE64" s="319">
        <v>40.32</v>
      </c>
      <c r="EF64" s="319">
        <f>40.32*1.5</f>
        <v>60.480000000000004</v>
      </c>
      <c r="EG64" s="177">
        <v>0.04</v>
      </c>
      <c r="EH64" s="177">
        <f>0.06/12*8</f>
        <v>0.04</v>
      </c>
      <c r="EI64" s="177">
        <f>0.06/12*4</f>
        <v>0.02</v>
      </c>
      <c r="EJ64" s="319">
        <f>74.189/0.8*0.4</f>
        <v>37.094499999999996</v>
      </c>
      <c r="EK64" s="319">
        <f>119.75/1.2*0.6</f>
        <v>59.875</v>
      </c>
      <c r="EL64" s="319">
        <f>72.576/1.8*0.9</f>
        <v>36.287999999999997</v>
      </c>
      <c r="EM64" s="319"/>
      <c r="EN64" s="319"/>
      <c r="EO64" s="319"/>
      <c r="EP64" s="319"/>
      <c r="EQ64" s="319"/>
      <c r="ER64" s="319"/>
      <c r="ES64" s="319"/>
      <c r="ET64" s="319"/>
      <c r="EU64" s="319"/>
      <c r="EV64" s="319">
        <v>15.12</v>
      </c>
      <c r="EW64" s="319"/>
      <c r="EX64" s="319"/>
      <c r="EY64" s="319"/>
      <c r="EZ64" s="319"/>
      <c r="FA64" s="319">
        <f>50.35/1.5</f>
        <v>33.56666666666667</v>
      </c>
      <c r="FB64" s="319">
        <v>5.04</v>
      </c>
      <c r="FC64" s="319"/>
      <c r="FD64" s="326"/>
      <c r="FE64" s="319"/>
      <c r="FF64" s="319"/>
      <c r="FG64" s="319"/>
      <c r="FH64" s="319">
        <v>3.427</v>
      </c>
      <c r="FI64" s="319"/>
      <c r="FJ64" s="319">
        <f>70.56*5</f>
        <v>352.8</v>
      </c>
      <c r="FK64" s="319"/>
      <c r="FL64" s="319"/>
      <c r="FM64" s="319"/>
      <c r="FN64" s="319"/>
      <c r="FO64" s="319">
        <v>16.128</v>
      </c>
      <c r="FP64" s="319">
        <v>2.016</v>
      </c>
      <c r="FQ64" s="319">
        <v>2.016</v>
      </c>
      <c r="FR64" s="319"/>
      <c r="FS64" s="319"/>
      <c r="FT64" s="319"/>
      <c r="FU64" s="319"/>
      <c r="FV64" s="319">
        <f>72.576/1.8*0.5</f>
        <v>20.159999999999997</v>
      </c>
      <c r="FW64" s="319"/>
      <c r="FX64" s="319"/>
      <c r="FY64" s="319"/>
      <c r="FZ64" s="319"/>
      <c r="GA64" s="158">
        <f t="shared" si="20"/>
        <v>4324.5211666666655</v>
      </c>
      <c r="GB64" s="95"/>
      <c r="GC64" s="374"/>
      <c r="GD64" s="319"/>
      <c r="GE64" s="319"/>
      <c r="GF64" s="319"/>
      <c r="GG64" s="319"/>
      <c r="GH64" s="319"/>
      <c r="GI64" s="319"/>
      <c r="GJ64" s="319"/>
      <c r="GK64" s="319"/>
      <c r="GL64" s="319"/>
      <c r="GM64" s="319"/>
      <c r="GN64" s="319"/>
      <c r="GO64" s="319"/>
      <c r="GP64" s="319"/>
      <c r="GQ64" s="28"/>
      <c r="GR64" s="270"/>
      <c r="GS64" s="177"/>
      <c r="GT64" s="177"/>
      <c r="GU64" s="741"/>
      <c r="GV64" s="435"/>
      <c r="GW64" s="327">
        <f t="shared" si="21"/>
        <v>0</v>
      </c>
      <c r="GX64" s="454">
        <f t="shared" si="22"/>
        <v>3414.54</v>
      </c>
      <c r="GY64" s="605">
        <f t="shared" si="23"/>
        <v>3414.54</v>
      </c>
      <c r="GZ64" s="627">
        <f>'2_квартал'!G56</f>
        <v>3284.56</v>
      </c>
      <c r="HA64" s="239">
        <f t="shared" si="24"/>
        <v>886.32</v>
      </c>
      <c r="HB64" s="36" t="str">
        <f t="shared" si="25"/>
        <v>Микосорб</v>
      </c>
      <c r="HC64" s="664"/>
      <c r="HD64" s="22"/>
      <c r="HE64" s="22"/>
    </row>
    <row r="65" spans="1:213" ht="15.9" customHeight="1" x14ac:dyDescent="0.3">
      <c r="A65" s="127">
        <f t="shared" si="18"/>
        <v>53</v>
      </c>
      <c r="B65" s="699" t="s">
        <v>41</v>
      </c>
      <c r="C65" s="565">
        <f>'2_квартал'!G57</f>
        <v>5066.5050000000001</v>
      </c>
      <c r="D65" s="346">
        <f>801.8+1480+4445.6</f>
        <v>6727.4000000000005</v>
      </c>
      <c r="E65" s="241">
        <v>3314.94</v>
      </c>
      <c r="F65" s="572">
        <v>3783.32</v>
      </c>
      <c r="G65" s="299">
        <f t="shared" si="8"/>
        <v>4608.5529999999999</v>
      </c>
      <c r="H65" s="93">
        <v>7239.46</v>
      </c>
      <c r="I65" s="93">
        <v>3456.14</v>
      </c>
      <c r="J65" s="112"/>
      <c r="K65" s="319">
        <f>6.615/0.3*0.6</f>
        <v>13.23</v>
      </c>
      <c r="L65" s="319"/>
      <c r="M65" s="319"/>
      <c r="N65" s="319">
        <f>131.04*3</f>
        <v>393.12</v>
      </c>
      <c r="O65" s="319">
        <v>1008</v>
      </c>
      <c r="P65" s="319"/>
      <c r="Q65" s="319"/>
      <c r="R65" s="319"/>
      <c r="S65" s="319"/>
      <c r="T65" s="319"/>
      <c r="U65" s="319">
        <f>131.04*9</f>
        <v>1179.3599999999999</v>
      </c>
      <c r="V65" s="319"/>
      <c r="W65" s="319"/>
      <c r="X65" s="319"/>
      <c r="Y65" s="245"/>
      <c r="Z65" s="177"/>
      <c r="AA65" s="272"/>
      <c r="AB65" s="24"/>
      <c r="AC65" s="319"/>
      <c r="AD65" s="319">
        <v>33.075000000000003</v>
      </c>
      <c r="AE65" s="319"/>
      <c r="AF65" s="319"/>
      <c r="AG65" s="319">
        <v>6.6150000000000002</v>
      </c>
      <c r="AH65" s="177"/>
      <c r="AI65" s="177"/>
      <c r="AJ65" s="319">
        <f>24.192*0.8</f>
        <v>19.3536</v>
      </c>
      <c r="AK65" s="319">
        <f>131.04*1.5</f>
        <v>196.56</v>
      </c>
      <c r="AL65" s="319">
        <f>24.192*0.6</f>
        <v>14.5152</v>
      </c>
      <c r="AM65" s="319">
        <f>131.04*3</f>
        <v>393.12</v>
      </c>
      <c r="AN65" s="319"/>
      <c r="AO65" s="319">
        <v>2016</v>
      </c>
      <c r="AP65" s="319"/>
      <c r="AQ65" s="319"/>
      <c r="AR65" s="319"/>
      <c r="AS65" s="319"/>
      <c r="AT65" s="319">
        <v>96.768000000000001</v>
      </c>
      <c r="AU65" s="319"/>
      <c r="AV65" s="319">
        <f>524.16/4*2</f>
        <v>262.08</v>
      </c>
      <c r="AW65" s="319"/>
      <c r="AX65" s="319"/>
      <c r="AY65" s="319">
        <f>524.16/4*2</f>
        <v>262.08</v>
      </c>
      <c r="AZ65" s="319"/>
      <c r="BA65" s="319"/>
      <c r="BB65" s="319"/>
      <c r="BC65" s="319"/>
      <c r="BD65" s="319">
        <f>24.192*2</f>
        <v>48.384</v>
      </c>
      <c r="BE65" s="319"/>
      <c r="BF65" s="319"/>
      <c r="BG65" s="319"/>
      <c r="BH65" s="319"/>
      <c r="BI65" s="319"/>
      <c r="BJ65" s="319"/>
      <c r="BK65" s="319">
        <f>102.413*1.5</f>
        <v>153.61949999999999</v>
      </c>
      <c r="BL65" s="319">
        <f>132.048*3.5</f>
        <v>462.16800000000001</v>
      </c>
      <c r="BM65" s="319">
        <v>169.34399999999999</v>
      </c>
      <c r="BN65" s="319"/>
      <c r="BO65" s="319"/>
      <c r="BP65" s="319"/>
      <c r="BQ65" s="460"/>
      <c r="BR65" s="319"/>
      <c r="BS65" s="158">
        <f t="shared" si="10"/>
        <v>6727.3922999999986</v>
      </c>
      <c r="BT65" s="112"/>
      <c r="BU65" s="319"/>
      <c r="BV65" s="319"/>
      <c r="BW65" s="319"/>
      <c r="BX65" s="319"/>
      <c r="BY65" s="319"/>
      <c r="BZ65" s="319">
        <f>131.04*3</f>
        <v>393.12</v>
      </c>
      <c r="CA65" s="319"/>
      <c r="CB65" s="319">
        <v>39.69</v>
      </c>
      <c r="CC65" s="319"/>
      <c r="CD65" s="319"/>
      <c r="CE65" s="319"/>
      <c r="CF65" s="319"/>
      <c r="CG65" s="319"/>
      <c r="CH65" s="319"/>
      <c r="CI65" s="319"/>
      <c r="CJ65" s="319">
        <f>132.048*6</f>
        <v>792.28800000000001</v>
      </c>
      <c r="CK65" s="319"/>
      <c r="CL65" s="319"/>
      <c r="CM65" s="319"/>
      <c r="CN65" s="319"/>
      <c r="CO65" s="319"/>
      <c r="CP65" s="319"/>
      <c r="CQ65" s="319"/>
      <c r="CR65" s="319"/>
      <c r="CS65" s="319">
        <f>131.04*2</f>
        <v>262.08</v>
      </c>
      <c r="CT65" s="319"/>
      <c r="CU65" s="319"/>
      <c r="CV65" s="319"/>
      <c r="CW65" s="319"/>
      <c r="CX65" s="319">
        <f>132.048*4.2</f>
        <v>554.60160000000008</v>
      </c>
      <c r="CY65" s="177"/>
      <c r="CZ65" s="32"/>
      <c r="DA65" s="32">
        <v>24.192</v>
      </c>
      <c r="DB65" s="319">
        <f>24.192*0.6</f>
        <v>14.5152</v>
      </c>
      <c r="DC65" s="319"/>
      <c r="DD65" s="319"/>
      <c r="DE65" s="319"/>
      <c r="DF65" s="319">
        <v>317.48</v>
      </c>
      <c r="DG65" s="319"/>
      <c r="DH65" s="319"/>
      <c r="DI65" s="319">
        <f>524.16/4*5</f>
        <v>655.19999999999993</v>
      </c>
      <c r="DJ65" s="319"/>
      <c r="DK65" s="319"/>
      <c r="DL65" s="319"/>
      <c r="DM65" s="319"/>
      <c r="DN65" s="319">
        <f>96.768/4*3</f>
        <v>72.575999999999993</v>
      </c>
      <c r="DO65" s="319"/>
      <c r="DP65" s="319">
        <f>39.69/1.8*0.9</f>
        <v>19.844999999999999</v>
      </c>
      <c r="DQ65" s="319"/>
      <c r="DR65" s="319"/>
      <c r="DS65" s="319">
        <v>169.34399999999999</v>
      </c>
      <c r="DT65" s="419">
        <f t="shared" si="19"/>
        <v>3314.9317999999994</v>
      </c>
      <c r="DU65" s="57"/>
      <c r="DV65" s="319"/>
      <c r="DW65" s="319"/>
      <c r="DX65" s="319"/>
      <c r="DY65" s="319"/>
      <c r="DZ65" s="319"/>
      <c r="EA65" s="319"/>
      <c r="EB65" s="319"/>
      <c r="EC65" s="319"/>
      <c r="ED65" s="319"/>
      <c r="EE65" s="319"/>
      <c r="EF65" s="319">
        <f>24.192*1.5</f>
        <v>36.287999999999997</v>
      </c>
      <c r="EG65" s="177"/>
      <c r="EH65" s="177"/>
      <c r="EI65" s="177"/>
      <c r="EJ65" s="319"/>
      <c r="EK65" s="319"/>
      <c r="EL65" s="319">
        <f>39.69/1.8*0.9</f>
        <v>19.844999999999999</v>
      </c>
      <c r="EM65" s="319">
        <f>132.048</f>
        <v>132.048</v>
      </c>
      <c r="EN65" s="319"/>
      <c r="EO65" s="319">
        <f>24.192</f>
        <v>24.192</v>
      </c>
      <c r="EP65" s="319"/>
      <c r="EQ65" s="319">
        <v>6.6150000000000002</v>
      </c>
      <c r="ER65" s="319"/>
      <c r="ES65" s="319"/>
      <c r="ET65" s="319">
        <v>36.287999999999997</v>
      </c>
      <c r="EU65" s="319">
        <f>132.048*4</f>
        <v>528.19200000000001</v>
      </c>
      <c r="EV65" s="319"/>
      <c r="EW65" s="319"/>
      <c r="EX65" s="319">
        <f>131.04*2</f>
        <v>262.08</v>
      </c>
      <c r="EY65" s="319">
        <f>792.288/6*3</f>
        <v>396.14400000000001</v>
      </c>
      <c r="EZ65" s="319">
        <v>655.20000000000005</v>
      </c>
      <c r="FA65" s="319"/>
      <c r="FB65" s="319"/>
      <c r="FC65" s="319">
        <f>132.048*1.5</f>
        <v>198.072</v>
      </c>
      <c r="FD65" s="319"/>
      <c r="FE65" s="319"/>
      <c r="FF65" s="319">
        <f>132.048*0.3</f>
        <v>39.614399999999996</v>
      </c>
      <c r="FG65" s="319"/>
      <c r="FH65" s="319"/>
      <c r="FI65" s="319"/>
      <c r="FJ65" s="319">
        <f>100.8*5</f>
        <v>504</v>
      </c>
      <c r="FK65" s="319">
        <v>14.515000000000001</v>
      </c>
      <c r="FL65" s="319">
        <f>262.08/2*2.1</f>
        <v>275.18399999999997</v>
      </c>
      <c r="FM65" s="319"/>
      <c r="FN65" s="319"/>
      <c r="FO65" s="319"/>
      <c r="FP65" s="319"/>
      <c r="FQ65" s="319"/>
      <c r="FR65" s="319"/>
      <c r="FS65" s="319">
        <f>131.04*3</f>
        <v>393.12</v>
      </c>
      <c r="FT65" s="319">
        <f>132.048*1.9</f>
        <v>250.8912</v>
      </c>
      <c r="FU65" s="319"/>
      <c r="FV65" s="319">
        <f>39.69/1.8*0.5</f>
        <v>11.024999999999999</v>
      </c>
      <c r="FW65" s="319"/>
      <c r="FX65" s="319"/>
      <c r="FY65" s="319"/>
      <c r="FZ65" s="319"/>
      <c r="GA65" s="158">
        <f t="shared" si="20"/>
        <v>3783.3136</v>
      </c>
      <c r="GB65" s="113"/>
      <c r="GC65" s="374"/>
      <c r="GD65" s="319"/>
      <c r="GE65" s="319"/>
      <c r="GF65" s="319"/>
      <c r="GG65" s="319"/>
      <c r="GH65" s="319"/>
      <c r="GI65" s="319"/>
      <c r="GJ65" s="319"/>
      <c r="GK65" s="319"/>
      <c r="GL65" s="319"/>
      <c r="GM65" s="319"/>
      <c r="GN65" s="319"/>
      <c r="GO65" s="319"/>
      <c r="GP65" s="319"/>
      <c r="GQ65" s="28"/>
      <c r="GR65" s="270"/>
      <c r="GS65" s="177"/>
      <c r="GT65" s="177"/>
      <c r="GU65" s="741"/>
      <c r="GV65" s="435"/>
      <c r="GW65" s="327">
        <f t="shared" si="21"/>
        <v>0</v>
      </c>
      <c r="GX65" s="558">
        <f t="shared" si="22"/>
        <v>3456.14</v>
      </c>
      <c r="GY65" s="605">
        <f t="shared" si="23"/>
        <v>3456.14</v>
      </c>
      <c r="GZ65" s="627">
        <f>'2_квартал'!G57</f>
        <v>5066.5050000000001</v>
      </c>
      <c r="HA65" s="239">
        <f t="shared" si="24"/>
        <v>3314.94</v>
      </c>
      <c r="HB65" s="36" t="str">
        <f t="shared" si="25"/>
        <v>МЕГАсодиум</v>
      </c>
      <c r="HC65" s="38"/>
      <c r="HD65" s="14"/>
      <c r="HE65" s="14"/>
    </row>
    <row r="66" spans="1:213" ht="15.9" customHeight="1" x14ac:dyDescent="0.3">
      <c r="A66" s="132">
        <f>A65+1</f>
        <v>54</v>
      </c>
      <c r="B66" s="694" t="s">
        <v>20</v>
      </c>
      <c r="C66" s="565">
        <f>'2_квартал'!G58</f>
        <v>2.44</v>
      </c>
      <c r="D66" s="346">
        <v>0</v>
      </c>
      <c r="E66" s="241">
        <v>0</v>
      </c>
      <c r="F66" s="572">
        <v>0</v>
      </c>
      <c r="G66" s="299">
        <f t="shared" si="8"/>
        <v>0</v>
      </c>
      <c r="H66" s="93">
        <v>0</v>
      </c>
      <c r="I66" s="93">
        <v>0</v>
      </c>
      <c r="J66" s="94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245"/>
      <c r="Z66" s="177"/>
      <c r="AA66" s="272"/>
      <c r="AB66" s="24"/>
      <c r="AC66" s="319"/>
      <c r="AD66" s="319"/>
      <c r="AE66" s="319"/>
      <c r="AF66" s="319"/>
      <c r="AG66" s="319"/>
      <c r="AH66" s="177"/>
      <c r="AI66" s="177"/>
      <c r="AJ66" s="319"/>
      <c r="AK66" s="319"/>
      <c r="AL66" s="319"/>
      <c r="AM66" s="319"/>
      <c r="AN66" s="319"/>
      <c r="AO66" s="319"/>
      <c r="AP66" s="319"/>
      <c r="AQ66" s="319"/>
      <c r="AR66" s="319"/>
      <c r="AS66" s="319"/>
      <c r="AT66" s="319"/>
      <c r="AU66" s="319"/>
      <c r="AV66" s="319"/>
      <c r="AW66" s="319"/>
      <c r="AX66" s="319"/>
      <c r="AY66" s="319"/>
      <c r="AZ66" s="319"/>
      <c r="BA66" s="319"/>
      <c r="BB66" s="319"/>
      <c r="BC66" s="319"/>
      <c r="BD66" s="319"/>
      <c r="BE66" s="319"/>
      <c r="BF66" s="319"/>
      <c r="BG66" s="319"/>
      <c r="BH66" s="319"/>
      <c r="BI66" s="319"/>
      <c r="BJ66" s="319"/>
      <c r="BK66" s="319"/>
      <c r="BL66" s="319"/>
      <c r="BM66" s="319"/>
      <c r="BN66" s="319"/>
      <c r="BO66" s="319"/>
      <c r="BP66" s="319"/>
      <c r="BQ66" s="460"/>
      <c r="BR66" s="319"/>
      <c r="BS66" s="158">
        <f t="shared" si="10"/>
        <v>0</v>
      </c>
      <c r="BT66" s="94"/>
      <c r="BU66" s="319"/>
      <c r="BV66" s="319"/>
      <c r="BW66" s="319"/>
      <c r="BX66" s="319"/>
      <c r="BY66" s="319"/>
      <c r="BZ66" s="319"/>
      <c r="CA66" s="319"/>
      <c r="CB66" s="319"/>
      <c r="CC66" s="319"/>
      <c r="CD66" s="319"/>
      <c r="CE66" s="319"/>
      <c r="CF66" s="319"/>
      <c r="CG66" s="319"/>
      <c r="CH66" s="319"/>
      <c r="CI66" s="319"/>
      <c r="CJ66" s="319"/>
      <c r="CK66" s="319"/>
      <c r="CL66" s="319"/>
      <c r="CM66" s="319"/>
      <c r="CN66" s="319"/>
      <c r="CO66" s="319"/>
      <c r="CP66" s="319"/>
      <c r="CQ66" s="319"/>
      <c r="CR66" s="319"/>
      <c r="CS66" s="319"/>
      <c r="CT66" s="319"/>
      <c r="CU66" s="319"/>
      <c r="CV66" s="319"/>
      <c r="CW66" s="319"/>
      <c r="CX66" s="319"/>
      <c r="CY66" s="177"/>
      <c r="CZ66" s="32"/>
      <c r="DA66" s="32"/>
      <c r="DB66" s="319"/>
      <c r="DC66" s="319"/>
      <c r="DD66" s="319"/>
      <c r="DE66" s="319"/>
      <c r="DF66" s="319"/>
      <c r="DG66" s="319"/>
      <c r="DH66" s="319"/>
      <c r="DI66" s="319"/>
      <c r="DJ66" s="319"/>
      <c r="DK66" s="319"/>
      <c r="DL66" s="319"/>
      <c r="DM66" s="319"/>
      <c r="DN66" s="319"/>
      <c r="DO66" s="319"/>
      <c r="DP66" s="319"/>
      <c r="DQ66" s="319"/>
      <c r="DR66" s="319"/>
      <c r="DS66" s="319"/>
      <c r="DT66" s="419">
        <f t="shared" si="19"/>
        <v>0</v>
      </c>
      <c r="DU66" s="57"/>
      <c r="DV66" s="319"/>
      <c r="DW66" s="319"/>
      <c r="DX66" s="319"/>
      <c r="DY66" s="319"/>
      <c r="DZ66" s="319"/>
      <c r="EA66" s="319"/>
      <c r="EB66" s="319"/>
      <c r="EC66" s="319"/>
      <c r="ED66" s="319"/>
      <c r="EE66" s="319"/>
      <c r="EF66" s="319"/>
      <c r="EG66" s="177"/>
      <c r="EH66" s="177"/>
      <c r="EI66" s="177"/>
      <c r="EJ66" s="319"/>
      <c r="EK66" s="319"/>
      <c r="EL66" s="319"/>
      <c r="EM66" s="319"/>
      <c r="EN66" s="319"/>
      <c r="EO66" s="319"/>
      <c r="EP66" s="319"/>
      <c r="EQ66" s="319"/>
      <c r="ER66" s="319"/>
      <c r="ES66" s="319"/>
      <c r="ET66" s="319"/>
      <c r="EU66" s="319"/>
      <c r="EV66" s="319"/>
      <c r="EW66" s="319"/>
      <c r="EX66" s="319"/>
      <c r="EY66" s="319"/>
      <c r="EZ66" s="319"/>
      <c r="FA66" s="319"/>
      <c r="FB66" s="319"/>
      <c r="FC66" s="319"/>
      <c r="FD66" s="319"/>
      <c r="FE66" s="319"/>
      <c r="FF66" s="319"/>
      <c r="FG66" s="319"/>
      <c r="FH66" s="319"/>
      <c r="FI66" s="319"/>
      <c r="FJ66" s="319"/>
      <c r="FK66" s="319"/>
      <c r="FL66" s="319"/>
      <c r="FM66" s="319"/>
      <c r="FN66" s="319"/>
      <c r="FO66" s="319"/>
      <c r="FP66" s="319"/>
      <c r="FQ66" s="319"/>
      <c r="FR66" s="319"/>
      <c r="FS66" s="319"/>
      <c r="FT66" s="319"/>
      <c r="FU66" s="319"/>
      <c r="FV66" s="319"/>
      <c r="FW66" s="319"/>
      <c r="FX66" s="319"/>
      <c r="FY66" s="319"/>
      <c r="FZ66" s="319"/>
      <c r="GA66" s="158">
        <f t="shared" si="20"/>
        <v>0</v>
      </c>
      <c r="GB66" s="95"/>
      <c r="GC66" s="374"/>
      <c r="GD66" s="319"/>
      <c r="GE66" s="319"/>
      <c r="GF66" s="319"/>
      <c r="GG66" s="319"/>
      <c r="GH66" s="319"/>
      <c r="GI66" s="319"/>
      <c r="GJ66" s="319"/>
      <c r="GK66" s="319"/>
      <c r="GL66" s="319"/>
      <c r="GM66" s="319"/>
      <c r="GN66" s="319"/>
      <c r="GO66" s="319"/>
      <c r="GP66" s="319"/>
      <c r="GQ66" s="28"/>
      <c r="GR66" s="270"/>
      <c r="GS66" s="177"/>
      <c r="GT66" s="177"/>
      <c r="GU66" s="741"/>
      <c r="GV66" s="435"/>
      <c r="GW66" s="327">
        <f t="shared" si="21"/>
        <v>0</v>
      </c>
      <c r="GX66" s="445">
        <f t="shared" si="22"/>
        <v>0</v>
      </c>
      <c r="GY66" s="605">
        <f t="shared" si="23"/>
        <v>0</v>
      </c>
      <c r="GZ66" s="627">
        <f>'2_квартал'!G58</f>
        <v>2.44</v>
      </c>
      <c r="HA66" s="239">
        <f t="shared" si="24"/>
        <v>0</v>
      </c>
      <c r="HB66" s="36" t="str">
        <f t="shared" si="25"/>
        <v>Меносвит</v>
      </c>
      <c r="HC66" s="38"/>
      <c r="HD66" s="22"/>
      <c r="HE66" s="22"/>
    </row>
    <row r="67" spans="1:213" ht="15.9" customHeight="1" x14ac:dyDescent="0.3">
      <c r="A67" s="132">
        <f>A66+1</f>
        <v>55</v>
      </c>
      <c r="B67" s="690" t="s">
        <v>122</v>
      </c>
      <c r="C67" s="565" t="e">
        <f>'2_квартал'!#REF!</f>
        <v>#REF!</v>
      </c>
      <c r="D67" s="346">
        <v>0</v>
      </c>
      <c r="E67" s="241">
        <v>0</v>
      </c>
      <c r="F67" s="572">
        <v>0</v>
      </c>
      <c r="G67" s="299">
        <f t="shared" si="8"/>
        <v>0</v>
      </c>
      <c r="H67" s="93">
        <v>0</v>
      </c>
      <c r="I67" s="93">
        <v>0</v>
      </c>
      <c r="J67" s="112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245"/>
      <c r="Z67" s="177"/>
      <c r="AA67" s="272"/>
      <c r="AB67" s="24"/>
      <c r="AC67" s="319"/>
      <c r="AD67" s="319"/>
      <c r="AE67" s="319"/>
      <c r="AF67" s="319"/>
      <c r="AG67" s="319"/>
      <c r="AH67" s="177"/>
      <c r="AI67" s="177"/>
      <c r="AJ67" s="319"/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  <c r="BE67" s="319"/>
      <c r="BF67" s="319"/>
      <c r="BG67" s="319"/>
      <c r="BH67" s="319"/>
      <c r="BI67" s="319"/>
      <c r="BJ67" s="319"/>
      <c r="BK67" s="319"/>
      <c r="BL67" s="319"/>
      <c r="BM67" s="319"/>
      <c r="BN67" s="319"/>
      <c r="BO67" s="319"/>
      <c r="BP67" s="319"/>
      <c r="BQ67" s="460"/>
      <c r="BR67" s="319"/>
      <c r="BS67" s="158">
        <f t="shared" si="10"/>
        <v>0</v>
      </c>
      <c r="BT67" s="112"/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19"/>
      <c r="CR67" s="319"/>
      <c r="CS67" s="319"/>
      <c r="CT67" s="319"/>
      <c r="CU67" s="319"/>
      <c r="CV67" s="319"/>
      <c r="CW67" s="319"/>
      <c r="CX67" s="319"/>
      <c r="CY67" s="177"/>
      <c r="CZ67" s="32"/>
      <c r="DA67" s="32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319"/>
      <c r="DT67" s="419">
        <f t="shared" si="19"/>
        <v>0</v>
      </c>
      <c r="DU67" s="57"/>
      <c r="DV67" s="319"/>
      <c r="DW67" s="319"/>
      <c r="DX67" s="319"/>
      <c r="DY67" s="319"/>
      <c r="DZ67" s="319"/>
      <c r="EA67" s="319"/>
      <c r="EB67" s="319"/>
      <c r="EC67" s="319"/>
      <c r="ED67" s="319"/>
      <c r="EE67" s="319"/>
      <c r="EF67" s="319"/>
      <c r="EG67" s="177"/>
      <c r="EH67" s="177"/>
      <c r="EI67" s="177"/>
      <c r="EJ67" s="319"/>
      <c r="EK67" s="319"/>
      <c r="EL67" s="319"/>
      <c r="EM67" s="319"/>
      <c r="EN67" s="319"/>
      <c r="EO67" s="319"/>
      <c r="EP67" s="319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319"/>
      <c r="FD67" s="319"/>
      <c r="FE67" s="319"/>
      <c r="FF67" s="319"/>
      <c r="FG67" s="319"/>
      <c r="FH67" s="319"/>
      <c r="FI67" s="319"/>
      <c r="FJ67" s="319"/>
      <c r="FK67" s="319"/>
      <c r="FL67" s="319"/>
      <c r="FM67" s="319"/>
      <c r="FN67" s="319"/>
      <c r="FO67" s="319"/>
      <c r="FP67" s="319"/>
      <c r="FQ67" s="319"/>
      <c r="FR67" s="319"/>
      <c r="FS67" s="319"/>
      <c r="FT67" s="319"/>
      <c r="FU67" s="319"/>
      <c r="FV67" s="319"/>
      <c r="FW67" s="319"/>
      <c r="FX67" s="319"/>
      <c r="FY67" s="319"/>
      <c r="FZ67" s="319"/>
      <c r="GA67" s="158">
        <f t="shared" si="20"/>
        <v>0</v>
      </c>
      <c r="GB67" s="113"/>
      <c r="GC67" s="374"/>
      <c r="GD67" s="319"/>
      <c r="GE67" s="319"/>
      <c r="GF67" s="319"/>
      <c r="GG67" s="319"/>
      <c r="GH67" s="319"/>
      <c r="GI67" s="319"/>
      <c r="GJ67" s="319"/>
      <c r="GK67" s="319"/>
      <c r="GL67" s="319"/>
      <c r="GM67" s="319"/>
      <c r="GN67" s="319"/>
      <c r="GO67" s="319"/>
      <c r="GP67" s="319"/>
      <c r="GQ67" s="28"/>
      <c r="GR67" s="270"/>
      <c r="GS67" s="177"/>
      <c r="GT67" s="177"/>
      <c r="GU67" s="741"/>
      <c r="GV67" s="435"/>
      <c r="GW67" s="327">
        <f t="shared" si="21"/>
        <v>0</v>
      </c>
      <c r="GX67" s="445">
        <f t="shared" si="22"/>
        <v>0</v>
      </c>
      <c r="GY67" s="605">
        <f t="shared" si="23"/>
        <v>0</v>
      </c>
      <c r="GZ67" s="627" t="e">
        <f>'2_квартал'!#REF!</f>
        <v>#REF!</v>
      </c>
      <c r="HA67" s="239">
        <f t="shared" si="24"/>
        <v>0</v>
      </c>
      <c r="HB67" s="36" t="str">
        <f t="shared" si="25"/>
        <v>МеноХерб</v>
      </c>
      <c r="HC67" s="38"/>
      <c r="HD67" s="14"/>
      <c r="HE67" s="22"/>
    </row>
    <row r="68" spans="1:213" ht="15.9" customHeight="1" x14ac:dyDescent="0.3">
      <c r="A68" s="132">
        <f>A67+1</f>
        <v>56</v>
      </c>
      <c r="B68" s="766" t="s">
        <v>21</v>
      </c>
      <c r="C68" s="565"/>
      <c r="D68" s="346">
        <v>0</v>
      </c>
      <c r="E68" s="241">
        <v>87.5</v>
      </c>
      <c r="F68" s="572">
        <v>910.02</v>
      </c>
      <c r="G68" s="299">
        <f t="shared" si="8"/>
        <v>332.50700000000001</v>
      </c>
      <c r="H68" s="93">
        <v>912.5</v>
      </c>
      <c r="I68" s="93">
        <v>2.48</v>
      </c>
      <c r="J68" s="112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245"/>
      <c r="Z68" s="177"/>
      <c r="AA68" s="272"/>
      <c r="AB68" s="24"/>
      <c r="AC68" s="319"/>
      <c r="AD68" s="319"/>
      <c r="AE68" s="319"/>
      <c r="AF68" s="319"/>
      <c r="AG68" s="319"/>
      <c r="AH68" s="177"/>
      <c r="AI68" s="177"/>
      <c r="AJ68" s="319"/>
      <c r="AK68" s="319"/>
      <c r="AL68" s="319"/>
      <c r="AM68" s="319"/>
      <c r="AN68" s="319"/>
      <c r="AO68" s="319"/>
      <c r="AP68" s="319"/>
      <c r="AQ68" s="319"/>
      <c r="AR68" s="319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319"/>
      <c r="BH68" s="319"/>
      <c r="BI68" s="319"/>
      <c r="BJ68" s="319"/>
      <c r="BK68" s="319"/>
      <c r="BL68" s="319"/>
      <c r="BM68" s="319"/>
      <c r="BN68" s="319"/>
      <c r="BO68" s="319"/>
      <c r="BP68" s="319"/>
      <c r="BQ68" s="460"/>
      <c r="BR68" s="319"/>
      <c r="BS68" s="158"/>
      <c r="BT68" s="112"/>
      <c r="BU68" s="319"/>
      <c r="BV68" s="319"/>
      <c r="BW68" s="319"/>
      <c r="BX68" s="319"/>
      <c r="BY68" s="319"/>
      <c r="BZ68" s="319"/>
      <c r="CA68" s="319"/>
      <c r="CB68" s="319"/>
      <c r="CC68" s="319"/>
      <c r="CD68" s="319"/>
      <c r="CE68" s="319"/>
      <c r="CF68" s="319">
        <v>75.397999999999996</v>
      </c>
      <c r="CG68" s="319"/>
      <c r="CH68" s="319">
        <v>12.096</v>
      </c>
      <c r="CI68" s="319"/>
      <c r="CJ68" s="319"/>
      <c r="CK68" s="319"/>
      <c r="CL68" s="319"/>
      <c r="CM68" s="319"/>
      <c r="CN68" s="319"/>
      <c r="CO68" s="319"/>
      <c r="CP68" s="319"/>
      <c r="CQ68" s="319"/>
      <c r="CR68" s="319"/>
      <c r="CS68" s="319"/>
      <c r="CT68" s="319"/>
      <c r="CU68" s="319"/>
      <c r="CV68" s="319"/>
      <c r="CW68" s="319"/>
      <c r="CX68" s="319"/>
      <c r="CY68" s="177"/>
      <c r="CZ68" s="32"/>
      <c r="DA68" s="32"/>
      <c r="DB68" s="319"/>
      <c r="DC68" s="319"/>
      <c r="DD68" s="319"/>
      <c r="DE68" s="319"/>
      <c r="DF68" s="319"/>
      <c r="DG68" s="319"/>
      <c r="DH68" s="319"/>
      <c r="DI68" s="319"/>
      <c r="DJ68" s="319"/>
      <c r="DK68" s="319"/>
      <c r="DL68" s="319"/>
      <c r="DM68" s="319"/>
      <c r="DN68" s="319"/>
      <c r="DO68" s="319"/>
      <c r="DP68" s="319"/>
      <c r="DQ68" s="319"/>
      <c r="DR68" s="319"/>
      <c r="DS68" s="319"/>
      <c r="DT68" s="419">
        <f t="shared" si="19"/>
        <v>87.494</v>
      </c>
      <c r="DU68" s="57"/>
      <c r="DV68" s="319"/>
      <c r="DW68" s="319"/>
      <c r="DX68" s="319">
        <v>87.090999999999994</v>
      </c>
      <c r="DY68" s="319"/>
      <c r="DZ68" s="319"/>
      <c r="EA68" s="319"/>
      <c r="EB68" s="319"/>
      <c r="EC68" s="319"/>
      <c r="ED68" s="319"/>
      <c r="EE68" s="319"/>
      <c r="EF68" s="319"/>
      <c r="EG68" s="177">
        <v>806.4</v>
      </c>
      <c r="EH68" s="177"/>
      <c r="EI68" s="177"/>
      <c r="EJ68" s="319"/>
      <c r="EK68" s="319"/>
      <c r="EL68" s="319"/>
      <c r="EM68" s="319"/>
      <c r="EN68" s="319"/>
      <c r="EO68" s="319"/>
      <c r="EP68" s="319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319"/>
      <c r="FD68" s="319"/>
      <c r="FE68" s="319"/>
      <c r="FF68" s="319"/>
      <c r="FG68" s="319"/>
      <c r="FH68" s="319"/>
      <c r="FI68" s="319"/>
      <c r="FJ68" s="319"/>
      <c r="FK68" s="319"/>
      <c r="FL68" s="319"/>
      <c r="FM68" s="319"/>
      <c r="FN68" s="319"/>
      <c r="FO68" s="319">
        <v>6.4509999999999996</v>
      </c>
      <c r="FP68" s="319"/>
      <c r="FQ68" s="319"/>
      <c r="FR68" s="319">
        <v>10.08</v>
      </c>
      <c r="FS68" s="319"/>
      <c r="FT68" s="319"/>
      <c r="FU68" s="319"/>
      <c r="FV68" s="319"/>
      <c r="FW68" s="319"/>
      <c r="FX68" s="319"/>
      <c r="FY68" s="319"/>
      <c r="FZ68" s="319"/>
      <c r="GA68" s="158">
        <f t="shared" si="20"/>
        <v>910.02200000000005</v>
      </c>
      <c r="GB68" s="113"/>
      <c r="GC68" s="374"/>
      <c r="GD68" s="319"/>
      <c r="GE68" s="319"/>
      <c r="GF68" s="319"/>
      <c r="GG68" s="319"/>
      <c r="GH68" s="319"/>
      <c r="GI68" s="319"/>
      <c r="GJ68" s="319"/>
      <c r="GK68" s="319"/>
      <c r="GL68" s="319"/>
      <c r="GM68" s="319"/>
      <c r="GN68" s="319"/>
      <c r="GO68" s="319"/>
      <c r="GP68" s="319"/>
      <c r="GQ68" s="28"/>
      <c r="GR68" s="270"/>
      <c r="GS68" s="177"/>
      <c r="GT68" s="177"/>
      <c r="GU68" s="741"/>
      <c r="GV68" s="435"/>
      <c r="GW68" s="327">
        <f t="shared" si="21"/>
        <v>0</v>
      </c>
      <c r="GX68" s="445">
        <f t="shared" si="22"/>
        <v>2.48</v>
      </c>
      <c r="GY68" s="605">
        <f t="shared" si="23"/>
        <v>2.48</v>
      </c>
      <c r="GZ68" s="627"/>
      <c r="HA68" s="239">
        <f t="shared" si="24"/>
        <v>87.5</v>
      </c>
      <c r="HB68" s="36" t="str">
        <f t="shared" si="25"/>
        <v>Новихол</v>
      </c>
      <c r="HC68" s="38"/>
      <c r="HD68" s="14"/>
      <c r="HE68" s="22"/>
    </row>
    <row r="69" spans="1:213" ht="15.9" customHeight="1" x14ac:dyDescent="0.3">
      <c r="A69" s="132">
        <f t="shared" ref="A69" si="28">A68+1</f>
        <v>57</v>
      </c>
      <c r="B69" s="694" t="s">
        <v>216</v>
      </c>
      <c r="C69" s="565" t="e">
        <f>'2_квартал'!#REF!</f>
        <v>#REF!</v>
      </c>
      <c r="D69" s="346">
        <v>4519.7700000000004</v>
      </c>
      <c r="E69" s="241">
        <v>0</v>
      </c>
      <c r="F69" s="572">
        <v>1303.8599999999999</v>
      </c>
      <c r="G69" s="299">
        <f t="shared" si="8"/>
        <v>1941.21</v>
      </c>
      <c r="H69" s="93">
        <v>5000</v>
      </c>
      <c r="I69" s="93">
        <v>3696.14</v>
      </c>
      <c r="J69" s="146"/>
      <c r="K69" s="319"/>
      <c r="L69" s="319">
        <v>4519.7700000000004</v>
      </c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245"/>
      <c r="Z69" s="177"/>
      <c r="AA69" s="272"/>
      <c r="AB69" s="24"/>
      <c r="AC69" s="319"/>
      <c r="AD69" s="319"/>
      <c r="AE69" s="319"/>
      <c r="AF69" s="319"/>
      <c r="AG69" s="319"/>
      <c r="AH69" s="177"/>
      <c r="AI69" s="177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319"/>
      <c r="BK69" s="319"/>
      <c r="BL69" s="319"/>
      <c r="BM69" s="319"/>
      <c r="BN69" s="319"/>
      <c r="BO69" s="319"/>
      <c r="BP69" s="319"/>
      <c r="BQ69" s="460"/>
      <c r="BR69" s="319"/>
      <c r="BS69" s="158">
        <f t="shared" si="10"/>
        <v>4519.7700000000004</v>
      </c>
      <c r="BT69" s="146"/>
      <c r="BU69" s="319"/>
      <c r="BV69" s="319"/>
      <c r="BW69" s="319"/>
      <c r="BX69" s="319"/>
      <c r="BY69" s="319"/>
      <c r="BZ69" s="319"/>
      <c r="CA69" s="319"/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19"/>
      <c r="CR69" s="319"/>
      <c r="CS69" s="319"/>
      <c r="CT69" s="319"/>
      <c r="CU69" s="319"/>
      <c r="CV69" s="319"/>
      <c r="CW69" s="319"/>
      <c r="CX69" s="319"/>
      <c r="CY69" s="177"/>
      <c r="CZ69" s="32"/>
      <c r="DA69" s="32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319"/>
      <c r="DT69" s="419">
        <f t="shared" si="19"/>
        <v>0</v>
      </c>
      <c r="DU69" s="147"/>
      <c r="DV69" s="319"/>
      <c r="DW69" s="319"/>
      <c r="DX69" s="319"/>
      <c r="DY69" s="319"/>
      <c r="DZ69" s="319"/>
      <c r="EA69" s="319"/>
      <c r="EB69" s="319"/>
      <c r="EC69" s="319"/>
      <c r="ED69" s="319"/>
      <c r="EE69" s="319"/>
      <c r="EF69" s="319">
        <f>141.12*1.5</f>
        <v>211.68</v>
      </c>
      <c r="EG69" s="177"/>
      <c r="EH69" s="177"/>
      <c r="EI69" s="177"/>
      <c r="EJ69" s="319"/>
      <c r="EK69" s="319"/>
      <c r="EL69" s="319"/>
      <c r="EM69" s="319"/>
      <c r="EN69" s="319"/>
      <c r="EO69" s="319">
        <f>141.12</f>
        <v>141.12</v>
      </c>
      <c r="EP69" s="319"/>
      <c r="EQ69" s="319"/>
      <c r="ER69" s="319"/>
      <c r="ES69" s="319"/>
      <c r="ET69" s="319">
        <v>170.54</v>
      </c>
      <c r="EU69" s="319"/>
      <c r="EV69" s="319"/>
      <c r="EW69" s="319"/>
      <c r="EX69" s="319"/>
      <c r="EY69" s="319"/>
      <c r="EZ69" s="319"/>
      <c r="FA69" s="319"/>
      <c r="FB69" s="319"/>
      <c r="FC69" s="319"/>
      <c r="FD69" s="319"/>
      <c r="FE69" s="319"/>
      <c r="FF69" s="319"/>
      <c r="FG69" s="319">
        <v>604.79999999999995</v>
      </c>
      <c r="FH69" s="319"/>
      <c r="FI69" s="319"/>
      <c r="FJ69" s="319"/>
      <c r="FK69" s="319">
        <v>96.768000000000001</v>
      </c>
      <c r="FL69" s="319"/>
      <c r="FM69" s="319"/>
      <c r="FN69" s="319"/>
      <c r="FO69" s="319"/>
      <c r="FP69" s="319"/>
      <c r="FQ69" s="319">
        <v>53.75</v>
      </c>
      <c r="FR69" s="319"/>
      <c r="FS69" s="319"/>
      <c r="FT69" s="319"/>
      <c r="FU69" s="319"/>
      <c r="FV69" s="319">
        <f>90.72/1.8*0.5</f>
        <v>25.2</v>
      </c>
      <c r="FW69" s="319"/>
      <c r="FX69" s="319"/>
      <c r="FY69" s="319"/>
      <c r="FZ69" s="319"/>
      <c r="GA69" s="158">
        <f t="shared" si="20"/>
        <v>1303.8579999999999</v>
      </c>
      <c r="GB69" s="148"/>
      <c r="GC69" s="374"/>
      <c r="GD69" s="319"/>
      <c r="GE69" s="319"/>
      <c r="GF69" s="319"/>
      <c r="GG69" s="319"/>
      <c r="GH69" s="319"/>
      <c r="GI69" s="319"/>
      <c r="GJ69" s="319"/>
      <c r="GK69" s="319"/>
      <c r="GL69" s="319"/>
      <c r="GM69" s="319"/>
      <c r="GN69" s="319"/>
      <c r="GO69" s="319"/>
      <c r="GP69" s="319"/>
      <c r="GQ69" s="28"/>
      <c r="GR69" s="270"/>
      <c r="GS69" s="177"/>
      <c r="GT69" s="177"/>
      <c r="GU69" s="741"/>
      <c r="GV69" s="435"/>
      <c r="GW69" s="327">
        <f t="shared" si="21"/>
        <v>0</v>
      </c>
      <c r="GX69" s="445">
        <f t="shared" si="22"/>
        <v>3696.14</v>
      </c>
      <c r="GY69" s="605">
        <f t="shared" si="23"/>
        <v>3696.14</v>
      </c>
      <c r="GZ69" s="627" t="e">
        <f>'2_квартал'!#REF!</f>
        <v>#REF!</v>
      </c>
      <c r="HA69" s="239">
        <f t="shared" si="24"/>
        <v>0</v>
      </c>
      <c r="HB69" s="36" t="str">
        <f t="shared" si="25"/>
        <v>Карбонат калия  гранул</v>
      </c>
      <c r="HC69" s="231"/>
      <c r="HD69" s="14"/>
      <c r="HE69" s="22"/>
    </row>
    <row r="70" spans="1:213" ht="15.9" customHeight="1" x14ac:dyDescent="0.3">
      <c r="A70" s="132">
        <f t="shared" ref="A70:A71" si="29">A69+1</f>
        <v>58</v>
      </c>
      <c r="B70" s="694" t="s">
        <v>217</v>
      </c>
      <c r="C70" s="565" t="e">
        <f>'2_квартал'!#REF!</f>
        <v>#REF!</v>
      </c>
      <c r="D70" s="346">
        <f>6571.34+1278.39</f>
        <v>7849.7300000000005</v>
      </c>
      <c r="E70" s="241">
        <v>3190.71</v>
      </c>
      <c r="F70" s="572">
        <v>2530.9</v>
      </c>
      <c r="G70" s="299">
        <f t="shared" si="8"/>
        <v>4523.78</v>
      </c>
      <c r="H70" s="93">
        <v>2530.9</v>
      </c>
      <c r="I70" s="93">
        <v>0</v>
      </c>
      <c r="J70" s="146"/>
      <c r="K70" s="319"/>
      <c r="L70" s="319">
        <v>369.03</v>
      </c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>
        <f>488.88</f>
        <v>488.88</v>
      </c>
      <c r="Y70" s="245"/>
      <c r="Z70" s="177"/>
      <c r="AA70" s="272"/>
      <c r="AB70" s="24"/>
      <c r="AC70" s="319"/>
      <c r="AD70" s="319">
        <v>75.599999999999994</v>
      </c>
      <c r="AE70" s="319"/>
      <c r="AF70" s="319"/>
      <c r="AG70" s="319"/>
      <c r="AH70" s="177"/>
      <c r="AI70" s="177"/>
      <c r="AJ70" s="319">
        <f>141.12*0.8</f>
        <v>112.89600000000002</v>
      </c>
      <c r="AK70" s="319"/>
      <c r="AL70" s="319">
        <f>161.28*0.6</f>
        <v>96.768000000000001</v>
      </c>
      <c r="AM70" s="319"/>
      <c r="AN70" s="319"/>
      <c r="AO70" s="319"/>
      <c r="AP70" s="319"/>
      <c r="AQ70" s="319">
        <f>488.88*5</f>
        <v>2444.4</v>
      </c>
      <c r="AR70" s="319">
        <f>488.88</f>
        <v>488.88</v>
      </c>
      <c r="AS70" s="319"/>
      <c r="AT70" s="319">
        <v>645.12</v>
      </c>
      <c r="AU70" s="319"/>
      <c r="AV70" s="319"/>
      <c r="AW70" s="319"/>
      <c r="AX70" s="319"/>
      <c r="AY70" s="319"/>
      <c r="AZ70" s="319"/>
      <c r="BA70" s="319"/>
      <c r="BB70" s="319"/>
      <c r="BC70" s="319"/>
      <c r="BD70" s="319">
        <f>141.12*2</f>
        <v>282.24</v>
      </c>
      <c r="BE70" s="319">
        <f>1431.36/7.1*4.1</f>
        <v>826.56</v>
      </c>
      <c r="BF70" s="319">
        <f>488.88*2</f>
        <v>977.76</v>
      </c>
      <c r="BG70" s="319"/>
      <c r="BH70" s="319"/>
      <c r="BI70" s="319">
        <f>89.584*0.6</f>
        <v>53.750399999999999</v>
      </c>
      <c r="BJ70" s="319"/>
      <c r="BK70" s="319"/>
      <c r="BL70" s="319"/>
      <c r="BM70" s="319">
        <v>987.84</v>
      </c>
      <c r="BN70" s="319"/>
      <c r="BO70" s="319"/>
      <c r="BP70" s="319"/>
      <c r="BQ70" s="460"/>
      <c r="BR70" s="319"/>
      <c r="BS70" s="158">
        <f t="shared" si="10"/>
        <v>7849.7244000000001</v>
      </c>
      <c r="BT70" s="146"/>
      <c r="BU70" s="319"/>
      <c r="BV70" s="319"/>
      <c r="BW70" s="319">
        <f>268.752/3*1.5</f>
        <v>134.376</v>
      </c>
      <c r="BX70" s="319"/>
      <c r="BY70" s="319"/>
      <c r="BZ70" s="319"/>
      <c r="CA70" s="319"/>
      <c r="CB70" s="319">
        <v>90.72</v>
      </c>
      <c r="CC70" s="319"/>
      <c r="CD70" s="319"/>
      <c r="CE70" s="319"/>
      <c r="CF70" s="319">
        <v>98.542000000000002</v>
      </c>
      <c r="CG70" s="319"/>
      <c r="CH70" s="319"/>
      <c r="CI70" s="319"/>
      <c r="CJ70" s="319"/>
      <c r="CK70" s="319"/>
      <c r="CL70" s="319"/>
      <c r="CM70" s="319"/>
      <c r="CN70" s="319"/>
      <c r="CO70" s="319"/>
      <c r="CP70" s="319"/>
      <c r="CQ70" s="319">
        <f>488.88*2</f>
        <v>977.76</v>
      </c>
      <c r="CR70" s="319"/>
      <c r="CS70" s="319"/>
      <c r="CT70" s="319"/>
      <c r="CU70" s="319">
        <f>268.752/3*1.5</f>
        <v>134.376</v>
      </c>
      <c r="CV70" s="319"/>
      <c r="CW70" s="319"/>
      <c r="CX70" s="319"/>
      <c r="CY70" s="177"/>
      <c r="CZ70" s="32"/>
      <c r="DA70" s="32">
        <v>141.12</v>
      </c>
      <c r="DB70" s="319">
        <f>161.28*0.6</f>
        <v>96.768000000000001</v>
      </c>
      <c r="DC70" s="319"/>
      <c r="DD70" s="319"/>
      <c r="DE70" s="319"/>
      <c r="DF70" s="319"/>
      <c r="DG70" s="319"/>
      <c r="DH70" s="319"/>
      <c r="DI70" s="319"/>
      <c r="DJ70" s="319"/>
      <c r="DK70" s="319"/>
      <c r="DL70" s="319"/>
      <c r="DM70" s="319"/>
      <c r="DN70" s="319">
        <f>645.12/4*3</f>
        <v>483.84000000000003</v>
      </c>
      <c r="DO70" s="319"/>
      <c r="DP70" s="319">
        <f>90.72/1.8*0.9</f>
        <v>45.36</v>
      </c>
      <c r="DQ70" s="319"/>
      <c r="DR70" s="319"/>
      <c r="DS70" s="319">
        <v>987.84</v>
      </c>
      <c r="DT70" s="419">
        <f t="shared" si="19"/>
        <v>3190.7020000000007</v>
      </c>
      <c r="DU70" s="147"/>
      <c r="DV70" s="319"/>
      <c r="DW70" s="319"/>
      <c r="DX70" s="319"/>
      <c r="DY70" s="319"/>
      <c r="DZ70" s="319"/>
      <c r="EA70" s="319">
        <f>488.88*5</f>
        <v>2444.4</v>
      </c>
      <c r="EB70" s="319"/>
      <c r="EC70" s="319"/>
      <c r="ED70" s="319"/>
      <c r="EE70" s="319"/>
      <c r="EF70" s="319"/>
      <c r="EG70" s="177"/>
      <c r="EH70" s="177"/>
      <c r="EI70" s="177"/>
      <c r="EJ70" s="319"/>
      <c r="EK70" s="319"/>
      <c r="EL70" s="319">
        <f>90.72/1.8*0.9</f>
        <v>45.36</v>
      </c>
      <c r="EM70" s="319"/>
      <c r="EN70" s="319"/>
      <c r="EO70" s="319"/>
      <c r="EP70" s="319"/>
      <c r="EQ70" s="319"/>
      <c r="ER70" s="319"/>
      <c r="ES70" s="319"/>
      <c r="ET70" s="319">
        <v>41.14</v>
      </c>
      <c r="EU70" s="319"/>
      <c r="EV70" s="319"/>
      <c r="EW70" s="319"/>
      <c r="EX70" s="319"/>
      <c r="EY70" s="319"/>
      <c r="EZ70" s="319"/>
      <c r="FA70" s="319"/>
      <c r="FB70" s="319"/>
      <c r="FC70" s="319"/>
      <c r="FD70" s="319"/>
      <c r="FE70" s="319"/>
      <c r="FF70" s="319"/>
      <c r="FG70" s="319"/>
      <c r="FH70" s="319"/>
      <c r="FI70" s="319"/>
      <c r="FJ70" s="319"/>
      <c r="FK70" s="319"/>
      <c r="FL70" s="319"/>
      <c r="FM70" s="319"/>
      <c r="FN70" s="319"/>
      <c r="FO70" s="319"/>
      <c r="FP70" s="319"/>
      <c r="FQ70" s="319"/>
      <c r="FR70" s="319"/>
      <c r="FS70" s="319"/>
      <c r="FT70" s="319"/>
      <c r="FU70" s="319"/>
      <c r="FV70" s="319"/>
      <c r="FW70" s="319"/>
      <c r="FX70" s="319"/>
      <c r="FY70" s="319"/>
      <c r="FZ70" s="319"/>
      <c r="GA70" s="158">
        <f t="shared" si="20"/>
        <v>2530.9</v>
      </c>
      <c r="GB70" s="148"/>
      <c r="GC70" s="374"/>
      <c r="GD70" s="319"/>
      <c r="GE70" s="319"/>
      <c r="GF70" s="319"/>
      <c r="GG70" s="319"/>
      <c r="GH70" s="319"/>
      <c r="GI70" s="319"/>
      <c r="GJ70" s="319"/>
      <c r="GK70" s="319"/>
      <c r="GL70" s="319"/>
      <c r="GM70" s="319"/>
      <c r="GN70" s="319"/>
      <c r="GO70" s="319"/>
      <c r="GP70" s="319"/>
      <c r="GQ70" s="28"/>
      <c r="GR70" s="270"/>
      <c r="GS70" s="177"/>
      <c r="GT70" s="177"/>
      <c r="GU70" s="741"/>
      <c r="GV70" s="435"/>
      <c r="GW70" s="327">
        <f t="shared" si="21"/>
        <v>0</v>
      </c>
      <c r="GX70" s="445">
        <f t="shared" si="22"/>
        <v>0</v>
      </c>
      <c r="GY70" s="605">
        <f t="shared" si="23"/>
        <v>0</v>
      </c>
      <c r="GZ70" s="627" t="e">
        <f>'2_квартал'!#REF!</f>
        <v>#REF!</v>
      </c>
      <c r="HA70" s="239">
        <f t="shared" si="24"/>
        <v>3190.71</v>
      </c>
      <c r="HB70" s="36" t="str">
        <f t="shared" si="25"/>
        <v>Карбонат калия (поташ)</v>
      </c>
      <c r="HC70" s="231"/>
      <c r="HD70" s="14"/>
      <c r="HE70" s="22"/>
    </row>
    <row r="71" spans="1:213" ht="15.9" customHeight="1" x14ac:dyDescent="0.3">
      <c r="A71" s="132">
        <f t="shared" si="29"/>
        <v>59</v>
      </c>
      <c r="B71" s="688" t="s">
        <v>46</v>
      </c>
      <c r="C71" s="565" t="e">
        <f>'2_квартал'!#REF!</f>
        <v>#REF!</v>
      </c>
      <c r="D71" s="346">
        <f>4440.02+1396.3</f>
        <v>5836.3200000000006</v>
      </c>
      <c r="E71" s="241">
        <f>4603.7+3156.55</f>
        <v>7760.25</v>
      </c>
      <c r="F71" s="572">
        <f>843.45+6158.11</f>
        <v>7001.5599999999995</v>
      </c>
      <c r="G71" s="299">
        <f t="shared" si="8"/>
        <v>6866.0429999999997</v>
      </c>
      <c r="H71" s="93">
        <f>843.45+10000</f>
        <v>10843.45</v>
      </c>
      <c r="I71" s="93">
        <v>3841.89</v>
      </c>
      <c r="J71" s="112"/>
      <c r="K71" s="319"/>
      <c r="L71" s="319"/>
      <c r="M71" s="319"/>
      <c r="N71" s="319"/>
      <c r="O71" s="319"/>
      <c r="P71" s="319">
        <v>302.39999999999998</v>
      </c>
      <c r="Q71" s="319"/>
      <c r="R71" s="319"/>
      <c r="S71" s="319"/>
      <c r="T71" s="319"/>
      <c r="U71" s="319"/>
      <c r="V71" s="319"/>
      <c r="W71" s="319"/>
      <c r="X71" s="319"/>
      <c r="Y71" s="245"/>
      <c r="Z71" s="177"/>
      <c r="AA71" s="272"/>
      <c r="AB71" s="24"/>
      <c r="AC71" s="319"/>
      <c r="AD71" s="319"/>
      <c r="AE71" s="319">
        <v>241.92</v>
      </c>
      <c r="AF71" s="319"/>
      <c r="AG71" s="319"/>
      <c r="AH71" s="177">
        <v>504</v>
      </c>
      <c r="AI71" s="177"/>
      <c r="AJ71" s="319">
        <f>40.32*0.8</f>
        <v>32.256</v>
      </c>
      <c r="AK71" s="319"/>
      <c r="AL71" s="319">
        <f>30.24*0.6</f>
        <v>18.143999999999998</v>
      </c>
      <c r="AM71" s="319"/>
      <c r="AN71" s="319"/>
      <c r="AO71" s="319"/>
      <c r="AP71" s="319"/>
      <c r="AQ71" s="319"/>
      <c r="AR71" s="319"/>
      <c r="AS71" s="319"/>
      <c r="AT71" s="319">
        <v>120.96</v>
      </c>
      <c r="AU71" s="319"/>
      <c r="AV71" s="319"/>
      <c r="AW71" s="319">
        <v>2721.6</v>
      </c>
      <c r="AX71" s="319"/>
      <c r="AY71" s="319"/>
      <c r="AZ71" s="319"/>
      <c r="BA71" s="319"/>
      <c r="BB71" s="319">
        <v>544.32000000000005</v>
      </c>
      <c r="BC71" s="319"/>
      <c r="BD71" s="319">
        <f>40.32*2</f>
        <v>80.64</v>
      </c>
      <c r="BE71" s="319"/>
      <c r="BF71" s="319"/>
      <c r="BG71" s="319"/>
      <c r="BH71" s="319">
        <f>638.4*0.6</f>
        <v>383.03999999999996</v>
      </c>
      <c r="BI71" s="319"/>
      <c r="BJ71" s="319">
        <f>302.4*2</f>
        <v>604.79999999999995</v>
      </c>
      <c r="BK71" s="319"/>
      <c r="BL71" s="319"/>
      <c r="BM71" s="319">
        <v>282.24</v>
      </c>
      <c r="BN71" s="319"/>
      <c r="BO71" s="319"/>
      <c r="BP71" s="319"/>
      <c r="BQ71" s="460"/>
      <c r="BR71" s="319"/>
      <c r="BS71" s="158">
        <f t="shared" si="10"/>
        <v>5836.32</v>
      </c>
      <c r="BT71" s="112"/>
      <c r="BU71" s="319"/>
      <c r="BV71" s="319">
        <v>1209.5999999999999</v>
      </c>
      <c r="BW71" s="319"/>
      <c r="BX71" s="319"/>
      <c r="BY71" s="319">
        <f>2553.599/4*2</f>
        <v>1276.7995000000001</v>
      </c>
      <c r="BZ71" s="319"/>
      <c r="CA71" s="319"/>
      <c r="CB71" s="319"/>
      <c r="CC71" s="319">
        <v>483.84</v>
      </c>
      <c r="CD71" s="319"/>
      <c r="CE71" s="319"/>
      <c r="CF71" s="319"/>
      <c r="CG71" s="319"/>
      <c r="CH71" s="319">
        <v>255.36</v>
      </c>
      <c r="CI71" s="319"/>
      <c r="CJ71" s="319"/>
      <c r="CK71" s="319">
        <v>685.44</v>
      </c>
      <c r="CL71" s="319"/>
      <c r="CM71" s="319"/>
      <c r="CN71" s="319">
        <v>302.39999999999998</v>
      </c>
      <c r="CO71" s="319"/>
      <c r="CP71" s="319"/>
      <c r="CQ71" s="319"/>
      <c r="CR71" s="319"/>
      <c r="CS71" s="319"/>
      <c r="CT71" s="319"/>
      <c r="CU71" s="319"/>
      <c r="CV71" s="319">
        <f>2553.599/4*2</f>
        <v>1276.7995000000001</v>
      </c>
      <c r="CW71" s="319"/>
      <c r="CX71" s="319"/>
      <c r="CY71" s="177"/>
      <c r="CZ71" s="32">
        <v>302.39999999999998</v>
      </c>
      <c r="DA71" s="32">
        <v>40.32</v>
      </c>
      <c r="DB71" s="319">
        <f>30.24*0.6</f>
        <v>18.143999999999998</v>
      </c>
      <c r="DC71" s="319">
        <f>383.04*0.3</f>
        <v>114.91200000000001</v>
      </c>
      <c r="DD71" s="319"/>
      <c r="DE71" s="319"/>
      <c r="DF71" s="319"/>
      <c r="DG71" s="319">
        <f>302.4*3.9</f>
        <v>1179.3599999999999</v>
      </c>
      <c r="DH71" s="319"/>
      <c r="DI71" s="319"/>
      <c r="DJ71" s="319"/>
      <c r="DK71" s="319"/>
      <c r="DL71" s="319"/>
      <c r="DM71" s="319"/>
      <c r="DN71" s="319">
        <f>120.96/4*3</f>
        <v>90.72</v>
      </c>
      <c r="DO71" s="319"/>
      <c r="DP71" s="319"/>
      <c r="DQ71" s="319">
        <f>483.84/1.2*0.6</f>
        <v>241.92</v>
      </c>
      <c r="DR71" s="319"/>
      <c r="DS71" s="319">
        <v>282.24</v>
      </c>
      <c r="DT71" s="419">
        <f t="shared" si="19"/>
        <v>7760.2550000000001</v>
      </c>
      <c r="DU71" s="57"/>
      <c r="DV71" s="319">
        <v>1209.5999999999999</v>
      </c>
      <c r="DW71" s="319"/>
      <c r="DX71" s="319"/>
      <c r="DY71" s="319">
        <f>302.4*1.5</f>
        <v>453.59999999999997</v>
      </c>
      <c r="DZ71" s="319"/>
      <c r="EA71" s="319"/>
      <c r="EB71" s="319"/>
      <c r="EC71" s="319"/>
      <c r="ED71" s="319"/>
      <c r="EE71" s="319">
        <v>302.39999999999998</v>
      </c>
      <c r="EF71" s="319">
        <f>40.32*1.5</f>
        <v>60.480000000000004</v>
      </c>
      <c r="EG71" s="177"/>
      <c r="EH71" s="177"/>
      <c r="EI71" s="177"/>
      <c r="EJ71" s="319"/>
      <c r="EK71" s="319">
        <f>483.84/1.2*0.6</f>
        <v>241.92</v>
      </c>
      <c r="EL71" s="319"/>
      <c r="EM71" s="319"/>
      <c r="EN71" s="319">
        <f>302.4*2</f>
        <v>604.79999999999995</v>
      </c>
      <c r="EO71" s="319">
        <f>40.32</f>
        <v>40.32</v>
      </c>
      <c r="EP71" s="319">
        <f>2721.6</f>
        <v>2721.6</v>
      </c>
      <c r="EQ71" s="319"/>
      <c r="ER71" s="319">
        <f>302.4*2.5</f>
        <v>756</v>
      </c>
      <c r="ES71" s="319">
        <f>114.912/0.3*0.6</f>
        <v>229.82400000000001</v>
      </c>
      <c r="ET71" s="319">
        <v>60.48</v>
      </c>
      <c r="EU71" s="319"/>
      <c r="EV71" s="319"/>
      <c r="EW71" s="319"/>
      <c r="EX71" s="319"/>
      <c r="EY71" s="319"/>
      <c r="EZ71" s="319"/>
      <c r="FA71" s="319"/>
      <c r="FB71" s="319"/>
      <c r="FC71" s="319"/>
      <c r="FD71" s="319">
        <f>302.4</f>
        <v>302.39999999999998</v>
      </c>
      <c r="FE71" s="319"/>
      <c r="FF71" s="319"/>
      <c r="FG71" s="319"/>
      <c r="FH71" s="319"/>
      <c r="FI71" s="319"/>
      <c r="FJ71" s="319"/>
      <c r="FK71" s="319">
        <v>18.143999999999998</v>
      </c>
      <c r="FL71" s="319"/>
      <c r="FM71" s="319"/>
      <c r="FN71" s="319"/>
      <c r="FO71" s="319"/>
      <c r="FP71" s="319"/>
      <c r="FQ71" s="319"/>
      <c r="FR71" s="319"/>
      <c r="FS71" s="319"/>
      <c r="FT71" s="319"/>
      <c r="FU71" s="319"/>
      <c r="FV71" s="319"/>
      <c r="FW71" s="319"/>
      <c r="FX71" s="319"/>
      <c r="FY71" s="319"/>
      <c r="FZ71" s="319"/>
      <c r="GA71" s="158">
        <f t="shared" si="20"/>
        <v>7001.5679999999993</v>
      </c>
      <c r="GB71" s="113"/>
      <c r="GC71" s="374"/>
      <c r="GD71" s="319"/>
      <c r="GE71" s="319"/>
      <c r="GF71" s="319"/>
      <c r="GG71" s="319"/>
      <c r="GH71" s="319"/>
      <c r="GI71" s="319"/>
      <c r="GJ71" s="319"/>
      <c r="GK71" s="319"/>
      <c r="GL71" s="319"/>
      <c r="GM71" s="319"/>
      <c r="GN71" s="319"/>
      <c r="GO71" s="319"/>
      <c r="GP71" s="319"/>
      <c r="GQ71" s="28"/>
      <c r="GR71" s="270"/>
      <c r="GS71" s="177"/>
      <c r="GT71" s="177"/>
      <c r="GU71" s="741"/>
      <c r="GV71" s="435"/>
      <c r="GW71" s="327">
        <f t="shared" si="21"/>
        <v>0</v>
      </c>
      <c r="GX71" s="558">
        <f t="shared" si="22"/>
        <v>3841.89</v>
      </c>
      <c r="GY71" s="605">
        <f t="shared" si="23"/>
        <v>3841.89</v>
      </c>
      <c r="GZ71" s="627" t="e">
        <f>'2_квартал'!#REF!</f>
        <v>#REF!</v>
      </c>
      <c r="HA71" s="239">
        <f t="shared" si="24"/>
        <v>7760.25</v>
      </c>
      <c r="HB71" s="36" t="str">
        <f t="shared" si="25"/>
        <v>кальций хлористый пищ Фудикс</v>
      </c>
      <c r="HC71" s="664"/>
      <c r="HD71" s="14"/>
      <c r="HE71" s="22"/>
    </row>
    <row r="72" spans="1:213" ht="15.9" customHeight="1" x14ac:dyDescent="0.3">
      <c r="A72" s="130"/>
      <c r="B72" s="680"/>
      <c r="C72" s="680"/>
      <c r="D72" s="591"/>
      <c r="E72" s="580"/>
      <c r="F72" s="578"/>
      <c r="G72" s="579"/>
      <c r="H72" s="144"/>
      <c r="I72" s="144"/>
      <c r="J72" s="94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1"/>
      <c r="Z72" s="178"/>
      <c r="AA72" s="357"/>
      <c r="AB72" s="91"/>
      <c r="AC72" s="90"/>
      <c r="AD72" s="90"/>
      <c r="AE72" s="90"/>
      <c r="AF72" s="90"/>
      <c r="AG72" s="90"/>
      <c r="AH72" s="178"/>
      <c r="AI72" s="178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159"/>
      <c r="BT72" s="94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0"/>
      <c r="CX72" s="90"/>
      <c r="CY72" s="178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502"/>
      <c r="DU72" s="57"/>
      <c r="DV72" s="90"/>
      <c r="DW72" s="90"/>
      <c r="DX72" s="90"/>
      <c r="DY72" s="90"/>
      <c r="DZ72" s="90"/>
      <c r="EA72" s="90"/>
      <c r="EB72" s="90"/>
      <c r="EC72" s="90"/>
      <c r="ED72" s="90"/>
      <c r="EE72" s="90"/>
      <c r="EF72" s="90"/>
      <c r="EG72" s="178"/>
      <c r="EH72" s="178"/>
      <c r="EI72" s="178"/>
      <c r="EJ72" s="90"/>
      <c r="EK72" s="90"/>
      <c r="EL72" s="90"/>
      <c r="EM72" s="90"/>
      <c r="EN72" s="90"/>
      <c r="EO72" s="90"/>
      <c r="EP72" s="90"/>
      <c r="EQ72" s="90"/>
      <c r="ER72" s="90"/>
      <c r="ES72" s="90"/>
      <c r="ET72" s="90"/>
      <c r="EU72" s="90"/>
      <c r="EV72" s="90"/>
      <c r="EW72" s="90"/>
      <c r="EX72" s="90"/>
      <c r="EY72" s="90"/>
      <c r="EZ72" s="90"/>
      <c r="FA72" s="90"/>
      <c r="FB72" s="90"/>
      <c r="FC72" s="90"/>
      <c r="FD72" s="90"/>
      <c r="FE72" s="90"/>
      <c r="FF72" s="90"/>
      <c r="FG72" s="90"/>
      <c r="FH72" s="90"/>
      <c r="FI72" s="90"/>
      <c r="FJ72" s="90"/>
      <c r="FK72" s="90"/>
      <c r="FL72" s="90"/>
      <c r="FM72" s="90"/>
      <c r="FN72" s="90"/>
      <c r="FO72" s="90"/>
      <c r="FP72" s="90"/>
      <c r="FQ72" s="90"/>
      <c r="FR72" s="90"/>
      <c r="FS72" s="90"/>
      <c r="FT72" s="90"/>
      <c r="FU72" s="90"/>
      <c r="FV72" s="90"/>
      <c r="FW72" s="90"/>
      <c r="FX72" s="90"/>
      <c r="FY72" s="90"/>
      <c r="FZ72" s="90"/>
      <c r="GA72" s="502"/>
      <c r="GB72" s="95"/>
      <c r="GC72" s="170"/>
      <c r="GD72" s="90"/>
      <c r="GE72" s="90"/>
      <c r="GF72" s="90"/>
      <c r="GG72" s="90"/>
      <c r="GH72" s="90"/>
      <c r="GI72" s="90"/>
      <c r="GJ72" s="90"/>
      <c r="GK72" s="90"/>
      <c r="GL72" s="90"/>
      <c r="GM72" s="90"/>
      <c r="GN72" s="90"/>
      <c r="GO72" s="90"/>
      <c r="GP72" s="90"/>
      <c r="GQ72" s="260"/>
      <c r="GR72" s="347"/>
      <c r="GS72" s="178"/>
      <c r="GT72" s="178"/>
      <c r="GU72" s="743"/>
      <c r="GV72" s="436"/>
      <c r="GW72" s="348"/>
      <c r="GX72" s="446"/>
      <c r="GY72" s="607"/>
      <c r="GZ72" s="607"/>
      <c r="HA72" s="446"/>
      <c r="HB72" s="453"/>
      <c r="HC72" s="213"/>
      <c r="HD72" s="22"/>
      <c r="HE72" s="22"/>
    </row>
    <row r="73" spans="1:213" ht="15.9" customHeight="1" x14ac:dyDescent="0.3">
      <c r="A73" s="127">
        <f>A71+1</f>
        <v>60</v>
      </c>
      <c r="B73" s="688" t="s">
        <v>47</v>
      </c>
      <c r="C73" s="565">
        <f>'2_квартал'!G60</f>
        <v>624.46</v>
      </c>
      <c r="D73" s="346">
        <f>569.52+1618.05</f>
        <v>2187.5699999999997</v>
      </c>
      <c r="E73" s="241">
        <f>1381.95+513.73</f>
        <v>1895.68</v>
      </c>
      <c r="F73" s="572">
        <v>725.97</v>
      </c>
      <c r="G73" s="299">
        <f t="shared" si="8"/>
        <v>1603.0730000000001</v>
      </c>
      <c r="H73" s="93">
        <v>1486.27</v>
      </c>
      <c r="I73" s="93">
        <f>760.3+2875</f>
        <v>3635.3</v>
      </c>
      <c r="J73" s="94"/>
      <c r="K73" s="319">
        <f>30.24/0.3*0.6</f>
        <v>60.48</v>
      </c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245"/>
      <c r="Z73" s="177"/>
      <c r="AA73" s="272"/>
      <c r="AB73" s="24"/>
      <c r="AC73" s="319"/>
      <c r="AD73" s="319">
        <v>151.19999999999999</v>
      </c>
      <c r="AE73" s="319">
        <v>30.454000000000001</v>
      </c>
      <c r="AF73" s="319"/>
      <c r="AG73" s="319">
        <v>30.24</v>
      </c>
      <c r="AH73" s="177"/>
      <c r="AI73" s="177"/>
      <c r="AJ73" s="319">
        <f>100.8*0.8</f>
        <v>80.64</v>
      </c>
      <c r="AK73" s="319"/>
      <c r="AL73" s="319">
        <f>201.6*0.6</f>
        <v>120.96</v>
      </c>
      <c r="AM73" s="319"/>
      <c r="AN73" s="319"/>
      <c r="AO73" s="319"/>
      <c r="AP73" s="319"/>
      <c r="AQ73" s="319"/>
      <c r="AR73" s="319"/>
      <c r="AS73" s="319"/>
      <c r="AT73" s="319">
        <v>806.4</v>
      </c>
      <c r="AU73" s="319"/>
      <c r="AV73" s="319"/>
      <c r="AW73" s="319"/>
      <c r="AX73" s="319"/>
      <c r="AY73" s="319"/>
      <c r="AZ73" s="319"/>
      <c r="BA73" s="319"/>
      <c r="BB73" s="319"/>
      <c r="BC73" s="319"/>
      <c r="BD73" s="319">
        <f>100.8*2</f>
        <v>201.6</v>
      </c>
      <c r="BE73" s="319"/>
      <c r="BF73" s="319"/>
      <c r="BG73" s="319"/>
      <c r="BH73" s="319"/>
      <c r="BI73" s="319"/>
      <c r="BJ73" s="319"/>
      <c r="BK73" s="319"/>
      <c r="BL73" s="319"/>
      <c r="BM73" s="319">
        <v>705.6</v>
      </c>
      <c r="BN73" s="319"/>
      <c r="BO73" s="319"/>
      <c r="BP73" s="319"/>
      <c r="BQ73" s="460"/>
      <c r="BR73" s="319"/>
      <c r="BS73" s="158">
        <f t="shared" ref="BS73:BS97" si="30">SUM(K73:BR73)</f>
        <v>2187.5739999999996</v>
      </c>
      <c r="BT73" s="94"/>
      <c r="BU73" s="319"/>
      <c r="BV73" s="319"/>
      <c r="BW73" s="319"/>
      <c r="BX73" s="319"/>
      <c r="BY73" s="319"/>
      <c r="BZ73" s="319"/>
      <c r="CA73" s="319"/>
      <c r="CB73" s="319">
        <v>181.44</v>
      </c>
      <c r="CC73" s="319">
        <v>60.908000000000001</v>
      </c>
      <c r="CD73" s="319"/>
      <c r="CE73" s="319"/>
      <c r="CF73" s="319"/>
      <c r="CG73" s="319"/>
      <c r="CH73" s="319"/>
      <c r="CI73" s="319"/>
      <c r="CJ73" s="319"/>
      <c r="CK73" s="319"/>
      <c r="CL73" s="319"/>
      <c r="CM73" s="319"/>
      <c r="CN73" s="319"/>
      <c r="CO73" s="319"/>
      <c r="CP73" s="319"/>
      <c r="CQ73" s="319"/>
      <c r="CR73" s="319"/>
      <c r="CS73" s="319"/>
      <c r="CT73" s="319"/>
      <c r="CU73" s="319"/>
      <c r="CV73" s="319"/>
      <c r="CW73" s="319"/>
      <c r="CX73" s="319"/>
      <c r="CY73" s="177"/>
      <c r="CZ73" s="32"/>
      <c r="DA73" s="32">
        <v>100.8</v>
      </c>
      <c r="DB73" s="319">
        <f>201.6*0.6</f>
        <v>120.96</v>
      </c>
      <c r="DC73" s="319"/>
      <c r="DD73" s="319"/>
      <c r="DE73" s="319"/>
      <c r="DF73" s="319"/>
      <c r="DG73" s="319"/>
      <c r="DH73" s="319"/>
      <c r="DI73" s="319"/>
      <c r="DJ73" s="319"/>
      <c r="DK73" s="319"/>
      <c r="DL73" s="319"/>
      <c r="DM73" s="319"/>
      <c r="DN73" s="319">
        <f>806.4/4*3</f>
        <v>604.79999999999995</v>
      </c>
      <c r="DO73" s="319"/>
      <c r="DP73" s="319">
        <f>181.44/1.8*0.9</f>
        <v>90.72</v>
      </c>
      <c r="DQ73" s="319">
        <f>60.908/1.2*0.6</f>
        <v>30.454000000000001</v>
      </c>
      <c r="DR73" s="319"/>
      <c r="DS73" s="319">
        <v>705.6</v>
      </c>
      <c r="DT73" s="419">
        <f t="shared" ref="DT73:DT97" si="31">SUM(BU73:DS73)</f>
        <v>1895.6819999999998</v>
      </c>
      <c r="DU73" s="57"/>
      <c r="DV73" s="319"/>
      <c r="DW73" s="319"/>
      <c r="DX73" s="319"/>
      <c r="DY73" s="319"/>
      <c r="DZ73" s="319"/>
      <c r="EA73" s="319"/>
      <c r="EB73" s="319"/>
      <c r="EC73" s="319"/>
      <c r="ED73" s="319"/>
      <c r="EE73" s="319"/>
      <c r="EF73" s="319">
        <f>100.8*1.5</f>
        <v>151.19999999999999</v>
      </c>
      <c r="EG73" s="177"/>
      <c r="EH73" s="177"/>
      <c r="EI73" s="177"/>
      <c r="EJ73" s="319"/>
      <c r="EK73" s="319">
        <f>60.908/1.2*0.6</f>
        <v>30.454000000000001</v>
      </c>
      <c r="EL73" s="319">
        <f>181.44/1.8*0.9</f>
        <v>90.72</v>
      </c>
      <c r="EM73" s="319"/>
      <c r="EN73" s="319"/>
      <c r="EO73" s="319">
        <f>100.8</f>
        <v>100.8</v>
      </c>
      <c r="EP73" s="319"/>
      <c r="EQ73" s="319">
        <v>30.24</v>
      </c>
      <c r="ER73" s="319"/>
      <c r="ES73" s="319"/>
      <c r="ET73" s="319">
        <v>151.19999999999999</v>
      </c>
      <c r="EU73" s="319"/>
      <c r="EV73" s="319"/>
      <c r="EW73" s="319"/>
      <c r="EX73" s="319"/>
      <c r="EY73" s="319"/>
      <c r="EZ73" s="319"/>
      <c r="FA73" s="319"/>
      <c r="FB73" s="319"/>
      <c r="FC73" s="319"/>
      <c r="FD73" s="319"/>
      <c r="FE73" s="319"/>
      <c r="FF73" s="319"/>
      <c r="FG73" s="319"/>
      <c r="FH73" s="319"/>
      <c r="FI73" s="319"/>
      <c r="FJ73" s="319"/>
      <c r="FK73" s="319">
        <v>120.96</v>
      </c>
      <c r="FL73" s="319"/>
      <c r="FM73" s="319"/>
      <c r="FN73" s="319"/>
      <c r="FO73" s="319"/>
      <c r="FP73" s="319"/>
      <c r="FQ73" s="319"/>
      <c r="FR73" s="319"/>
      <c r="FS73" s="319"/>
      <c r="FT73" s="319"/>
      <c r="FU73" s="319"/>
      <c r="FV73" s="319">
        <f>181.44/1.8*0.5</f>
        <v>50.4</v>
      </c>
      <c r="FW73" s="319"/>
      <c r="FX73" s="319"/>
      <c r="FY73" s="319"/>
      <c r="FZ73" s="319"/>
      <c r="GA73" s="158">
        <f t="shared" ref="GA73:GA97" si="32">SUM(DV73:FZ73)</f>
        <v>725.97400000000005</v>
      </c>
      <c r="GB73" s="95"/>
      <c r="GC73" s="374"/>
      <c r="GD73" s="319"/>
      <c r="GE73" s="319"/>
      <c r="GF73" s="319"/>
      <c r="GG73" s="319"/>
      <c r="GH73" s="319"/>
      <c r="GI73" s="319"/>
      <c r="GJ73" s="319"/>
      <c r="GK73" s="319"/>
      <c r="GL73" s="319"/>
      <c r="GM73" s="319"/>
      <c r="GN73" s="319"/>
      <c r="GO73" s="319"/>
      <c r="GP73" s="319"/>
      <c r="GQ73" s="28"/>
      <c r="GR73" s="270"/>
      <c r="GS73" s="177"/>
      <c r="GT73" s="177"/>
      <c r="GU73" s="741"/>
      <c r="GV73" s="435"/>
      <c r="GW73" s="327">
        <f t="shared" ref="GW73:GW97" si="33">SUM(GC73:GV73)</f>
        <v>0</v>
      </c>
      <c r="GX73" s="445">
        <f t="shared" ref="GX73:GX97" si="34">I73-GW73</f>
        <v>3635.3</v>
      </c>
      <c r="GY73" s="605">
        <f t="shared" ref="GY73:GY97" si="35">I73</f>
        <v>3635.3</v>
      </c>
      <c r="GZ73" s="627">
        <f>'2_квартал'!G60</f>
        <v>624.46</v>
      </c>
      <c r="HA73" s="239">
        <f t="shared" ref="HA73:HA97" si="36">E73</f>
        <v>1895.68</v>
      </c>
      <c r="HB73" s="36" t="str">
        <f t="shared" ref="HB73:HB97" si="37">B73</f>
        <v>кальция пропионат</v>
      </c>
      <c r="HC73" s="232"/>
      <c r="HD73" s="22"/>
      <c r="HE73" s="22"/>
    </row>
    <row r="74" spans="1:213" ht="15.9" customHeight="1" x14ac:dyDescent="0.3">
      <c r="A74" s="127">
        <f t="shared" ref="A74:A89" si="38">A73+1</f>
        <v>61</v>
      </c>
      <c r="B74" s="688" t="s">
        <v>24</v>
      </c>
      <c r="C74" s="565">
        <f>'2_квартал'!G61</f>
        <v>1399.1</v>
      </c>
      <c r="D74" s="346">
        <v>0</v>
      </c>
      <c r="E74" s="241">
        <v>0</v>
      </c>
      <c r="F74" s="572">
        <v>0</v>
      </c>
      <c r="G74" s="299">
        <f t="shared" si="8"/>
        <v>0</v>
      </c>
      <c r="H74" s="93">
        <v>0</v>
      </c>
      <c r="I74" s="93">
        <v>0</v>
      </c>
      <c r="J74" s="94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245"/>
      <c r="Z74" s="177"/>
      <c r="AA74" s="272"/>
      <c r="AB74" s="24"/>
      <c r="AC74" s="319"/>
      <c r="AD74" s="319"/>
      <c r="AE74" s="319"/>
      <c r="AF74" s="319"/>
      <c r="AG74" s="319"/>
      <c r="AH74" s="177"/>
      <c r="AI74" s="177"/>
      <c r="AJ74" s="319"/>
      <c r="AK74" s="319"/>
      <c r="AL74" s="319"/>
      <c r="AM74" s="319"/>
      <c r="AN74" s="319"/>
      <c r="AO74" s="319"/>
      <c r="AP74" s="319"/>
      <c r="AQ74" s="319"/>
      <c r="AR74" s="319"/>
      <c r="AS74" s="319"/>
      <c r="AT74" s="319"/>
      <c r="AU74" s="319"/>
      <c r="AV74" s="319"/>
      <c r="AW74" s="319"/>
      <c r="AX74" s="319"/>
      <c r="AY74" s="319"/>
      <c r="AZ74" s="319"/>
      <c r="BA74" s="319"/>
      <c r="BB74" s="319"/>
      <c r="BC74" s="319"/>
      <c r="BD74" s="319"/>
      <c r="BE74" s="319"/>
      <c r="BF74" s="319"/>
      <c r="BG74" s="319"/>
      <c r="BH74" s="319"/>
      <c r="BI74" s="319"/>
      <c r="BJ74" s="319"/>
      <c r="BK74" s="319"/>
      <c r="BL74" s="319"/>
      <c r="BM74" s="319"/>
      <c r="BN74" s="319"/>
      <c r="BO74" s="319"/>
      <c r="BP74" s="319"/>
      <c r="BQ74" s="460"/>
      <c r="BR74" s="319"/>
      <c r="BS74" s="158">
        <f t="shared" si="30"/>
        <v>0</v>
      </c>
      <c r="BT74" s="94"/>
      <c r="BU74" s="319"/>
      <c r="BV74" s="319"/>
      <c r="BW74" s="319"/>
      <c r="BX74" s="319"/>
      <c r="BY74" s="319"/>
      <c r="BZ74" s="319"/>
      <c r="CA74" s="319"/>
      <c r="CB74" s="319"/>
      <c r="CC74" s="319"/>
      <c r="CD74" s="319"/>
      <c r="CE74" s="319"/>
      <c r="CF74" s="319"/>
      <c r="CG74" s="319"/>
      <c r="CH74" s="319"/>
      <c r="CI74" s="319"/>
      <c r="CJ74" s="319"/>
      <c r="CK74" s="319"/>
      <c r="CL74" s="319"/>
      <c r="CM74" s="319"/>
      <c r="CN74" s="319"/>
      <c r="CO74" s="319"/>
      <c r="CP74" s="319"/>
      <c r="CQ74" s="319"/>
      <c r="CR74" s="319"/>
      <c r="CS74" s="319"/>
      <c r="CT74" s="319"/>
      <c r="CU74" s="319"/>
      <c r="CV74" s="319"/>
      <c r="CW74" s="319"/>
      <c r="CX74" s="319"/>
      <c r="CY74" s="177"/>
      <c r="CZ74" s="32"/>
      <c r="DA74" s="32"/>
      <c r="DB74" s="319"/>
      <c r="DC74" s="319"/>
      <c r="DD74" s="319"/>
      <c r="DE74" s="319"/>
      <c r="DF74" s="319"/>
      <c r="DG74" s="319"/>
      <c r="DH74" s="319"/>
      <c r="DI74" s="319"/>
      <c r="DJ74" s="319"/>
      <c r="DK74" s="319"/>
      <c r="DL74" s="319"/>
      <c r="DM74" s="319"/>
      <c r="DN74" s="319"/>
      <c r="DO74" s="319"/>
      <c r="DP74" s="319"/>
      <c r="DQ74" s="319"/>
      <c r="DR74" s="319"/>
      <c r="DS74" s="319"/>
      <c r="DT74" s="419">
        <f t="shared" si="31"/>
        <v>0</v>
      </c>
      <c r="DU74" s="58"/>
      <c r="DV74" s="319"/>
      <c r="DW74" s="319"/>
      <c r="DX74" s="319"/>
      <c r="DY74" s="319"/>
      <c r="DZ74" s="319"/>
      <c r="EA74" s="319"/>
      <c r="EB74" s="319"/>
      <c r="EC74" s="319"/>
      <c r="ED74" s="319"/>
      <c r="EE74" s="319"/>
      <c r="EF74" s="319"/>
      <c r="EG74" s="177"/>
      <c r="EH74" s="177"/>
      <c r="EI74" s="177"/>
      <c r="EJ74" s="319"/>
      <c r="EK74" s="319"/>
      <c r="EL74" s="319"/>
      <c r="EM74" s="319"/>
      <c r="EN74" s="319"/>
      <c r="EO74" s="319"/>
      <c r="EP74" s="319"/>
      <c r="EQ74" s="319"/>
      <c r="ER74" s="319"/>
      <c r="ES74" s="319"/>
      <c r="ET74" s="319"/>
      <c r="EU74" s="319"/>
      <c r="EV74" s="319"/>
      <c r="EW74" s="319"/>
      <c r="EX74" s="319"/>
      <c r="EY74" s="319"/>
      <c r="EZ74" s="319"/>
      <c r="FA74" s="319"/>
      <c r="FB74" s="319"/>
      <c r="FC74" s="319"/>
      <c r="FD74" s="319"/>
      <c r="FE74" s="319"/>
      <c r="FF74" s="319"/>
      <c r="FG74" s="319"/>
      <c r="FH74" s="319"/>
      <c r="FI74" s="319"/>
      <c r="FJ74" s="319"/>
      <c r="FK74" s="319"/>
      <c r="FL74" s="319"/>
      <c r="FM74" s="319"/>
      <c r="FN74" s="319"/>
      <c r="FO74" s="319"/>
      <c r="FP74" s="319"/>
      <c r="FQ74" s="319"/>
      <c r="FR74" s="319"/>
      <c r="FS74" s="319"/>
      <c r="FT74" s="319"/>
      <c r="FU74" s="319"/>
      <c r="FV74" s="319"/>
      <c r="FW74" s="319"/>
      <c r="FX74" s="319"/>
      <c r="FY74" s="319"/>
      <c r="FZ74" s="319"/>
      <c r="GA74" s="158">
        <f t="shared" si="32"/>
        <v>0</v>
      </c>
      <c r="GB74" s="95"/>
      <c r="GC74" s="374"/>
      <c r="GD74" s="319"/>
      <c r="GE74" s="319"/>
      <c r="GF74" s="319"/>
      <c r="GG74" s="319"/>
      <c r="GH74" s="319"/>
      <c r="GI74" s="319"/>
      <c r="GJ74" s="319"/>
      <c r="GK74" s="319"/>
      <c r="GL74" s="319"/>
      <c r="GM74" s="319"/>
      <c r="GN74" s="319"/>
      <c r="GO74" s="319"/>
      <c r="GP74" s="319"/>
      <c r="GQ74" s="28"/>
      <c r="GR74" s="270"/>
      <c r="GS74" s="177"/>
      <c r="GT74" s="177"/>
      <c r="GU74" s="741"/>
      <c r="GV74" s="435"/>
      <c r="GW74" s="327">
        <f t="shared" si="33"/>
        <v>0</v>
      </c>
      <c r="GX74" s="445">
        <f t="shared" si="34"/>
        <v>0</v>
      </c>
      <c r="GY74" s="605">
        <f t="shared" si="35"/>
        <v>0</v>
      </c>
      <c r="GZ74" s="627">
        <f>'2_квартал'!G61</f>
        <v>1399.1</v>
      </c>
      <c r="HA74" s="239">
        <f t="shared" si="36"/>
        <v>0</v>
      </c>
      <c r="HB74" s="36" t="str">
        <f t="shared" si="37"/>
        <v>КонСепт Форте</v>
      </c>
      <c r="HC74" s="664"/>
      <c r="HD74" s="15"/>
      <c r="HE74" s="15"/>
    </row>
    <row r="75" spans="1:213" ht="15.9" customHeight="1" x14ac:dyDescent="0.3">
      <c r="A75" s="127">
        <f t="shared" si="38"/>
        <v>62</v>
      </c>
      <c r="B75" s="688" t="s">
        <v>156</v>
      </c>
      <c r="C75" s="565">
        <f>'2_квартал'!G62</f>
        <v>7268.7150000000001</v>
      </c>
      <c r="D75" s="346">
        <v>0</v>
      </c>
      <c r="E75" s="241">
        <v>0</v>
      </c>
      <c r="F75" s="572">
        <v>0</v>
      </c>
      <c r="G75" s="299">
        <f t="shared" si="8"/>
        <v>0</v>
      </c>
      <c r="H75" s="93">
        <v>0</v>
      </c>
      <c r="I75" s="93">
        <v>0</v>
      </c>
      <c r="J75" s="94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245"/>
      <c r="Z75" s="177"/>
      <c r="AA75" s="272"/>
      <c r="AB75" s="24"/>
      <c r="AC75" s="319"/>
      <c r="AD75" s="319"/>
      <c r="AE75" s="319"/>
      <c r="AF75" s="319"/>
      <c r="AG75" s="319"/>
      <c r="AH75" s="177"/>
      <c r="AI75" s="177"/>
      <c r="AJ75" s="319"/>
      <c r="AK75" s="319"/>
      <c r="AL75" s="319"/>
      <c r="AM75" s="319"/>
      <c r="AN75" s="319"/>
      <c r="AO75" s="319"/>
      <c r="AP75" s="319"/>
      <c r="AQ75" s="319"/>
      <c r="AR75" s="319"/>
      <c r="AS75" s="319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319"/>
      <c r="BH75" s="319"/>
      <c r="BI75" s="319"/>
      <c r="BJ75" s="319"/>
      <c r="BK75" s="319"/>
      <c r="BL75" s="319"/>
      <c r="BM75" s="319"/>
      <c r="BN75" s="319"/>
      <c r="BO75" s="319"/>
      <c r="BP75" s="319"/>
      <c r="BQ75" s="460"/>
      <c r="BR75" s="319"/>
      <c r="BS75" s="158">
        <f t="shared" si="30"/>
        <v>0</v>
      </c>
      <c r="BT75" s="94"/>
      <c r="BU75" s="319"/>
      <c r="BV75" s="319"/>
      <c r="BW75" s="319"/>
      <c r="BX75" s="319"/>
      <c r="BY75" s="319"/>
      <c r="BZ75" s="319"/>
      <c r="CA75" s="319"/>
      <c r="CB75" s="319"/>
      <c r="CC75" s="319"/>
      <c r="CD75" s="319"/>
      <c r="CE75" s="319"/>
      <c r="CF75" s="319"/>
      <c r="CG75" s="319"/>
      <c r="CH75" s="319"/>
      <c r="CI75" s="319"/>
      <c r="CJ75" s="319"/>
      <c r="CK75" s="319"/>
      <c r="CL75" s="319"/>
      <c r="CM75" s="319"/>
      <c r="CN75" s="319"/>
      <c r="CO75" s="319"/>
      <c r="CP75" s="319"/>
      <c r="CQ75" s="319"/>
      <c r="CR75" s="319"/>
      <c r="CS75" s="319"/>
      <c r="CT75" s="319"/>
      <c r="CU75" s="319"/>
      <c r="CV75" s="319"/>
      <c r="CW75" s="319"/>
      <c r="CX75" s="319"/>
      <c r="CY75" s="177"/>
      <c r="CZ75" s="32"/>
      <c r="DA75" s="32"/>
      <c r="DB75" s="319"/>
      <c r="DC75" s="319"/>
      <c r="DD75" s="319"/>
      <c r="DE75" s="319"/>
      <c r="DF75" s="319"/>
      <c r="DG75" s="319"/>
      <c r="DH75" s="319"/>
      <c r="DI75" s="319"/>
      <c r="DJ75" s="319"/>
      <c r="DK75" s="319"/>
      <c r="DL75" s="319"/>
      <c r="DM75" s="319"/>
      <c r="DN75" s="319"/>
      <c r="DO75" s="319"/>
      <c r="DP75" s="319"/>
      <c r="DQ75" s="319"/>
      <c r="DR75" s="319"/>
      <c r="DS75" s="319"/>
      <c r="DT75" s="419">
        <f t="shared" si="31"/>
        <v>0</v>
      </c>
      <c r="DU75" s="57"/>
      <c r="DV75" s="319"/>
      <c r="DW75" s="319"/>
      <c r="DX75" s="319"/>
      <c r="DY75" s="319"/>
      <c r="DZ75" s="319"/>
      <c r="EA75" s="319"/>
      <c r="EB75" s="319"/>
      <c r="EC75" s="319"/>
      <c r="ED75" s="319"/>
      <c r="EE75" s="319"/>
      <c r="EF75" s="319"/>
      <c r="EG75" s="177"/>
      <c r="EH75" s="177"/>
      <c r="EI75" s="177"/>
      <c r="EJ75" s="319"/>
      <c r="EK75" s="319"/>
      <c r="EL75" s="319"/>
      <c r="EM75" s="319"/>
      <c r="EN75" s="319"/>
      <c r="EO75" s="319"/>
      <c r="EP75" s="319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319"/>
      <c r="FD75" s="319"/>
      <c r="FE75" s="319"/>
      <c r="FF75" s="319"/>
      <c r="FG75" s="319"/>
      <c r="FH75" s="319"/>
      <c r="FI75" s="319"/>
      <c r="FJ75" s="319"/>
      <c r="FK75" s="319"/>
      <c r="FL75" s="319"/>
      <c r="FM75" s="319"/>
      <c r="FN75" s="319"/>
      <c r="FO75" s="319"/>
      <c r="FP75" s="319"/>
      <c r="FQ75" s="319"/>
      <c r="FR75" s="319"/>
      <c r="FS75" s="319"/>
      <c r="FT75" s="319"/>
      <c r="FU75" s="319"/>
      <c r="FV75" s="319"/>
      <c r="FW75" s="319"/>
      <c r="FX75" s="319"/>
      <c r="FY75" s="319"/>
      <c r="FZ75" s="319"/>
      <c r="GA75" s="158">
        <f t="shared" si="32"/>
        <v>0</v>
      </c>
      <c r="GB75" s="95"/>
      <c r="GC75" s="374"/>
      <c r="GD75" s="319"/>
      <c r="GE75" s="319"/>
      <c r="GF75" s="319"/>
      <c r="GG75" s="319"/>
      <c r="GH75" s="319"/>
      <c r="GI75" s="319"/>
      <c r="GJ75" s="319"/>
      <c r="GK75" s="319"/>
      <c r="GL75" s="319"/>
      <c r="GM75" s="319"/>
      <c r="GN75" s="319"/>
      <c r="GO75" s="319"/>
      <c r="GP75" s="319"/>
      <c r="GQ75" s="28"/>
      <c r="GR75" s="270"/>
      <c r="GS75" s="177"/>
      <c r="GT75" s="177"/>
      <c r="GU75" s="741"/>
      <c r="GV75" s="435"/>
      <c r="GW75" s="327">
        <f t="shared" si="33"/>
        <v>0</v>
      </c>
      <c r="GX75" s="445">
        <f t="shared" si="34"/>
        <v>0</v>
      </c>
      <c r="GY75" s="605">
        <f t="shared" si="35"/>
        <v>0</v>
      </c>
      <c r="GZ75" s="627">
        <f>'2_квартал'!G62</f>
        <v>7268.7150000000001</v>
      </c>
      <c r="HA75" s="239">
        <f t="shared" si="36"/>
        <v>0</v>
      </c>
      <c r="HB75" s="36" t="str">
        <f t="shared" si="37"/>
        <v>Корм.концентрат  Ультра Фид Ф</v>
      </c>
      <c r="HC75" s="38"/>
      <c r="HD75" s="14"/>
      <c r="HE75" s="14"/>
    </row>
    <row r="76" spans="1:213" ht="15.9" customHeight="1" x14ac:dyDescent="0.3">
      <c r="A76" s="127">
        <f t="shared" si="38"/>
        <v>63</v>
      </c>
      <c r="B76" s="691" t="s">
        <v>32</v>
      </c>
      <c r="C76" s="565">
        <f>'2_квартал'!G64</f>
        <v>4786.49</v>
      </c>
      <c r="D76" s="346">
        <f>306.32+24.5+24.5+24+13.36</f>
        <v>392.68</v>
      </c>
      <c r="E76" s="241">
        <f>161.64+71.9</f>
        <v>233.54</v>
      </c>
      <c r="F76" s="572">
        <v>400.48</v>
      </c>
      <c r="G76" s="299">
        <f t="shared" si="8"/>
        <v>342.233</v>
      </c>
      <c r="H76" s="93">
        <v>503.1</v>
      </c>
      <c r="I76" s="93">
        <f>102.62+398</f>
        <v>500.62</v>
      </c>
      <c r="J76" s="94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>
        <f>0.97*2</f>
        <v>1.94</v>
      </c>
      <c r="X76" s="319"/>
      <c r="Y76" s="245"/>
      <c r="Z76" s="177">
        <v>4.0339999999999998</v>
      </c>
      <c r="AA76" s="272">
        <v>267.12</v>
      </c>
      <c r="AB76" s="24"/>
      <c r="AC76" s="319"/>
      <c r="AD76" s="319"/>
      <c r="AE76" s="319">
        <v>12.096</v>
      </c>
      <c r="AF76" s="319">
        <v>6.35</v>
      </c>
      <c r="AG76" s="319"/>
      <c r="AH76" s="177">
        <v>0.33600000000000002</v>
      </c>
      <c r="AI76" s="177"/>
      <c r="AJ76" s="319"/>
      <c r="AK76" s="319"/>
      <c r="AL76" s="319"/>
      <c r="AM76" s="319"/>
      <c r="AN76" s="319"/>
      <c r="AO76" s="319"/>
      <c r="AP76" s="319"/>
      <c r="AQ76" s="319"/>
      <c r="AR76" s="319"/>
      <c r="AS76" s="319"/>
      <c r="AT76" s="319"/>
      <c r="AU76" s="319"/>
      <c r="AV76" s="319"/>
      <c r="AW76" s="319"/>
      <c r="AX76" s="319"/>
      <c r="AY76" s="319"/>
      <c r="AZ76" s="319"/>
      <c r="BA76" s="319">
        <v>36.287999999999997</v>
      </c>
      <c r="BB76" s="319"/>
      <c r="BC76" s="319"/>
      <c r="BD76" s="319">
        <f>20.16*2</f>
        <v>40.32</v>
      </c>
      <c r="BE76" s="319"/>
      <c r="BF76" s="319"/>
      <c r="BG76" s="319">
        <f>15.12/1.5*0.4</f>
        <v>4.032</v>
      </c>
      <c r="BH76" s="319">
        <f>13.44*0.6</f>
        <v>8.0640000000000001</v>
      </c>
      <c r="BI76" s="319">
        <f>20.16*0.6</f>
        <v>12.096</v>
      </c>
      <c r="BJ76" s="319"/>
      <c r="BK76" s="319"/>
      <c r="BL76" s="319"/>
      <c r="BM76" s="319"/>
      <c r="BN76" s="319"/>
      <c r="BO76" s="319"/>
      <c r="BP76" s="319"/>
      <c r="BQ76" s="460"/>
      <c r="BR76" s="319"/>
      <c r="BS76" s="158">
        <f t="shared" si="30"/>
        <v>392.67600000000004</v>
      </c>
      <c r="BT76" s="94"/>
      <c r="BU76" s="319"/>
      <c r="BV76" s="319"/>
      <c r="BW76" s="319">
        <f>0.203/3*1.5</f>
        <v>0.10150000000000001</v>
      </c>
      <c r="BX76" s="319">
        <f>1.512/3*1.5</f>
        <v>0.75600000000000001</v>
      </c>
      <c r="BY76" s="319">
        <f>2.689/4*2</f>
        <v>1.3445</v>
      </c>
      <c r="BZ76" s="319"/>
      <c r="CA76" s="319">
        <v>6.35</v>
      </c>
      <c r="CB76" s="319">
        <v>36.287999999999997</v>
      </c>
      <c r="CC76" s="319">
        <v>24.192</v>
      </c>
      <c r="CD76" s="319"/>
      <c r="CE76" s="319"/>
      <c r="CF76" s="319">
        <v>0.36899999999999999</v>
      </c>
      <c r="CG76" s="319">
        <v>1.0580000000000001</v>
      </c>
      <c r="CH76" s="319"/>
      <c r="CI76" s="319"/>
      <c r="CJ76" s="319"/>
      <c r="CK76" s="319">
        <v>40.32</v>
      </c>
      <c r="CL76" s="319"/>
      <c r="CM76" s="319"/>
      <c r="CN76" s="319">
        <v>20.16</v>
      </c>
      <c r="CO76" s="319"/>
      <c r="CP76" s="319"/>
      <c r="CQ76" s="319"/>
      <c r="CR76" s="319"/>
      <c r="CS76" s="319"/>
      <c r="CT76" s="319">
        <f>1.512/3*1.5</f>
        <v>0.75600000000000001</v>
      </c>
      <c r="CU76" s="319">
        <f>0.203/3*1.5</f>
        <v>0.10150000000000001</v>
      </c>
      <c r="CV76" s="319">
        <f>2.689/4*2</f>
        <v>1.3445</v>
      </c>
      <c r="CW76" s="319"/>
      <c r="CX76" s="319"/>
      <c r="CY76" s="177"/>
      <c r="CZ76" s="32"/>
      <c r="DA76" s="32"/>
      <c r="DB76" s="319"/>
      <c r="DC76" s="319">
        <f>20.16*0.3</f>
        <v>6.048</v>
      </c>
      <c r="DD76" s="319">
        <v>60.48</v>
      </c>
      <c r="DE76" s="319"/>
      <c r="DF76" s="319"/>
      <c r="DG76" s="319"/>
      <c r="DH76" s="319"/>
      <c r="DI76" s="319"/>
      <c r="DJ76" s="319"/>
      <c r="DK76" s="319"/>
      <c r="DL76" s="319"/>
      <c r="DM76" s="319"/>
      <c r="DN76" s="319"/>
      <c r="DO76" s="319">
        <f>7.258/0.8*0.4</f>
        <v>3.629</v>
      </c>
      <c r="DP76" s="319">
        <f>36.288/1.8*0.9</f>
        <v>18.143999999999998</v>
      </c>
      <c r="DQ76" s="319">
        <f>24.192/1.2*0.6</f>
        <v>12.096</v>
      </c>
      <c r="DR76" s="319"/>
      <c r="DS76" s="319"/>
      <c r="DT76" s="419">
        <f t="shared" si="31"/>
        <v>233.53799999999998</v>
      </c>
      <c r="DU76" s="57"/>
      <c r="DV76" s="319"/>
      <c r="DW76" s="319"/>
      <c r="DX76" s="319">
        <v>1.21</v>
      </c>
      <c r="DY76" s="319"/>
      <c r="DZ76" s="319"/>
      <c r="EA76" s="319"/>
      <c r="EB76" s="319"/>
      <c r="EC76" s="319"/>
      <c r="ED76" s="319"/>
      <c r="EE76" s="319"/>
      <c r="EF76" s="319"/>
      <c r="EG76" s="177">
        <v>0.04</v>
      </c>
      <c r="EH76" s="177">
        <f>0.06/12*8</f>
        <v>0.04</v>
      </c>
      <c r="EI76" s="177">
        <f>0.06/12*4</f>
        <v>0.02</v>
      </c>
      <c r="EJ76" s="319">
        <f>7.258/0.8*0.4</f>
        <v>3.629</v>
      </c>
      <c r="EK76" s="319">
        <f>24.192/1.2*0.6</f>
        <v>12.096</v>
      </c>
      <c r="EL76" s="319">
        <f>36.288/1.8*0.9</f>
        <v>18.143999999999998</v>
      </c>
      <c r="EM76" s="319"/>
      <c r="EN76" s="319"/>
      <c r="EO76" s="319"/>
      <c r="EP76" s="319"/>
      <c r="EQ76" s="319"/>
      <c r="ER76" s="319"/>
      <c r="ES76" s="319">
        <f>6.048/0.3*0.6</f>
        <v>12.096</v>
      </c>
      <c r="ET76" s="319"/>
      <c r="EU76" s="319"/>
      <c r="EV76" s="319">
        <v>302.39999999999998</v>
      </c>
      <c r="EW76" s="319"/>
      <c r="EX76" s="319"/>
      <c r="EY76" s="319"/>
      <c r="EZ76" s="319"/>
      <c r="FA76" s="319"/>
      <c r="FB76" s="319">
        <v>20.16</v>
      </c>
      <c r="FC76" s="319"/>
      <c r="FD76" s="319"/>
      <c r="FE76" s="319"/>
      <c r="FF76" s="319"/>
      <c r="FG76" s="319"/>
      <c r="FH76" s="319"/>
      <c r="FI76" s="319"/>
      <c r="FJ76" s="319"/>
      <c r="FK76" s="319"/>
      <c r="FL76" s="319"/>
      <c r="FM76" s="319"/>
      <c r="FN76" s="319"/>
      <c r="FO76" s="319">
        <v>4.032</v>
      </c>
      <c r="FP76" s="319">
        <v>4.032</v>
      </c>
      <c r="FQ76" s="319">
        <v>2.419</v>
      </c>
      <c r="FR76" s="319">
        <v>10.08</v>
      </c>
      <c r="FS76" s="319"/>
      <c r="FT76" s="319"/>
      <c r="FU76" s="319"/>
      <c r="FV76" s="319">
        <f>36.288/1.8*0.5</f>
        <v>10.079999999999998</v>
      </c>
      <c r="FW76" s="319"/>
      <c r="FX76" s="319"/>
      <c r="FY76" s="319"/>
      <c r="FZ76" s="319"/>
      <c r="GA76" s="158">
        <f t="shared" si="32"/>
        <v>400.47799999999989</v>
      </c>
      <c r="GB76" s="95"/>
      <c r="GC76" s="374"/>
      <c r="GD76" s="319"/>
      <c r="GE76" s="319"/>
      <c r="GF76" s="319"/>
      <c r="GG76" s="319"/>
      <c r="GH76" s="319"/>
      <c r="GI76" s="319"/>
      <c r="GJ76" s="319"/>
      <c r="GK76" s="319"/>
      <c r="GL76" s="319"/>
      <c r="GM76" s="319"/>
      <c r="GN76" s="319"/>
      <c r="GO76" s="319"/>
      <c r="GP76" s="319"/>
      <c r="GQ76" s="28"/>
      <c r="GR76" s="270"/>
      <c r="GS76" s="177"/>
      <c r="GT76" s="177"/>
      <c r="GU76" s="741"/>
      <c r="GV76" s="435"/>
      <c r="GW76" s="327">
        <f t="shared" si="33"/>
        <v>0</v>
      </c>
      <c r="GX76" s="454">
        <f t="shared" si="34"/>
        <v>500.62</v>
      </c>
      <c r="GY76" s="605">
        <f t="shared" si="35"/>
        <v>500.62</v>
      </c>
      <c r="GZ76" s="627">
        <f>'2_квартал'!G64</f>
        <v>4786.49</v>
      </c>
      <c r="HA76" s="239">
        <f t="shared" si="36"/>
        <v>233.54</v>
      </c>
      <c r="HB76" s="36" t="str">
        <f t="shared" si="37"/>
        <v>и-сак</v>
      </c>
      <c r="HC76" s="664"/>
      <c r="HD76" s="14"/>
      <c r="HE76" s="14"/>
    </row>
    <row r="77" spans="1:213" ht="15.9" customHeight="1" x14ac:dyDescent="0.3">
      <c r="A77" s="127">
        <f t="shared" si="38"/>
        <v>64</v>
      </c>
      <c r="B77" s="694" t="s">
        <v>22</v>
      </c>
      <c r="C77" s="565">
        <f>'2_квартал'!G65</f>
        <v>2595.8150000000001</v>
      </c>
      <c r="D77" s="346">
        <v>0</v>
      </c>
      <c r="E77" s="241">
        <v>0</v>
      </c>
      <c r="F77" s="572">
        <v>0</v>
      </c>
      <c r="G77" s="299">
        <f t="shared" si="8"/>
        <v>0</v>
      </c>
      <c r="H77" s="93">
        <v>0</v>
      </c>
      <c r="I77" s="93">
        <v>0</v>
      </c>
      <c r="J77" s="146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245"/>
      <c r="Z77" s="177"/>
      <c r="AA77" s="272"/>
      <c r="AB77" s="24"/>
      <c r="AC77" s="319"/>
      <c r="AD77" s="319"/>
      <c r="AE77" s="319"/>
      <c r="AF77" s="319"/>
      <c r="AG77" s="319"/>
      <c r="AH77" s="177"/>
      <c r="AI77" s="177"/>
      <c r="AJ77" s="319"/>
      <c r="AK77" s="319"/>
      <c r="AL77" s="319"/>
      <c r="AM77" s="319"/>
      <c r="AN77" s="319"/>
      <c r="AO77" s="319"/>
      <c r="AP77" s="319"/>
      <c r="AQ77" s="319"/>
      <c r="AR77" s="319"/>
      <c r="AS77" s="319"/>
      <c r="AT77" s="319"/>
      <c r="AU77" s="319"/>
      <c r="AV77" s="319"/>
      <c r="AW77" s="319"/>
      <c r="AX77" s="319"/>
      <c r="AY77" s="319"/>
      <c r="AZ77" s="319"/>
      <c r="BA77" s="319"/>
      <c r="BB77" s="319"/>
      <c r="BC77" s="319"/>
      <c r="BD77" s="319"/>
      <c r="BE77" s="319"/>
      <c r="BF77" s="319"/>
      <c r="BG77" s="319"/>
      <c r="BH77" s="319"/>
      <c r="BI77" s="319"/>
      <c r="BJ77" s="319"/>
      <c r="BK77" s="319"/>
      <c r="BL77" s="319"/>
      <c r="BM77" s="319"/>
      <c r="BN77" s="319"/>
      <c r="BO77" s="319"/>
      <c r="BP77" s="319"/>
      <c r="BQ77" s="460"/>
      <c r="BR77" s="319"/>
      <c r="BS77" s="158">
        <f t="shared" si="30"/>
        <v>0</v>
      </c>
      <c r="BT77" s="146"/>
      <c r="BU77" s="319"/>
      <c r="BV77" s="319"/>
      <c r="BW77" s="319"/>
      <c r="BX77" s="319"/>
      <c r="BY77" s="319"/>
      <c r="BZ77" s="319"/>
      <c r="CA77" s="319"/>
      <c r="CB77" s="319"/>
      <c r="CC77" s="319"/>
      <c r="CD77" s="319"/>
      <c r="CE77" s="319"/>
      <c r="CF77" s="319"/>
      <c r="CG77" s="319"/>
      <c r="CH77" s="319"/>
      <c r="CI77" s="319"/>
      <c r="CJ77" s="319"/>
      <c r="CK77" s="319"/>
      <c r="CL77" s="319"/>
      <c r="CM77" s="319"/>
      <c r="CN77" s="319"/>
      <c r="CO77" s="319"/>
      <c r="CP77" s="319"/>
      <c r="CQ77" s="319"/>
      <c r="CR77" s="319"/>
      <c r="CS77" s="319"/>
      <c r="CT77" s="319"/>
      <c r="CU77" s="319"/>
      <c r="CV77" s="319"/>
      <c r="CW77" s="319"/>
      <c r="CX77" s="319"/>
      <c r="CY77" s="177"/>
      <c r="CZ77" s="32"/>
      <c r="DA77" s="32"/>
      <c r="DB77" s="319"/>
      <c r="DC77" s="319"/>
      <c r="DD77" s="319"/>
      <c r="DE77" s="319"/>
      <c r="DF77" s="319"/>
      <c r="DG77" s="319"/>
      <c r="DH77" s="319"/>
      <c r="DI77" s="319"/>
      <c r="DJ77" s="319"/>
      <c r="DK77" s="319"/>
      <c r="DL77" s="319"/>
      <c r="DM77" s="319"/>
      <c r="DN77" s="319"/>
      <c r="DO77" s="319"/>
      <c r="DP77" s="319"/>
      <c r="DQ77" s="319"/>
      <c r="DR77" s="319"/>
      <c r="DS77" s="319"/>
      <c r="DT77" s="419">
        <f t="shared" si="31"/>
        <v>0</v>
      </c>
      <c r="DU77" s="147"/>
      <c r="DV77" s="319"/>
      <c r="DW77" s="319"/>
      <c r="DX77" s="319"/>
      <c r="DY77" s="319"/>
      <c r="DZ77" s="319"/>
      <c r="EA77" s="319"/>
      <c r="EB77" s="319"/>
      <c r="EC77" s="319"/>
      <c r="ED77" s="319"/>
      <c r="EE77" s="319"/>
      <c r="EF77" s="319"/>
      <c r="EG77" s="177"/>
      <c r="EH77" s="177"/>
      <c r="EI77" s="177"/>
      <c r="EJ77" s="319"/>
      <c r="EK77" s="319"/>
      <c r="EL77" s="319"/>
      <c r="EM77" s="319"/>
      <c r="EN77" s="319"/>
      <c r="EO77" s="319"/>
      <c r="EP77" s="319"/>
      <c r="EQ77" s="319"/>
      <c r="ER77" s="319"/>
      <c r="ES77" s="319"/>
      <c r="ET77" s="319"/>
      <c r="EU77" s="319"/>
      <c r="EV77" s="319"/>
      <c r="EW77" s="319"/>
      <c r="EX77" s="319"/>
      <c r="EY77" s="319"/>
      <c r="EZ77" s="319"/>
      <c r="FA77" s="319"/>
      <c r="FB77" s="319"/>
      <c r="FC77" s="319"/>
      <c r="FD77" s="319"/>
      <c r="FE77" s="319"/>
      <c r="FF77" s="319"/>
      <c r="FG77" s="319"/>
      <c r="FH77" s="319"/>
      <c r="FI77" s="319"/>
      <c r="FJ77" s="319"/>
      <c r="FK77" s="319"/>
      <c r="FL77" s="319"/>
      <c r="FM77" s="319"/>
      <c r="FN77" s="319"/>
      <c r="FO77" s="319"/>
      <c r="FP77" s="319"/>
      <c r="FQ77" s="319"/>
      <c r="FR77" s="319"/>
      <c r="FS77" s="319"/>
      <c r="FT77" s="319"/>
      <c r="FU77" s="319"/>
      <c r="FV77" s="319"/>
      <c r="FW77" s="319"/>
      <c r="FX77" s="319"/>
      <c r="FY77" s="319"/>
      <c r="FZ77" s="319"/>
      <c r="GA77" s="158">
        <f t="shared" si="32"/>
        <v>0</v>
      </c>
      <c r="GB77" s="148"/>
      <c r="GC77" s="374"/>
      <c r="GD77" s="319"/>
      <c r="GE77" s="319"/>
      <c r="GF77" s="319"/>
      <c r="GG77" s="319"/>
      <c r="GH77" s="319"/>
      <c r="GI77" s="319"/>
      <c r="GJ77" s="319"/>
      <c r="GK77" s="319"/>
      <c r="GL77" s="319"/>
      <c r="GM77" s="319"/>
      <c r="GN77" s="319"/>
      <c r="GO77" s="319"/>
      <c r="GP77" s="319"/>
      <c r="GQ77" s="28"/>
      <c r="GR77" s="270"/>
      <c r="GS77" s="177"/>
      <c r="GT77" s="177"/>
      <c r="GU77" s="741"/>
      <c r="GV77" s="435"/>
      <c r="GW77" s="327">
        <f t="shared" si="33"/>
        <v>0</v>
      </c>
      <c r="GX77" s="445">
        <f t="shared" si="34"/>
        <v>0</v>
      </c>
      <c r="GY77" s="605">
        <f t="shared" si="35"/>
        <v>0</v>
      </c>
      <c r="GZ77" s="627">
        <f>'2_квартал'!G65</f>
        <v>2595.8150000000001</v>
      </c>
      <c r="HA77" s="239">
        <f t="shared" si="36"/>
        <v>0</v>
      </c>
      <c r="HB77" s="36" t="str">
        <f t="shared" si="37"/>
        <v>Новират плюс</v>
      </c>
      <c r="HC77" s="38"/>
      <c r="HD77" s="26"/>
      <c r="HE77" s="26"/>
    </row>
    <row r="78" spans="1:213" ht="15.9" customHeight="1" x14ac:dyDescent="0.3">
      <c r="A78" s="127">
        <f t="shared" si="38"/>
        <v>65</v>
      </c>
      <c r="B78" s="691" t="s">
        <v>159</v>
      </c>
      <c r="C78" s="565">
        <f>'2_квартал'!G66</f>
        <v>0.86499999999999999</v>
      </c>
      <c r="D78" s="593">
        <v>28.02</v>
      </c>
      <c r="E78" s="241">
        <v>9.57</v>
      </c>
      <c r="F78" s="572">
        <f>6.96+35.17</f>
        <v>42.13</v>
      </c>
      <c r="G78" s="299">
        <f t="shared" si="8"/>
        <v>26.573</v>
      </c>
      <c r="H78" s="93">
        <v>6.96</v>
      </c>
      <c r="I78" s="93">
        <v>14.83</v>
      </c>
      <c r="J78" s="146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245"/>
      <c r="Z78" s="177">
        <v>10.08</v>
      </c>
      <c r="AA78" s="272">
        <v>10.08</v>
      </c>
      <c r="AB78" s="24"/>
      <c r="AC78" s="319"/>
      <c r="AD78" s="319"/>
      <c r="AE78" s="319"/>
      <c r="AF78" s="319"/>
      <c r="AG78" s="319"/>
      <c r="AH78" s="177">
        <v>1.68</v>
      </c>
      <c r="AI78" s="177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>
        <v>4.8380000000000001</v>
      </c>
      <c r="BB78" s="319"/>
      <c r="BC78" s="319"/>
      <c r="BD78" s="319"/>
      <c r="BE78" s="319"/>
      <c r="BF78" s="319"/>
      <c r="BG78" s="319">
        <f>5.04/1.5*0.4</f>
        <v>1.3440000000000001</v>
      </c>
      <c r="BH78" s="319"/>
      <c r="BI78" s="319"/>
      <c r="BJ78" s="319"/>
      <c r="BK78" s="319"/>
      <c r="BL78" s="319"/>
      <c r="BM78" s="319"/>
      <c r="BN78" s="319"/>
      <c r="BO78" s="319"/>
      <c r="BP78" s="319"/>
      <c r="BQ78" s="460"/>
      <c r="BR78" s="319"/>
      <c r="BS78" s="158">
        <f t="shared" si="30"/>
        <v>28.022000000000002</v>
      </c>
      <c r="BT78" s="146"/>
      <c r="BU78" s="319"/>
      <c r="BV78" s="319"/>
      <c r="BW78" s="319"/>
      <c r="BX78" s="319">
        <f>8.064/3*1.5</f>
        <v>4.032</v>
      </c>
      <c r="BY78" s="319"/>
      <c r="BZ78" s="319"/>
      <c r="CA78" s="319"/>
      <c r="CB78" s="319"/>
      <c r="CC78" s="319"/>
      <c r="CD78" s="319"/>
      <c r="CE78" s="319"/>
      <c r="CF78" s="319"/>
      <c r="CG78" s="319">
        <v>1.512</v>
      </c>
      <c r="CH78" s="319"/>
      <c r="CI78" s="319"/>
      <c r="CJ78" s="319"/>
      <c r="CK78" s="319"/>
      <c r="CL78" s="319"/>
      <c r="CM78" s="319"/>
      <c r="CN78" s="319"/>
      <c r="CO78" s="319"/>
      <c r="CP78" s="319"/>
      <c r="CQ78" s="319"/>
      <c r="CR78" s="319"/>
      <c r="CS78" s="319"/>
      <c r="CT78" s="319">
        <f>8.064/3*1.5</f>
        <v>4.032</v>
      </c>
      <c r="CU78" s="319"/>
      <c r="CV78" s="319"/>
      <c r="CW78" s="319"/>
      <c r="CX78" s="319"/>
      <c r="CY78" s="177"/>
      <c r="CZ78" s="32"/>
      <c r="DA78" s="32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419">
        <f t="shared" si="31"/>
        <v>9.5760000000000005</v>
      </c>
      <c r="DU78" s="147"/>
      <c r="DV78" s="319"/>
      <c r="DW78" s="319"/>
      <c r="DX78" s="319">
        <v>4.8380000000000001</v>
      </c>
      <c r="DY78" s="319"/>
      <c r="DZ78" s="319"/>
      <c r="EA78" s="319"/>
      <c r="EB78" s="319"/>
      <c r="EC78" s="319"/>
      <c r="ED78" s="319"/>
      <c r="EE78" s="319"/>
      <c r="EF78" s="319"/>
      <c r="EG78" s="177">
        <v>10.752000000000001</v>
      </c>
      <c r="EH78" s="177">
        <f>24.192/12*8</f>
        <v>16.128</v>
      </c>
      <c r="EI78" s="177">
        <f>24.192/12*4</f>
        <v>8.0640000000000001</v>
      </c>
      <c r="EJ78" s="319"/>
      <c r="EK78" s="319"/>
      <c r="EL78" s="319"/>
      <c r="EM78" s="319"/>
      <c r="EN78" s="319"/>
      <c r="EO78" s="319"/>
      <c r="EP78" s="319"/>
      <c r="EQ78" s="319"/>
      <c r="ER78" s="319"/>
      <c r="ES78" s="319"/>
      <c r="ET78" s="319"/>
      <c r="EU78" s="319"/>
      <c r="EV78" s="319">
        <v>1.008</v>
      </c>
      <c r="EW78" s="319"/>
      <c r="EX78" s="319"/>
      <c r="EY78" s="319"/>
      <c r="EZ78" s="319"/>
      <c r="FA78" s="319"/>
      <c r="FB78" s="319"/>
      <c r="FC78" s="319"/>
      <c r="FD78" s="319"/>
      <c r="FE78" s="319"/>
      <c r="FF78" s="319"/>
      <c r="FG78" s="319"/>
      <c r="FH78" s="319"/>
      <c r="FI78" s="319"/>
      <c r="FJ78" s="319"/>
      <c r="FK78" s="319"/>
      <c r="FL78" s="319"/>
      <c r="FM78" s="319"/>
      <c r="FN78" s="319"/>
      <c r="FO78" s="319"/>
      <c r="FP78" s="319"/>
      <c r="FQ78" s="319"/>
      <c r="FR78" s="319">
        <v>1.3440000000000001</v>
      </c>
      <c r="FS78" s="319"/>
      <c r="FT78" s="319"/>
      <c r="FU78" s="319"/>
      <c r="FV78" s="319"/>
      <c r="FW78" s="319"/>
      <c r="FX78" s="319"/>
      <c r="FY78" s="319"/>
      <c r="FZ78" s="319"/>
      <c r="GA78" s="158">
        <f t="shared" si="32"/>
        <v>42.134</v>
      </c>
      <c r="GB78" s="148"/>
      <c r="GC78" s="374"/>
      <c r="GD78" s="319"/>
      <c r="GE78" s="319"/>
      <c r="GF78" s="319"/>
      <c r="GG78" s="319"/>
      <c r="GH78" s="319"/>
      <c r="GI78" s="319"/>
      <c r="GJ78" s="319"/>
      <c r="GK78" s="319"/>
      <c r="GL78" s="319"/>
      <c r="GM78" s="319"/>
      <c r="GN78" s="319"/>
      <c r="GO78" s="319"/>
      <c r="GP78" s="319"/>
      <c r="GQ78" s="28"/>
      <c r="GR78" s="270"/>
      <c r="GS78" s="177"/>
      <c r="GT78" s="177"/>
      <c r="GU78" s="741"/>
      <c r="GV78" s="435"/>
      <c r="GW78" s="327">
        <f t="shared" si="33"/>
        <v>0</v>
      </c>
      <c r="GX78" s="558">
        <f t="shared" si="34"/>
        <v>14.83</v>
      </c>
      <c r="GY78" s="605">
        <f t="shared" si="35"/>
        <v>14.83</v>
      </c>
      <c r="GZ78" s="627">
        <f>'2_квартал'!G66</f>
        <v>0.86499999999999999</v>
      </c>
      <c r="HA78" s="239">
        <f t="shared" si="36"/>
        <v>9.57</v>
      </c>
      <c r="HB78" s="36" t="str">
        <f t="shared" si="37"/>
        <v>Селениум Ист 3000</v>
      </c>
      <c r="HC78" s="38"/>
      <c r="HD78" s="26"/>
      <c r="HE78" s="26"/>
    </row>
    <row r="79" spans="1:213" ht="15.9" customHeight="1" x14ac:dyDescent="0.3">
      <c r="A79" s="127">
        <f t="shared" si="38"/>
        <v>66</v>
      </c>
      <c r="B79" s="691" t="s">
        <v>113</v>
      </c>
      <c r="C79" s="565">
        <f>'2_квартал'!G67</f>
        <v>130.64500000000001</v>
      </c>
      <c r="D79" s="346">
        <f>551.2+320.61</f>
        <v>871.81000000000006</v>
      </c>
      <c r="E79" s="241">
        <v>669.07</v>
      </c>
      <c r="F79" s="572">
        <f>9.32+699+65.35</f>
        <v>773.67000000000007</v>
      </c>
      <c r="G79" s="299">
        <f t="shared" si="8"/>
        <v>771.51700000000005</v>
      </c>
      <c r="H79" s="93">
        <f>9.32+999+999</f>
        <v>2007.3200000000002</v>
      </c>
      <c r="I79" s="93">
        <f>933.65+1000</f>
        <v>1933.65</v>
      </c>
      <c r="J79" s="94"/>
      <c r="K79" s="319">
        <f>5.259/0.3*0.6</f>
        <v>10.518000000000001</v>
      </c>
      <c r="L79" s="319"/>
      <c r="M79" s="319">
        <v>22.088000000000001</v>
      </c>
      <c r="N79" s="319">
        <f>21.913*3</f>
        <v>65.739000000000004</v>
      </c>
      <c r="O79" s="319">
        <v>54.783000000000001</v>
      </c>
      <c r="P79" s="319">
        <v>3.5059999999999998</v>
      </c>
      <c r="Q79" s="319"/>
      <c r="R79" s="319"/>
      <c r="S79" s="319"/>
      <c r="T79" s="319">
        <v>1.841</v>
      </c>
      <c r="U79" s="319">
        <f>21.913*9</f>
        <v>197.21700000000001</v>
      </c>
      <c r="V79" s="319">
        <v>21.913</v>
      </c>
      <c r="W79" s="319"/>
      <c r="X79" s="319"/>
      <c r="Y79" s="245"/>
      <c r="Z79" s="177"/>
      <c r="AA79" s="272"/>
      <c r="AB79" s="24"/>
      <c r="AC79" s="319">
        <v>0.39400000000000002</v>
      </c>
      <c r="AD79" s="319">
        <v>3.2869999999999999</v>
      </c>
      <c r="AE79" s="319">
        <v>2.1040000000000001</v>
      </c>
      <c r="AF79" s="319">
        <v>1.534</v>
      </c>
      <c r="AG79" s="319">
        <v>5.2590000000000003</v>
      </c>
      <c r="AH79" s="177"/>
      <c r="AI79" s="177"/>
      <c r="AJ79" s="319">
        <f>4.383*0.8</f>
        <v>3.5064000000000002</v>
      </c>
      <c r="AK79" s="319">
        <f>21.913*1.5</f>
        <v>32.869500000000002</v>
      </c>
      <c r="AL79" s="319">
        <f>4.383*0.6</f>
        <v>2.6297999999999999</v>
      </c>
      <c r="AM79" s="319">
        <f>21.913*3</f>
        <v>65.739000000000004</v>
      </c>
      <c r="AN79" s="319">
        <f>3.068*0.9</f>
        <v>2.7612000000000001</v>
      </c>
      <c r="AO79" s="319">
        <v>109.565</v>
      </c>
      <c r="AP79" s="319">
        <f>4.383*5</f>
        <v>21.914999999999999</v>
      </c>
      <c r="AQ79" s="319"/>
      <c r="AR79" s="319"/>
      <c r="AS79" s="319">
        <f>3.068*3</f>
        <v>9.2040000000000006</v>
      </c>
      <c r="AT79" s="319">
        <v>17.53</v>
      </c>
      <c r="AU79" s="319">
        <v>3.0680000000000001</v>
      </c>
      <c r="AV79" s="319">
        <f>87.652/4*2</f>
        <v>43.826000000000001</v>
      </c>
      <c r="AW79" s="319"/>
      <c r="AX79" s="319">
        <v>5.8460000000000001</v>
      </c>
      <c r="AY79" s="319">
        <f>87.652/4*2</f>
        <v>43.826000000000001</v>
      </c>
      <c r="AZ79" s="319">
        <f>22.088/2.4*1.5</f>
        <v>13.805000000000003</v>
      </c>
      <c r="BA79" s="319"/>
      <c r="BB79" s="319"/>
      <c r="BC79" s="319">
        <f>1.315/2*2.4</f>
        <v>1.5779999999999998</v>
      </c>
      <c r="BD79" s="319">
        <f>4.383*2</f>
        <v>8.766</v>
      </c>
      <c r="BE79" s="319"/>
      <c r="BF79" s="319"/>
      <c r="BG79" s="319"/>
      <c r="BH79" s="319">
        <f>0.877*0.6</f>
        <v>0.5262</v>
      </c>
      <c r="BI79" s="319">
        <f>0.877*0.6</f>
        <v>0.5262</v>
      </c>
      <c r="BJ79" s="319">
        <f>3.506*2</f>
        <v>7.0119999999999996</v>
      </c>
      <c r="BK79" s="319">
        <f>12.052*1.5</f>
        <v>18.077999999999999</v>
      </c>
      <c r="BL79" s="319">
        <f>10.957*3.5</f>
        <v>38.349500000000006</v>
      </c>
      <c r="BM79" s="319">
        <v>30.678000000000001</v>
      </c>
      <c r="BN79" s="319"/>
      <c r="BO79" s="319"/>
      <c r="BP79" s="319"/>
      <c r="BQ79" s="460"/>
      <c r="BR79" s="319"/>
      <c r="BS79" s="158">
        <f t="shared" si="30"/>
        <v>871.78779999999972</v>
      </c>
      <c r="BT79" s="94"/>
      <c r="BU79" s="319">
        <f>22.088/2.4*2</f>
        <v>18.40666666666667</v>
      </c>
      <c r="BV79" s="319">
        <v>14.023999999999999</v>
      </c>
      <c r="BW79" s="319"/>
      <c r="BX79" s="319"/>
      <c r="BY79" s="319"/>
      <c r="BZ79" s="319">
        <f>21.913*3</f>
        <v>65.739000000000004</v>
      </c>
      <c r="CA79" s="319">
        <v>1.534</v>
      </c>
      <c r="CB79" s="319">
        <v>3.944</v>
      </c>
      <c r="CC79" s="319">
        <v>4.2069999999999999</v>
      </c>
      <c r="CD79" s="319">
        <v>32.869999999999997</v>
      </c>
      <c r="CE79" s="319">
        <v>3.681</v>
      </c>
      <c r="CF79" s="319"/>
      <c r="CG79" s="319"/>
      <c r="CH79" s="319"/>
      <c r="CI79" s="319">
        <v>1.052</v>
      </c>
      <c r="CJ79" s="319">
        <f>10.957*6</f>
        <v>65.742000000000004</v>
      </c>
      <c r="CK79" s="319">
        <v>7.0119999999999996</v>
      </c>
      <c r="CL79" s="319">
        <f>9.203*3</f>
        <v>27.608999999999998</v>
      </c>
      <c r="CM79" s="319">
        <f>3.681/0.6*0.5</f>
        <v>3.0675000000000003</v>
      </c>
      <c r="CN79" s="319">
        <v>3.5059999999999998</v>
      </c>
      <c r="CO79" s="319">
        <f>18.626/5*3</f>
        <v>11.175599999999999</v>
      </c>
      <c r="CP79" s="319">
        <f>18.626/5*2</f>
        <v>7.4504000000000001</v>
      </c>
      <c r="CQ79" s="319"/>
      <c r="CR79" s="319">
        <f>3.068*0.9</f>
        <v>2.7612000000000001</v>
      </c>
      <c r="CS79" s="319">
        <f>21.913*2</f>
        <v>43.826000000000001</v>
      </c>
      <c r="CT79" s="319"/>
      <c r="CU79" s="319"/>
      <c r="CV79" s="319"/>
      <c r="CW79" s="319"/>
      <c r="CX79" s="319">
        <f>10.957*4.2</f>
        <v>46.019400000000005</v>
      </c>
      <c r="CY79" s="177"/>
      <c r="CZ79" s="32">
        <v>3.5059999999999998</v>
      </c>
      <c r="DA79" s="32">
        <v>4.383</v>
      </c>
      <c r="DB79" s="319">
        <f>4.383*0.6</f>
        <v>2.6297999999999999</v>
      </c>
      <c r="DC79" s="319">
        <f>3.506*0.3</f>
        <v>1.0517999999999998</v>
      </c>
      <c r="DD79" s="319">
        <f>3.944</f>
        <v>3.944</v>
      </c>
      <c r="DE79" s="319">
        <v>1.5780000000000001</v>
      </c>
      <c r="DF79" s="319">
        <v>37.362000000000002</v>
      </c>
      <c r="DG79" s="319">
        <f>3.506*3.9</f>
        <v>13.673399999999999</v>
      </c>
      <c r="DH79" s="319">
        <f>9.203*1.2</f>
        <v>11.0436</v>
      </c>
      <c r="DI79" s="319">
        <f>87.652/4*5</f>
        <v>109.565</v>
      </c>
      <c r="DJ79" s="319">
        <f>3.068*2.5</f>
        <v>7.67</v>
      </c>
      <c r="DK79" s="319">
        <f>3.068*1.5</f>
        <v>4.6020000000000003</v>
      </c>
      <c r="DL79" s="319">
        <f>3.068</f>
        <v>3.0680000000000001</v>
      </c>
      <c r="DM79" s="319">
        <f>5.846*1.5</f>
        <v>8.7690000000000001</v>
      </c>
      <c r="DN79" s="319">
        <f>17.53/4*3</f>
        <v>13.147500000000001</v>
      </c>
      <c r="DO79" s="319">
        <f>1.753/0.8*0.4</f>
        <v>0.87649999999999995</v>
      </c>
      <c r="DP79" s="319">
        <f>3.944/1.8*0.9</f>
        <v>1.9720000000000002</v>
      </c>
      <c r="DQ79" s="319">
        <f>4.207/1.2*0.6</f>
        <v>2.1034999999999999</v>
      </c>
      <c r="DR79" s="319">
        <v>43.826000000000001</v>
      </c>
      <c r="DS79" s="319">
        <v>30.678000000000001</v>
      </c>
      <c r="DT79" s="419">
        <f t="shared" si="31"/>
        <v>669.07586666666668</v>
      </c>
      <c r="DU79" s="57"/>
      <c r="DV79" s="319">
        <v>14.023999999999999</v>
      </c>
      <c r="DW79" s="319">
        <f>9.203*2</f>
        <v>18.405999999999999</v>
      </c>
      <c r="DX79" s="319"/>
      <c r="DY79" s="319">
        <f>3.506*1.5</f>
        <v>5.2589999999999995</v>
      </c>
      <c r="DZ79" s="319">
        <f>4.383*3</f>
        <v>13.149000000000001</v>
      </c>
      <c r="EA79" s="319"/>
      <c r="EB79" s="319">
        <f>153.391/20*10</f>
        <v>76.695499999999996</v>
      </c>
      <c r="EC79" s="319">
        <f>153.391/20*10</f>
        <v>76.695499999999996</v>
      </c>
      <c r="ED79" s="319">
        <v>3.681</v>
      </c>
      <c r="EE79" s="319">
        <v>3.5059999999999998</v>
      </c>
      <c r="EF79" s="319">
        <f>4.383*1.5</f>
        <v>6.5745000000000005</v>
      </c>
      <c r="EG79" s="177"/>
      <c r="EH79" s="177"/>
      <c r="EI79" s="177"/>
      <c r="EJ79" s="319">
        <f>1.753/0.8*0.4</f>
        <v>0.87649999999999995</v>
      </c>
      <c r="EK79" s="319">
        <f>4.207/1.2*0.6</f>
        <v>2.1034999999999999</v>
      </c>
      <c r="EL79" s="319">
        <f>3.944/1.8*0.9</f>
        <v>1.9720000000000002</v>
      </c>
      <c r="EM79" s="319">
        <f>10.957</f>
        <v>10.957000000000001</v>
      </c>
      <c r="EN79" s="319">
        <f>3.506*2</f>
        <v>7.0119999999999996</v>
      </c>
      <c r="EO79" s="319">
        <f>4.383</f>
        <v>4.383</v>
      </c>
      <c r="EP79" s="319"/>
      <c r="EQ79" s="319">
        <v>5.2590000000000003</v>
      </c>
      <c r="ER79" s="319">
        <f>3.506*2.5</f>
        <v>8.7649999999999988</v>
      </c>
      <c r="ES79" s="319">
        <f>1.052/0.3*0.6</f>
        <v>2.1040000000000001</v>
      </c>
      <c r="ET79" s="319">
        <v>6.5739999999999998</v>
      </c>
      <c r="EU79" s="319">
        <f>10.957*4</f>
        <v>43.828000000000003</v>
      </c>
      <c r="EV79" s="319"/>
      <c r="EW79" s="319">
        <v>0.39400000000000002</v>
      </c>
      <c r="EX79" s="319">
        <f>21.913*2</f>
        <v>43.826000000000001</v>
      </c>
      <c r="EY79" s="319">
        <f>65.739/6*3</f>
        <v>32.869500000000002</v>
      </c>
      <c r="EZ79" s="319">
        <v>109.565</v>
      </c>
      <c r="FA79" s="319">
        <f>8.77/1.5</f>
        <v>5.8466666666666667</v>
      </c>
      <c r="FB79" s="319">
        <v>1.3149999999999999</v>
      </c>
      <c r="FC79" s="319">
        <f>10.957*1.5</f>
        <v>16.435500000000001</v>
      </c>
      <c r="FD79" s="319">
        <f>3.506</f>
        <v>3.5059999999999998</v>
      </c>
      <c r="FE79" s="319">
        <f>27.61</f>
        <v>27.61</v>
      </c>
      <c r="FF79" s="319">
        <f>10.957*0.3</f>
        <v>3.2871000000000001</v>
      </c>
      <c r="FG79" s="319"/>
      <c r="FH79" s="319">
        <v>1.1180000000000001</v>
      </c>
      <c r="FI79" s="319">
        <v>9.2029999999999994</v>
      </c>
      <c r="FJ79" s="319">
        <f>4.363*5</f>
        <v>21.815000000000001</v>
      </c>
      <c r="FK79" s="319">
        <v>2.63</v>
      </c>
      <c r="FL79" s="319">
        <f>43.826/2*2.1</f>
        <v>46.017300000000006</v>
      </c>
      <c r="FM79" s="319">
        <v>18.626000000000001</v>
      </c>
      <c r="FN79" s="319"/>
      <c r="FO79" s="319">
        <v>1.7529999999999999</v>
      </c>
      <c r="FP79" s="319">
        <v>0.52600000000000002</v>
      </c>
      <c r="FQ79" s="319">
        <v>0.13100000000000001</v>
      </c>
      <c r="FR79" s="319"/>
      <c r="FS79" s="319">
        <f>21.913*3</f>
        <v>65.739000000000004</v>
      </c>
      <c r="FT79" s="319">
        <f>10.957*1.9</f>
        <v>20.818300000000001</v>
      </c>
      <c r="FU79" s="319">
        <f>9.203*3</f>
        <v>27.608999999999998</v>
      </c>
      <c r="FV79" s="319">
        <f>3.944/1.8*0.5</f>
        <v>1.0955555555555556</v>
      </c>
      <c r="FW79" s="319"/>
      <c r="FX79" s="319"/>
      <c r="FY79" s="319"/>
      <c r="FZ79" s="319"/>
      <c r="GA79" s="158">
        <f t="shared" si="32"/>
        <v>773.56042222222231</v>
      </c>
      <c r="GB79" s="95"/>
      <c r="GC79" s="374"/>
      <c r="GD79" s="319"/>
      <c r="GE79" s="319"/>
      <c r="GF79" s="319"/>
      <c r="GG79" s="319"/>
      <c r="GH79" s="319"/>
      <c r="GI79" s="319"/>
      <c r="GJ79" s="319"/>
      <c r="GK79" s="319"/>
      <c r="GL79" s="319"/>
      <c r="GM79" s="319"/>
      <c r="GN79" s="319"/>
      <c r="GO79" s="319"/>
      <c r="GP79" s="319"/>
      <c r="GQ79" s="28"/>
      <c r="GR79" s="270"/>
      <c r="GS79" s="177"/>
      <c r="GT79" s="177"/>
      <c r="GU79" s="741"/>
      <c r="GV79" s="435"/>
      <c r="GW79" s="327">
        <f t="shared" si="33"/>
        <v>0</v>
      </c>
      <c r="GX79" s="454">
        <f t="shared" si="34"/>
        <v>1933.65</v>
      </c>
      <c r="GY79" s="605">
        <f t="shared" si="35"/>
        <v>1933.65</v>
      </c>
      <c r="GZ79" s="627">
        <f>'2_квартал'!G67</f>
        <v>130.64500000000001</v>
      </c>
      <c r="HA79" s="239">
        <f t="shared" si="36"/>
        <v>669.07</v>
      </c>
      <c r="HB79" s="36" t="str">
        <f t="shared" si="37"/>
        <v>Сел-плекс 2300 (Сел-плекс )</v>
      </c>
      <c r="HC79" s="664"/>
      <c r="HD79" s="22"/>
      <c r="HE79" s="22"/>
    </row>
    <row r="80" spans="1:213" ht="15.9" customHeight="1" x14ac:dyDescent="0.3">
      <c r="A80" s="367">
        <f t="shared" si="38"/>
        <v>67</v>
      </c>
      <c r="B80" s="700" t="s">
        <v>133</v>
      </c>
      <c r="C80" s="565">
        <f>'2_квартал'!G68</f>
        <v>34.484999999999999</v>
      </c>
      <c r="D80" s="346">
        <v>0</v>
      </c>
      <c r="E80" s="241">
        <v>0</v>
      </c>
      <c r="F80" s="572">
        <v>0</v>
      </c>
      <c r="G80" s="299">
        <f t="shared" si="8"/>
        <v>0</v>
      </c>
      <c r="H80" s="370">
        <v>0</v>
      </c>
      <c r="I80" s="370">
        <v>0</v>
      </c>
      <c r="J80" s="94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245"/>
      <c r="Z80" s="326"/>
      <c r="AA80" s="325"/>
      <c r="AB80" s="245"/>
      <c r="AC80" s="319"/>
      <c r="AD80" s="319"/>
      <c r="AE80" s="319"/>
      <c r="AF80" s="319"/>
      <c r="AG80" s="319"/>
      <c r="AH80" s="326"/>
      <c r="AI80" s="326"/>
      <c r="AJ80" s="319"/>
      <c r="AK80" s="319"/>
      <c r="AL80" s="319"/>
      <c r="AM80" s="319"/>
      <c r="AN80" s="319"/>
      <c r="AO80" s="319"/>
      <c r="AP80" s="319"/>
      <c r="AQ80" s="319"/>
      <c r="AR80" s="319"/>
      <c r="AS80" s="319"/>
      <c r="AT80" s="319"/>
      <c r="AU80" s="319"/>
      <c r="AV80" s="319"/>
      <c r="AW80" s="319"/>
      <c r="AX80" s="319"/>
      <c r="AY80" s="319"/>
      <c r="AZ80" s="319"/>
      <c r="BA80" s="319"/>
      <c r="BB80" s="319"/>
      <c r="BC80" s="319"/>
      <c r="BD80" s="319"/>
      <c r="BE80" s="319"/>
      <c r="BF80" s="319"/>
      <c r="BG80" s="319"/>
      <c r="BH80" s="319"/>
      <c r="BI80" s="319"/>
      <c r="BJ80" s="319"/>
      <c r="BK80" s="319"/>
      <c r="BL80" s="319"/>
      <c r="BM80" s="319"/>
      <c r="BN80" s="319"/>
      <c r="BO80" s="319"/>
      <c r="BP80" s="319"/>
      <c r="BQ80" s="460"/>
      <c r="BR80" s="319"/>
      <c r="BS80" s="158">
        <f t="shared" si="30"/>
        <v>0</v>
      </c>
      <c r="BT80" s="94"/>
      <c r="BU80" s="319"/>
      <c r="BV80" s="319"/>
      <c r="BW80" s="319"/>
      <c r="BX80" s="319"/>
      <c r="BY80" s="319"/>
      <c r="BZ80" s="319"/>
      <c r="CA80" s="319"/>
      <c r="CB80" s="319"/>
      <c r="CC80" s="319"/>
      <c r="CD80" s="319"/>
      <c r="CE80" s="319"/>
      <c r="CF80" s="319"/>
      <c r="CG80" s="319"/>
      <c r="CH80" s="319"/>
      <c r="CI80" s="319"/>
      <c r="CJ80" s="319"/>
      <c r="CK80" s="319"/>
      <c r="CL80" s="319"/>
      <c r="CM80" s="319"/>
      <c r="CN80" s="319"/>
      <c r="CO80" s="319"/>
      <c r="CP80" s="319"/>
      <c r="CQ80" s="319"/>
      <c r="CR80" s="319"/>
      <c r="CS80" s="319"/>
      <c r="CT80" s="319"/>
      <c r="CU80" s="319"/>
      <c r="CV80" s="319"/>
      <c r="CW80" s="319"/>
      <c r="CX80" s="319"/>
      <c r="CY80" s="326"/>
      <c r="CZ80" s="319"/>
      <c r="DA80" s="319"/>
      <c r="DB80" s="319"/>
      <c r="DC80" s="319"/>
      <c r="DD80" s="319"/>
      <c r="DE80" s="319"/>
      <c r="DF80" s="319"/>
      <c r="DG80" s="319"/>
      <c r="DH80" s="319"/>
      <c r="DI80" s="319"/>
      <c r="DJ80" s="319"/>
      <c r="DK80" s="319"/>
      <c r="DL80" s="319"/>
      <c r="DM80" s="319"/>
      <c r="DN80" s="319"/>
      <c r="DO80" s="319"/>
      <c r="DP80" s="319"/>
      <c r="DQ80" s="319"/>
      <c r="DR80" s="319"/>
      <c r="DS80" s="319"/>
      <c r="DT80" s="419">
        <f t="shared" si="31"/>
        <v>0</v>
      </c>
      <c r="DU80" s="57"/>
      <c r="DV80" s="319"/>
      <c r="DW80" s="319"/>
      <c r="DX80" s="319"/>
      <c r="DY80" s="319"/>
      <c r="DZ80" s="319"/>
      <c r="EA80" s="319"/>
      <c r="EB80" s="319"/>
      <c r="EC80" s="319"/>
      <c r="ED80" s="319"/>
      <c r="EE80" s="319"/>
      <c r="EF80" s="319"/>
      <c r="EG80" s="326"/>
      <c r="EH80" s="326"/>
      <c r="EI80" s="326"/>
      <c r="EJ80" s="319"/>
      <c r="EK80" s="319"/>
      <c r="EL80" s="319"/>
      <c r="EM80" s="319"/>
      <c r="EN80" s="319"/>
      <c r="EO80" s="319"/>
      <c r="EP80" s="319"/>
      <c r="EQ80" s="319"/>
      <c r="ER80" s="319"/>
      <c r="ES80" s="319"/>
      <c r="ET80" s="319"/>
      <c r="EU80" s="319"/>
      <c r="EV80" s="319"/>
      <c r="EW80" s="319"/>
      <c r="EX80" s="319"/>
      <c r="EY80" s="319"/>
      <c r="EZ80" s="319"/>
      <c r="FA80" s="319"/>
      <c r="FB80" s="319"/>
      <c r="FC80" s="319"/>
      <c r="FD80" s="319"/>
      <c r="FE80" s="319"/>
      <c r="FF80" s="319"/>
      <c r="FG80" s="319"/>
      <c r="FH80" s="319"/>
      <c r="FI80" s="319"/>
      <c r="FJ80" s="319"/>
      <c r="FK80" s="319"/>
      <c r="FL80" s="319"/>
      <c r="FM80" s="319"/>
      <c r="FN80" s="319"/>
      <c r="FO80" s="319"/>
      <c r="FP80" s="319"/>
      <c r="FQ80" s="319"/>
      <c r="FR80" s="319"/>
      <c r="FS80" s="319"/>
      <c r="FT80" s="319"/>
      <c r="FU80" s="319"/>
      <c r="FV80" s="319"/>
      <c r="FW80" s="319"/>
      <c r="FX80" s="319"/>
      <c r="FY80" s="319"/>
      <c r="FZ80" s="319"/>
      <c r="GA80" s="158">
        <f t="shared" si="32"/>
        <v>0</v>
      </c>
      <c r="GB80" s="95"/>
      <c r="GC80" s="374"/>
      <c r="GD80" s="319"/>
      <c r="GE80" s="319"/>
      <c r="GF80" s="319"/>
      <c r="GG80" s="319"/>
      <c r="GH80" s="319"/>
      <c r="GI80" s="319"/>
      <c r="GJ80" s="319"/>
      <c r="GK80" s="319"/>
      <c r="GL80" s="319"/>
      <c r="GM80" s="319"/>
      <c r="GN80" s="319"/>
      <c r="GO80" s="319"/>
      <c r="GP80" s="319"/>
      <c r="GQ80" s="365"/>
      <c r="GR80" s="375"/>
      <c r="GS80" s="326"/>
      <c r="GT80" s="326"/>
      <c r="GU80" s="468"/>
      <c r="GV80" s="435"/>
      <c r="GW80" s="376">
        <f t="shared" si="33"/>
        <v>0</v>
      </c>
      <c r="GX80" s="445">
        <f t="shared" si="34"/>
        <v>0</v>
      </c>
      <c r="GY80" s="605">
        <f t="shared" si="35"/>
        <v>0</v>
      </c>
      <c r="GZ80" s="627">
        <f>'2_квартал'!G68</f>
        <v>34.484999999999999</v>
      </c>
      <c r="HA80" s="239">
        <f t="shared" si="36"/>
        <v>0</v>
      </c>
      <c r="HB80" s="36" t="str">
        <f t="shared" si="37"/>
        <v>Сыворотка молочная деминерал.</v>
      </c>
      <c r="HC80" s="378"/>
      <c r="HD80" s="22"/>
      <c r="HE80" s="22"/>
    </row>
    <row r="81" spans="1:213" ht="15.9" customHeight="1" x14ac:dyDescent="0.3">
      <c r="A81" s="367">
        <f t="shared" si="38"/>
        <v>68</v>
      </c>
      <c r="B81" s="688" t="s">
        <v>23</v>
      </c>
      <c r="C81" s="565">
        <f>'2_квартал'!G69</f>
        <v>765.25</v>
      </c>
      <c r="D81" s="346">
        <f>47.11+94.15</f>
        <v>141.26</v>
      </c>
      <c r="E81" s="241">
        <f>5.85+67.04</f>
        <v>72.89</v>
      </c>
      <c r="F81" s="572">
        <f>32.96+7.29</f>
        <v>40.25</v>
      </c>
      <c r="G81" s="299">
        <f t="shared" si="8"/>
        <v>84.8</v>
      </c>
      <c r="H81" s="93">
        <v>32.96</v>
      </c>
      <c r="I81" s="93">
        <v>92.71</v>
      </c>
      <c r="J81" s="94"/>
      <c r="K81" s="319"/>
      <c r="L81" s="319"/>
      <c r="M81" s="319"/>
      <c r="N81" s="319"/>
      <c r="O81" s="319"/>
      <c r="P81" s="319">
        <v>1.714</v>
      </c>
      <c r="Q81" s="319"/>
      <c r="R81" s="319"/>
      <c r="S81" s="319"/>
      <c r="T81" s="319"/>
      <c r="U81" s="319"/>
      <c r="V81" s="319"/>
      <c r="W81" s="319"/>
      <c r="X81" s="319"/>
      <c r="Y81" s="245">
        <v>2.419</v>
      </c>
      <c r="Z81" s="177"/>
      <c r="AA81" s="272"/>
      <c r="AB81" s="24"/>
      <c r="AC81" s="319">
        <v>0.30199999999999999</v>
      </c>
      <c r="AD81" s="319"/>
      <c r="AE81" s="319"/>
      <c r="AF81" s="319"/>
      <c r="AG81" s="319"/>
      <c r="AH81" s="177"/>
      <c r="AI81" s="177">
        <v>90.72</v>
      </c>
      <c r="AJ81" s="319">
        <f>2.167*0.8</f>
        <v>1.7336</v>
      </c>
      <c r="AK81" s="319"/>
      <c r="AL81" s="319">
        <f>2.016*0.6</f>
        <v>1.2096</v>
      </c>
      <c r="AM81" s="319"/>
      <c r="AN81" s="319"/>
      <c r="AO81" s="319"/>
      <c r="AP81" s="319"/>
      <c r="AQ81" s="319"/>
      <c r="AR81" s="319"/>
      <c r="AS81" s="319"/>
      <c r="AT81" s="319">
        <v>8.0640000000000001</v>
      </c>
      <c r="AU81" s="319"/>
      <c r="AV81" s="319"/>
      <c r="AW81" s="319"/>
      <c r="AX81" s="319">
        <v>2.5790000000000002</v>
      </c>
      <c r="AY81" s="319"/>
      <c r="AZ81" s="319"/>
      <c r="BA81" s="319"/>
      <c r="BB81" s="319"/>
      <c r="BC81" s="319">
        <f>3.024/2*2.4</f>
        <v>3.6288</v>
      </c>
      <c r="BD81" s="319">
        <f>2.167*2</f>
        <v>4.3339999999999996</v>
      </c>
      <c r="BE81" s="319"/>
      <c r="BF81" s="319"/>
      <c r="BG81" s="319"/>
      <c r="BH81" s="319"/>
      <c r="BI81" s="319"/>
      <c r="BJ81" s="319">
        <f>1.714*2</f>
        <v>3.4279999999999999</v>
      </c>
      <c r="BK81" s="319">
        <f>4.284*1.5</f>
        <v>6.4260000000000002</v>
      </c>
      <c r="BL81" s="319"/>
      <c r="BM81" s="319">
        <v>14.71</v>
      </c>
      <c r="BN81" s="319"/>
      <c r="BO81" s="319"/>
      <c r="BP81" s="319"/>
      <c r="BQ81" s="460"/>
      <c r="BR81" s="319"/>
      <c r="BS81" s="158">
        <f t="shared" si="30"/>
        <v>141.26799999999997</v>
      </c>
      <c r="BT81" s="94"/>
      <c r="BU81" s="319"/>
      <c r="BV81" s="319">
        <v>5.8540000000000001</v>
      </c>
      <c r="BW81" s="319"/>
      <c r="BX81" s="319"/>
      <c r="BY81" s="319"/>
      <c r="BZ81" s="319"/>
      <c r="CA81" s="319"/>
      <c r="CB81" s="319"/>
      <c r="CC81" s="319"/>
      <c r="CD81" s="319"/>
      <c r="CE81" s="319"/>
      <c r="CF81" s="319"/>
      <c r="CG81" s="319"/>
      <c r="CH81" s="319"/>
      <c r="CI81" s="319"/>
      <c r="CJ81" s="319"/>
      <c r="CK81" s="319">
        <v>3.0939999999999999</v>
      </c>
      <c r="CL81" s="319"/>
      <c r="CM81" s="319"/>
      <c r="CN81" s="319">
        <v>1.714</v>
      </c>
      <c r="CO81" s="319"/>
      <c r="CP81" s="319"/>
      <c r="CQ81" s="319"/>
      <c r="CR81" s="319"/>
      <c r="CS81" s="319"/>
      <c r="CT81" s="319"/>
      <c r="CU81" s="319"/>
      <c r="CV81" s="319"/>
      <c r="CW81" s="319">
        <v>2.419</v>
      </c>
      <c r="CX81" s="319"/>
      <c r="CY81" s="177"/>
      <c r="CZ81" s="32">
        <v>1.714</v>
      </c>
      <c r="DA81" s="32">
        <v>2.1669999999999998</v>
      </c>
      <c r="DB81" s="319">
        <f>2.016*0.6</f>
        <v>1.2096</v>
      </c>
      <c r="DC81" s="319">
        <f>1.547*0.3</f>
        <v>0.46409999999999996</v>
      </c>
      <c r="DD81" s="319">
        <v>6.048</v>
      </c>
      <c r="DE81" s="319">
        <v>3.629</v>
      </c>
      <c r="DF81" s="319">
        <v>13.28</v>
      </c>
      <c r="DG81" s="319">
        <f>1.714*3.9</f>
        <v>6.6845999999999997</v>
      </c>
      <c r="DH81" s="319"/>
      <c r="DI81" s="319"/>
      <c r="DJ81" s="319"/>
      <c r="DK81" s="319"/>
      <c r="DL81" s="319"/>
      <c r="DM81" s="319">
        <f>2.579*1.5</f>
        <v>3.8685</v>
      </c>
      <c r="DN81" s="319">
        <f>8.064/4*3</f>
        <v>6.048</v>
      </c>
      <c r="DO81" s="319"/>
      <c r="DP81" s="319"/>
      <c r="DQ81" s="319"/>
      <c r="DR81" s="319"/>
      <c r="DS81" s="319">
        <v>14.71</v>
      </c>
      <c r="DT81" s="419">
        <f t="shared" si="31"/>
        <v>72.90379999999999</v>
      </c>
      <c r="DU81" s="57"/>
      <c r="DV81" s="319">
        <v>5.8540000000000001</v>
      </c>
      <c r="DW81" s="319"/>
      <c r="DX81" s="319"/>
      <c r="DY81" s="319">
        <f>1.714*1.5</f>
        <v>2.5709999999999997</v>
      </c>
      <c r="DZ81" s="319"/>
      <c r="EA81" s="319"/>
      <c r="EB81" s="319"/>
      <c r="EC81" s="319"/>
      <c r="ED81" s="319"/>
      <c r="EE81" s="319">
        <v>1.714</v>
      </c>
      <c r="EF81" s="319">
        <f>2.167*1.5</f>
        <v>3.2504999999999997</v>
      </c>
      <c r="EG81" s="177"/>
      <c r="EH81" s="177"/>
      <c r="EI81" s="177"/>
      <c r="EJ81" s="319"/>
      <c r="EK81" s="319"/>
      <c r="EL81" s="319"/>
      <c r="EM81" s="319"/>
      <c r="EN81" s="319">
        <f>1.714*2</f>
        <v>3.4279999999999999</v>
      </c>
      <c r="EO81" s="319">
        <f>2.167</f>
        <v>2.1669999999999998</v>
      </c>
      <c r="EP81" s="319"/>
      <c r="EQ81" s="319"/>
      <c r="ER81" s="319">
        <f>1.714*2.5</f>
        <v>4.2850000000000001</v>
      </c>
      <c r="ES81" s="319">
        <f>0.464/0.3*0.6</f>
        <v>0.92800000000000005</v>
      </c>
      <c r="ET81" s="319">
        <v>3.2509999999999999</v>
      </c>
      <c r="EU81" s="319"/>
      <c r="EV81" s="319"/>
      <c r="EW81" s="319">
        <v>0.30199999999999999</v>
      </c>
      <c r="EX81" s="319"/>
      <c r="EY81" s="319"/>
      <c r="EZ81" s="319"/>
      <c r="FA81" s="319">
        <f>3.868/1.5</f>
        <v>2.5786666666666664</v>
      </c>
      <c r="FB81" s="319">
        <v>2.016</v>
      </c>
      <c r="FC81" s="319"/>
      <c r="FD81" s="319">
        <f>1.714</f>
        <v>1.714</v>
      </c>
      <c r="FE81" s="319"/>
      <c r="FF81" s="319"/>
      <c r="FG81" s="319"/>
      <c r="FH81" s="319">
        <v>2.57</v>
      </c>
      <c r="FI81" s="319"/>
      <c r="FJ81" s="319"/>
      <c r="FK81" s="319">
        <v>1.21</v>
      </c>
      <c r="FL81" s="319"/>
      <c r="FM81" s="319"/>
      <c r="FN81" s="319">
        <v>2.419</v>
      </c>
      <c r="FO81" s="319"/>
      <c r="FP81" s="319"/>
      <c r="FQ81" s="319"/>
      <c r="FR81" s="319"/>
      <c r="FS81" s="319"/>
      <c r="FT81" s="319"/>
      <c r="FU81" s="319"/>
      <c r="FV81" s="319"/>
      <c r="FW81" s="319"/>
      <c r="FX81" s="319"/>
      <c r="FY81" s="319"/>
      <c r="FZ81" s="319"/>
      <c r="GA81" s="158">
        <f t="shared" si="32"/>
        <v>40.258166666666668</v>
      </c>
      <c r="GB81" s="95"/>
      <c r="GC81" s="374"/>
      <c r="GD81" s="319"/>
      <c r="GE81" s="319"/>
      <c r="GF81" s="319"/>
      <c r="GG81" s="319"/>
      <c r="GH81" s="319"/>
      <c r="GI81" s="319"/>
      <c r="GJ81" s="319"/>
      <c r="GK81" s="319"/>
      <c r="GL81" s="319"/>
      <c r="GM81" s="319"/>
      <c r="GN81" s="319"/>
      <c r="GO81" s="319"/>
      <c r="GP81" s="319"/>
      <c r="GQ81" s="28"/>
      <c r="GR81" s="270"/>
      <c r="GS81" s="177"/>
      <c r="GT81" s="177"/>
      <c r="GU81" s="741"/>
      <c r="GV81" s="435"/>
      <c r="GW81" s="327">
        <f t="shared" si="33"/>
        <v>0</v>
      </c>
      <c r="GX81" s="445">
        <f t="shared" si="34"/>
        <v>92.71</v>
      </c>
      <c r="GY81" s="605">
        <f t="shared" si="35"/>
        <v>92.71</v>
      </c>
      <c r="GZ81" s="627">
        <f>'2_квартал'!G69</f>
        <v>765.25</v>
      </c>
      <c r="HA81" s="239">
        <f t="shared" si="36"/>
        <v>72.89</v>
      </c>
      <c r="HB81" s="36" t="str">
        <f t="shared" si="37"/>
        <v>Пулкокс С</v>
      </c>
      <c r="HC81" s="38"/>
      <c r="HD81" s="22"/>
      <c r="HE81" s="22"/>
    </row>
    <row r="82" spans="1:213" ht="15.9" customHeight="1" x14ac:dyDescent="0.3">
      <c r="A82" s="367">
        <f>A81+1</f>
        <v>69</v>
      </c>
      <c r="B82" s="688" t="s">
        <v>112</v>
      </c>
      <c r="C82" s="565">
        <f>'2_квартал'!G70</f>
        <v>312.67500000000001</v>
      </c>
      <c r="D82" s="346">
        <v>24.2</v>
      </c>
      <c r="E82" s="241">
        <v>80.64</v>
      </c>
      <c r="F82" s="572">
        <v>345.16</v>
      </c>
      <c r="G82" s="299">
        <f t="shared" si="8"/>
        <v>150</v>
      </c>
      <c r="H82" s="324">
        <f>45.16+300</f>
        <v>345.15999999999997</v>
      </c>
      <c r="I82" s="324">
        <v>0</v>
      </c>
      <c r="J82" s="94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245"/>
      <c r="Z82" s="24"/>
      <c r="AA82" s="32"/>
      <c r="AB82" s="24"/>
      <c r="AC82" s="319"/>
      <c r="AD82" s="319"/>
      <c r="AE82" s="319"/>
      <c r="AF82" s="319"/>
      <c r="AG82" s="319"/>
      <c r="AH82" s="24"/>
      <c r="AI82" s="24"/>
      <c r="AJ82" s="319"/>
      <c r="AK82" s="319"/>
      <c r="AL82" s="319"/>
      <c r="AM82" s="319"/>
      <c r="AN82" s="319"/>
      <c r="AO82" s="319"/>
      <c r="AP82" s="319"/>
      <c r="AQ82" s="319"/>
      <c r="AR82" s="319"/>
      <c r="AS82" s="319"/>
      <c r="AT82" s="319"/>
      <c r="AU82" s="319"/>
      <c r="AV82" s="319"/>
      <c r="AW82" s="319"/>
      <c r="AX82" s="319"/>
      <c r="AY82" s="319"/>
      <c r="AZ82" s="319"/>
      <c r="BA82" s="319"/>
      <c r="BB82" s="319"/>
      <c r="BC82" s="319"/>
      <c r="BD82" s="319"/>
      <c r="BE82" s="319"/>
      <c r="BF82" s="319"/>
      <c r="BG82" s="319"/>
      <c r="BH82" s="319">
        <f>20.16*0.6</f>
        <v>12.096</v>
      </c>
      <c r="BI82" s="319">
        <f>20.16*0.6</f>
        <v>12.096</v>
      </c>
      <c r="BJ82" s="319"/>
      <c r="BK82" s="319"/>
      <c r="BL82" s="319"/>
      <c r="BM82" s="319"/>
      <c r="BN82" s="319"/>
      <c r="BO82" s="319"/>
      <c r="BP82" s="319"/>
      <c r="BQ82" s="460"/>
      <c r="BR82" s="319"/>
      <c r="BS82" s="158">
        <f t="shared" si="30"/>
        <v>24.192</v>
      </c>
      <c r="BT82" s="94"/>
      <c r="BU82" s="319"/>
      <c r="BV82" s="319"/>
      <c r="BW82" s="319"/>
      <c r="BX82" s="319"/>
      <c r="BY82" s="319">
        <f>80.64/4*2</f>
        <v>40.32</v>
      </c>
      <c r="BZ82" s="319"/>
      <c r="CA82" s="319"/>
      <c r="CB82" s="319"/>
      <c r="CC82" s="319"/>
      <c r="CD82" s="319"/>
      <c r="CE82" s="319"/>
      <c r="CF82" s="319"/>
      <c r="CG82" s="319"/>
      <c r="CH82" s="319"/>
      <c r="CI82" s="319"/>
      <c r="CJ82" s="319"/>
      <c r="CK82" s="319"/>
      <c r="CL82" s="319"/>
      <c r="CM82" s="319"/>
      <c r="CN82" s="319"/>
      <c r="CO82" s="319"/>
      <c r="CP82" s="319"/>
      <c r="CQ82" s="319"/>
      <c r="CR82" s="319"/>
      <c r="CS82" s="319"/>
      <c r="CT82" s="319"/>
      <c r="CU82" s="319"/>
      <c r="CV82" s="319">
        <f>80.64/4*2</f>
        <v>40.32</v>
      </c>
      <c r="CW82" s="319"/>
      <c r="CX82" s="319"/>
      <c r="CY82" s="24"/>
      <c r="CZ82" s="32"/>
      <c r="DA82" s="32"/>
      <c r="DB82" s="319"/>
      <c r="DC82" s="319"/>
      <c r="DD82" s="319"/>
      <c r="DE82" s="319"/>
      <c r="DF82" s="319"/>
      <c r="DG82" s="319"/>
      <c r="DH82" s="319"/>
      <c r="DI82" s="319"/>
      <c r="DJ82" s="319"/>
      <c r="DK82" s="319"/>
      <c r="DL82" s="319"/>
      <c r="DM82" s="319"/>
      <c r="DN82" s="319"/>
      <c r="DO82" s="319"/>
      <c r="DP82" s="319"/>
      <c r="DQ82" s="319"/>
      <c r="DR82" s="319"/>
      <c r="DS82" s="319"/>
      <c r="DT82" s="419">
        <f t="shared" si="31"/>
        <v>80.64</v>
      </c>
      <c r="DU82" s="57"/>
      <c r="DV82" s="319"/>
      <c r="DW82" s="319"/>
      <c r="DX82" s="319"/>
      <c r="DY82" s="319"/>
      <c r="DZ82" s="319"/>
      <c r="EA82" s="319"/>
      <c r="EB82" s="319"/>
      <c r="EC82" s="319"/>
      <c r="ED82" s="319"/>
      <c r="EE82" s="319"/>
      <c r="EF82" s="319"/>
      <c r="EG82" s="24">
        <v>104.292</v>
      </c>
      <c r="EH82" s="24">
        <f>240.86/12*8</f>
        <v>160.57333333333335</v>
      </c>
      <c r="EI82" s="24">
        <f>240.86/12*4</f>
        <v>80.286666666666676</v>
      </c>
      <c r="EJ82" s="319"/>
      <c r="EK82" s="319"/>
      <c r="EL82" s="319"/>
      <c r="EM82" s="319"/>
      <c r="EN82" s="319"/>
      <c r="EO82" s="319"/>
      <c r="EP82" s="319"/>
      <c r="EQ82" s="319"/>
      <c r="ER82" s="319"/>
      <c r="ES82" s="319"/>
      <c r="ET82" s="319"/>
      <c r="EU82" s="319"/>
      <c r="EV82" s="319"/>
      <c r="EW82" s="319"/>
      <c r="EX82" s="319"/>
      <c r="EY82" s="319"/>
      <c r="EZ82" s="319"/>
      <c r="FA82" s="319"/>
      <c r="FB82" s="319"/>
      <c r="FC82" s="319"/>
      <c r="FD82" s="319"/>
      <c r="FE82" s="319"/>
      <c r="FF82" s="319"/>
      <c r="FG82" s="319"/>
      <c r="FH82" s="319"/>
      <c r="FI82" s="319"/>
      <c r="FJ82" s="319"/>
      <c r="FK82" s="319"/>
      <c r="FL82" s="319"/>
      <c r="FM82" s="319"/>
      <c r="FN82" s="319"/>
      <c r="FO82" s="319"/>
      <c r="FP82" s="319"/>
      <c r="FQ82" s="319"/>
      <c r="FR82" s="319"/>
      <c r="FS82" s="319"/>
      <c r="FT82" s="319"/>
      <c r="FU82" s="319"/>
      <c r="FV82" s="319"/>
      <c r="FW82" s="319"/>
      <c r="FX82" s="319"/>
      <c r="FY82" s="319"/>
      <c r="FZ82" s="319"/>
      <c r="GA82" s="158">
        <f t="shared" si="32"/>
        <v>345.15200000000004</v>
      </c>
      <c r="GB82" s="95"/>
      <c r="GC82" s="374"/>
      <c r="GD82" s="319"/>
      <c r="GE82" s="319"/>
      <c r="GF82" s="319"/>
      <c r="GG82" s="319"/>
      <c r="GH82" s="319"/>
      <c r="GI82" s="319"/>
      <c r="GJ82" s="319"/>
      <c r="GK82" s="319"/>
      <c r="GL82" s="319"/>
      <c r="GM82" s="319"/>
      <c r="GN82" s="319"/>
      <c r="GO82" s="319"/>
      <c r="GP82" s="319"/>
      <c r="GQ82" s="365"/>
      <c r="GR82" s="164"/>
      <c r="GS82" s="24"/>
      <c r="GT82" s="24"/>
      <c r="GU82" s="745"/>
      <c r="GV82" s="472"/>
      <c r="GW82" s="51">
        <f t="shared" si="33"/>
        <v>0</v>
      </c>
      <c r="GX82" s="445">
        <f t="shared" si="34"/>
        <v>0</v>
      </c>
      <c r="GY82" s="605">
        <f t="shared" si="35"/>
        <v>0</v>
      </c>
      <c r="GZ82" s="627">
        <f>'2_квартал'!G70</f>
        <v>312.67500000000001</v>
      </c>
      <c r="HA82" s="239">
        <f t="shared" si="36"/>
        <v>80.64</v>
      </c>
      <c r="HB82" s="363" t="str">
        <f t="shared" si="37"/>
        <v>Токсинфайбер</v>
      </c>
      <c r="HC82" s="364"/>
      <c r="HD82" s="22"/>
      <c r="HE82" s="22"/>
    </row>
    <row r="83" spans="1:213" ht="15.9" customHeight="1" x14ac:dyDescent="0.3">
      <c r="A83" s="367">
        <f t="shared" ref="A83:A85" si="39">A82+1</f>
        <v>70</v>
      </c>
      <c r="B83" s="690" t="s">
        <v>28</v>
      </c>
      <c r="C83" s="565"/>
      <c r="D83" s="328">
        <v>0</v>
      </c>
      <c r="E83" s="241">
        <v>0</v>
      </c>
      <c r="F83" s="572">
        <v>226.3</v>
      </c>
      <c r="G83" s="299">
        <f t="shared" si="8"/>
        <v>75.433000000000007</v>
      </c>
      <c r="H83" s="93">
        <v>300</v>
      </c>
      <c r="I83" s="93">
        <v>73.7</v>
      </c>
      <c r="J83" s="94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245"/>
      <c r="Z83" s="24"/>
      <c r="AA83" s="32"/>
      <c r="AB83" s="24"/>
      <c r="AC83" s="319"/>
      <c r="AD83" s="319"/>
      <c r="AE83" s="319"/>
      <c r="AF83" s="319"/>
      <c r="AG83" s="319"/>
      <c r="AH83" s="24"/>
      <c r="AI83" s="24"/>
      <c r="AJ83" s="319"/>
      <c r="AK83" s="319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319"/>
      <c r="AY83" s="319"/>
      <c r="AZ83" s="319"/>
      <c r="BA83" s="319"/>
      <c r="BB83" s="319"/>
      <c r="BC83" s="319"/>
      <c r="BD83" s="319"/>
      <c r="BE83" s="319"/>
      <c r="BF83" s="319"/>
      <c r="BG83" s="319"/>
      <c r="BH83" s="319"/>
      <c r="BI83" s="319"/>
      <c r="BJ83" s="319"/>
      <c r="BK83" s="319"/>
      <c r="BL83" s="319"/>
      <c r="BM83" s="319"/>
      <c r="BN83" s="319"/>
      <c r="BO83" s="319"/>
      <c r="BP83" s="319"/>
      <c r="BQ83" s="460"/>
      <c r="BR83" s="319"/>
      <c r="BS83" s="158"/>
      <c r="BT83" s="94"/>
      <c r="BU83" s="319"/>
      <c r="BV83" s="319"/>
      <c r="BW83" s="319"/>
      <c r="BX83" s="319"/>
      <c r="BY83" s="319"/>
      <c r="BZ83" s="319"/>
      <c r="CA83" s="319"/>
      <c r="CB83" s="319"/>
      <c r="CC83" s="319"/>
      <c r="CD83" s="319"/>
      <c r="CE83" s="319"/>
      <c r="CF83" s="319"/>
      <c r="CG83" s="319"/>
      <c r="CH83" s="319"/>
      <c r="CI83" s="319"/>
      <c r="CJ83" s="319"/>
      <c r="CK83" s="319"/>
      <c r="CL83" s="319"/>
      <c r="CM83" s="319"/>
      <c r="CN83" s="319"/>
      <c r="CO83" s="319"/>
      <c r="CP83" s="319"/>
      <c r="CQ83" s="319"/>
      <c r="CR83" s="319"/>
      <c r="CS83" s="319"/>
      <c r="CT83" s="319"/>
      <c r="CU83" s="319"/>
      <c r="CV83" s="319"/>
      <c r="CW83" s="319"/>
      <c r="CX83" s="319"/>
      <c r="CY83" s="24"/>
      <c r="CZ83" s="32"/>
      <c r="DA83" s="32"/>
      <c r="DB83" s="319"/>
      <c r="DC83" s="319"/>
      <c r="DD83" s="319"/>
      <c r="DE83" s="319"/>
      <c r="DF83" s="319"/>
      <c r="DG83" s="319"/>
      <c r="DH83" s="319"/>
      <c r="DI83" s="319"/>
      <c r="DJ83" s="319"/>
      <c r="DK83" s="319"/>
      <c r="DL83" s="319"/>
      <c r="DM83" s="319"/>
      <c r="DN83" s="319"/>
      <c r="DO83" s="319"/>
      <c r="DP83" s="319"/>
      <c r="DQ83" s="319"/>
      <c r="DR83" s="319"/>
      <c r="DS83" s="319"/>
      <c r="DT83" s="419">
        <f t="shared" si="31"/>
        <v>0</v>
      </c>
      <c r="DU83" s="57"/>
      <c r="DV83" s="319"/>
      <c r="DW83" s="319"/>
      <c r="DX83" s="319"/>
      <c r="DY83" s="319"/>
      <c r="DZ83" s="319"/>
      <c r="EA83" s="319"/>
      <c r="EB83" s="319"/>
      <c r="EC83" s="319"/>
      <c r="ED83" s="319"/>
      <c r="EE83" s="319"/>
      <c r="EF83" s="319"/>
      <c r="EG83" s="24"/>
      <c r="EH83" s="24"/>
      <c r="EI83" s="24"/>
      <c r="EJ83" s="319"/>
      <c r="EK83" s="319"/>
      <c r="EL83" s="319"/>
      <c r="EM83" s="319"/>
      <c r="EN83" s="319"/>
      <c r="EO83" s="319"/>
      <c r="EP83" s="319"/>
      <c r="EQ83" s="319"/>
      <c r="ER83" s="319"/>
      <c r="ES83" s="319"/>
      <c r="ET83" s="319"/>
      <c r="EU83" s="319"/>
      <c r="EV83" s="319"/>
      <c r="EW83" s="319"/>
      <c r="EX83" s="319"/>
      <c r="EY83" s="319"/>
      <c r="EZ83" s="319"/>
      <c r="FA83" s="319"/>
      <c r="FB83" s="319"/>
      <c r="FC83" s="319"/>
      <c r="FD83" s="319"/>
      <c r="FE83" s="319"/>
      <c r="FF83" s="319"/>
      <c r="FG83" s="319"/>
      <c r="FH83" s="319">
        <v>145.65600000000001</v>
      </c>
      <c r="FI83" s="319"/>
      <c r="FJ83" s="319"/>
      <c r="FK83" s="319"/>
      <c r="FL83" s="319"/>
      <c r="FM83" s="319"/>
      <c r="FN83" s="319"/>
      <c r="FO83" s="319"/>
      <c r="FP83" s="319">
        <v>40.32</v>
      </c>
      <c r="FQ83" s="319">
        <v>40.32</v>
      </c>
      <c r="FR83" s="319"/>
      <c r="FS83" s="319"/>
      <c r="FT83" s="319"/>
      <c r="FU83" s="319"/>
      <c r="FV83" s="319"/>
      <c r="FW83" s="319"/>
      <c r="FX83" s="319"/>
      <c r="FY83" s="319"/>
      <c r="FZ83" s="319"/>
      <c r="GA83" s="158">
        <f t="shared" si="32"/>
        <v>226.29599999999999</v>
      </c>
      <c r="GB83" s="95"/>
      <c r="GC83" s="374"/>
      <c r="GD83" s="319"/>
      <c r="GE83" s="319"/>
      <c r="GF83" s="319"/>
      <c r="GG83" s="319"/>
      <c r="GH83" s="319"/>
      <c r="GI83" s="319"/>
      <c r="GJ83" s="319"/>
      <c r="GK83" s="319"/>
      <c r="GL83" s="319"/>
      <c r="GM83" s="319"/>
      <c r="GN83" s="319"/>
      <c r="GO83" s="319"/>
      <c r="GP83" s="319"/>
      <c r="GQ83" s="365"/>
      <c r="GR83" s="164"/>
      <c r="GS83" s="24"/>
      <c r="GT83" s="24"/>
      <c r="GU83" s="745"/>
      <c r="GV83" s="472"/>
      <c r="GW83" s="51">
        <f t="shared" si="33"/>
        <v>0</v>
      </c>
      <c r="GX83" s="445">
        <f t="shared" si="34"/>
        <v>73.7</v>
      </c>
      <c r="GY83" s="605">
        <f t="shared" si="35"/>
        <v>73.7</v>
      </c>
      <c r="GZ83" s="627"/>
      <c r="HA83" s="239">
        <f t="shared" si="36"/>
        <v>0</v>
      </c>
      <c r="HB83" s="363" t="str">
        <f t="shared" si="37"/>
        <v>Полифат А600</v>
      </c>
      <c r="HC83" s="364"/>
      <c r="HD83" s="22"/>
      <c r="HE83" s="22"/>
    </row>
    <row r="84" spans="1:213" ht="16.5" customHeight="1" x14ac:dyDescent="0.3">
      <c r="A84" s="367">
        <f t="shared" si="39"/>
        <v>71</v>
      </c>
      <c r="B84" s="701" t="s">
        <v>115</v>
      </c>
      <c r="C84" s="565">
        <f>'2_квартал'!G71</f>
        <v>80.215000000000003</v>
      </c>
      <c r="D84" s="328">
        <f>10.97+203.88</f>
        <v>214.85</v>
      </c>
      <c r="E84" s="569">
        <f>46.12+118.69</f>
        <v>164.81</v>
      </c>
      <c r="F84" s="572">
        <f>131.31+10.31</f>
        <v>141.62</v>
      </c>
      <c r="G84" s="299">
        <f t="shared" ref="G84" si="40">ROUND(AVERAGE(D84:F84),3)</f>
        <v>173.76</v>
      </c>
      <c r="H84" s="93">
        <f>31.31+100</f>
        <v>131.31</v>
      </c>
      <c r="I84" s="93">
        <v>89.69</v>
      </c>
      <c r="J84" s="94"/>
      <c r="K84" s="319"/>
      <c r="L84" s="319">
        <v>50.4</v>
      </c>
      <c r="M84" s="319"/>
      <c r="N84" s="319"/>
      <c r="O84" s="319"/>
      <c r="P84" s="319">
        <v>5.04</v>
      </c>
      <c r="Q84" s="319"/>
      <c r="R84" s="319"/>
      <c r="S84" s="319"/>
      <c r="T84" s="319"/>
      <c r="U84" s="319"/>
      <c r="V84" s="319"/>
      <c r="W84" s="319"/>
      <c r="X84" s="319">
        <f>5.04</f>
        <v>5.04</v>
      </c>
      <c r="Y84" s="245"/>
      <c r="Z84" s="24"/>
      <c r="AA84" s="32"/>
      <c r="AB84" s="24"/>
      <c r="AC84" s="319">
        <v>1.512</v>
      </c>
      <c r="AD84" s="319"/>
      <c r="AE84" s="319"/>
      <c r="AF84" s="319"/>
      <c r="AG84" s="319"/>
      <c r="AH84" s="24"/>
      <c r="AI84" s="24"/>
      <c r="AJ84" s="319">
        <f>5.04*0.8</f>
        <v>4.032</v>
      </c>
      <c r="AK84" s="319"/>
      <c r="AL84" s="319">
        <f>5.04*0.6</f>
        <v>3.024</v>
      </c>
      <c r="AM84" s="319"/>
      <c r="AN84" s="319"/>
      <c r="AO84" s="319"/>
      <c r="AP84" s="319"/>
      <c r="AQ84" s="319">
        <f>5.04*5</f>
        <v>25.2</v>
      </c>
      <c r="AR84" s="319">
        <f>5.04</f>
        <v>5.04</v>
      </c>
      <c r="AS84" s="319"/>
      <c r="AT84" s="319">
        <v>20.16</v>
      </c>
      <c r="AU84" s="319"/>
      <c r="AV84" s="319"/>
      <c r="AW84" s="319">
        <v>2.016</v>
      </c>
      <c r="AX84" s="319">
        <v>5.04</v>
      </c>
      <c r="AY84" s="319"/>
      <c r="AZ84" s="319"/>
      <c r="BA84" s="319"/>
      <c r="BB84" s="319">
        <v>0.40300000000000002</v>
      </c>
      <c r="BC84" s="319">
        <f>10.08/2*2.4</f>
        <v>12.096</v>
      </c>
      <c r="BD84" s="319">
        <f>5.04*2</f>
        <v>10.08</v>
      </c>
      <c r="BE84" s="319">
        <f>17.892/7.1*4.1</f>
        <v>10.331999999999999</v>
      </c>
      <c r="BF84" s="319">
        <f>5.04*2</f>
        <v>10.08</v>
      </c>
      <c r="BG84" s="319"/>
      <c r="BH84" s="319"/>
      <c r="BI84" s="319"/>
      <c r="BJ84" s="319">
        <f>5.04*2</f>
        <v>10.08</v>
      </c>
      <c r="BK84" s="319"/>
      <c r="BL84" s="319"/>
      <c r="BM84" s="319">
        <v>35.28</v>
      </c>
      <c r="BN84" s="319"/>
      <c r="BO84" s="319"/>
      <c r="BP84" s="319"/>
      <c r="BQ84" s="460"/>
      <c r="BR84" s="319"/>
      <c r="BS84" s="158">
        <f t="shared" si="30"/>
        <v>214.85500000000005</v>
      </c>
      <c r="BT84" s="94"/>
      <c r="BU84" s="319"/>
      <c r="BV84" s="319">
        <v>20.16</v>
      </c>
      <c r="BW84" s="319"/>
      <c r="BX84" s="319"/>
      <c r="BY84" s="319"/>
      <c r="BZ84" s="319"/>
      <c r="CA84" s="319"/>
      <c r="CB84" s="319"/>
      <c r="CC84" s="319"/>
      <c r="CD84" s="319"/>
      <c r="CE84" s="319"/>
      <c r="CF84" s="319"/>
      <c r="CG84" s="319"/>
      <c r="CH84" s="319"/>
      <c r="CI84" s="319"/>
      <c r="CJ84" s="319"/>
      <c r="CK84" s="319">
        <v>10.08</v>
      </c>
      <c r="CL84" s="319"/>
      <c r="CM84" s="319"/>
      <c r="CN84" s="319">
        <v>5.04</v>
      </c>
      <c r="CO84" s="319"/>
      <c r="CP84" s="319"/>
      <c r="CQ84" s="319">
        <f>5.04*2</f>
        <v>10.08</v>
      </c>
      <c r="CR84" s="319"/>
      <c r="CS84" s="319"/>
      <c r="CT84" s="319"/>
      <c r="CU84" s="319"/>
      <c r="CV84" s="319"/>
      <c r="CW84" s="319"/>
      <c r="CX84" s="319"/>
      <c r="CY84" s="24"/>
      <c r="CZ84" s="32">
        <v>5.04</v>
      </c>
      <c r="DA84" s="32">
        <v>5.04</v>
      </c>
      <c r="DB84" s="319">
        <f>5.04*0.6</f>
        <v>3.024</v>
      </c>
      <c r="DC84" s="319">
        <f>5.04*0.3</f>
        <v>1.512</v>
      </c>
      <c r="DD84" s="319">
        <v>15.12</v>
      </c>
      <c r="DE84" s="319">
        <v>12.096</v>
      </c>
      <c r="DF84" s="319"/>
      <c r="DG84" s="319">
        <f>5.04*3.9</f>
        <v>19.655999999999999</v>
      </c>
      <c r="DH84" s="319"/>
      <c r="DI84" s="319"/>
      <c r="DJ84" s="319"/>
      <c r="DK84" s="319"/>
      <c r="DL84" s="319"/>
      <c r="DM84" s="319">
        <f>5.04*1.5</f>
        <v>7.5600000000000005</v>
      </c>
      <c r="DN84" s="319">
        <f>20.16/4*3</f>
        <v>15.120000000000001</v>
      </c>
      <c r="DO84" s="319"/>
      <c r="DP84" s="319"/>
      <c r="DQ84" s="319"/>
      <c r="DR84" s="319"/>
      <c r="DS84" s="319">
        <v>35.28</v>
      </c>
      <c r="DT84" s="275">
        <f t="shared" si="31"/>
        <v>164.80800000000002</v>
      </c>
      <c r="DU84" s="57"/>
      <c r="DV84" s="319">
        <v>20.16</v>
      </c>
      <c r="DW84" s="319"/>
      <c r="DX84" s="319"/>
      <c r="DY84" s="319">
        <f>5.04*1.5</f>
        <v>7.5600000000000005</v>
      </c>
      <c r="DZ84" s="319"/>
      <c r="EA84" s="319">
        <f>5.04*5</f>
        <v>25.2</v>
      </c>
      <c r="EB84" s="319"/>
      <c r="EC84" s="319"/>
      <c r="ED84" s="319"/>
      <c r="EE84" s="319">
        <v>5.04</v>
      </c>
      <c r="EF84" s="319">
        <f>5.04*1.5</f>
        <v>7.5600000000000005</v>
      </c>
      <c r="EG84" s="24"/>
      <c r="EH84" s="24"/>
      <c r="EI84" s="24"/>
      <c r="EJ84" s="319"/>
      <c r="EK84" s="319"/>
      <c r="EL84" s="319"/>
      <c r="EM84" s="319"/>
      <c r="EN84" s="319">
        <f>5.04*2</f>
        <v>10.08</v>
      </c>
      <c r="EO84" s="319">
        <f>5.04</f>
        <v>5.04</v>
      </c>
      <c r="EP84" s="319">
        <f>2.016</f>
        <v>2.016</v>
      </c>
      <c r="EQ84" s="319"/>
      <c r="ER84" s="319">
        <f>5.04*2.5</f>
        <v>12.6</v>
      </c>
      <c r="ES84" s="319">
        <f>1.512/0.3*0.6</f>
        <v>3.024</v>
      </c>
      <c r="ET84" s="319">
        <v>7.56</v>
      </c>
      <c r="EU84" s="319"/>
      <c r="EV84" s="319"/>
      <c r="EW84" s="319">
        <v>1.512</v>
      </c>
      <c r="EX84" s="319"/>
      <c r="EY84" s="319"/>
      <c r="EZ84" s="319"/>
      <c r="FA84" s="319">
        <f>7.56/1.5</f>
        <v>5.04</v>
      </c>
      <c r="FB84" s="319">
        <v>5.04</v>
      </c>
      <c r="FC84" s="319"/>
      <c r="FD84" s="319">
        <f>5.04</f>
        <v>5.04</v>
      </c>
      <c r="FE84" s="319"/>
      <c r="FF84" s="319"/>
      <c r="FG84" s="319">
        <v>7.56</v>
      </c>
      <c r="FH84" s="319">
        <v>8.5679999999999996</v>
      </c>
      <c r="FI84" s="319"/>
      <c r="FJ84" s="319"/>
      <c r="FK84" s="319">
        <v>3.024</v>
      </c>
      <c r="FL84" s="319"/>
      <c r="FM84" s="319"/>
      <c r="FN84" s="319"/>
      <c r="FO84" s="319"/>
      <c r="FP84" s="319"/>
      <c r="FQ84" s="319"/>
      <c r="FR84" s="319"/>
      <c r="FS84" s="319"/>
      <c r="FT84" s="319"/>
      <c r="FU84" s="319"/>
      <c r="FV84" s="319"/>
      <c r="FW84" s="319"/>
      <c r="FX84" s="319"/>
      <c r="FY84" s="319"/>
      <c r="FZ84" s="319"/>
      <c r="GA84" s="158">
        <f t="shared" si="32"/>
        <v>141.62400000000002</v>
      </c>
      <c r="GB84" s="95"/>
      <c r="GC84" s="374"/>
      <c r="GD84" s="319"/>
      <c r="GE84" s="319"/>
      <c r="GF84" s="319"/>
      <c r="GG84" s="319"/>
      <c r="GH84" s="319"/>
      <c r="GI84" s="319"/>
      <c r="GJ84" s="319"/>
      <c r="GK84" s="319"/>
      <c r="GL84" s="319"/>
      <c r="GM84" s="319"/>
      <c r="GN84" s="319"/>
      <c r="GO84" s="319"/>
      <c r="GP84" s="319"/>
      <c r="GQ84" s="28"/>
      <c r="GR84" s="164"/>
      <c r="GS84" s="24"/>
      <c r="GT84" s="24"/>
      <c r="GU84" s="772"/>
      <c r="GV84" s="472"/>
      <c r="GW84" s="585">
        <f t="shared" si="33"/>
        <v>0</v>
      </c>
      <c r="GX84" s="558">
        <f t="shared" si="34"/>
        <v>89.69</v>
      </c>
      <c r="GY84" s="605">
        <f t="shared" si="35"/>
        <v>89.69</v>
      </c>
      <c r="GZ84" s="627">
        <f>'2_квартал'!G71</f>
        <v>80.215000000000003</v>
      </c>
      <c r="HA84" s="239">
        <f t="shared" si="36"/>
        <v>164.81</v>
      </c>
      <c r="HB84" s="36" t="str">
        <f t="shared" si="37"/>
        <v>Луктаром Молочно-Ванильный</v>
      </c>
      <c r="HC84" s="664"/>
      <c r="HD84" s="22"/>
      <c r="HE84" s="22"/>
    </row>
    <row r="85" spans="1:213" ht="15.9" customHeight="1" x14ac:dyDescent="0.3">
      <c r="A85" s="367">
        <f t="shared" si="39"/>
        <v>72</v>
      </c>
      <c r="B85" s="701" t="s">
        <v>97</v>
      </c>
      <c r="C85" s="565">
        <f>'2_квартал'!G72</f>
        <v>182.255</v>
      </c>
      <c r="D85" s="346">
        <v>0</v>
      </c>
      <c r="E85" s="108">
        <v>0</v>
      </c>
      <c r="F85" s="572">
        <v>0</v>
      </c>
      <c r="G85" s="299">
        <f t="shared" ref="G85:G97" si="41">ROUND(AVERAGE(D85:F85),3)</f>
        <v>0</v>
      </c>
      <c r="H85" s="93">
        <v>0</v>
      </c>
      <c r="I85" s="93">
        <v>0</v>
      </c>
      <c r="J85" s="94"/>
      <c r="K85" s="319"/>
      <c r="L85" s="460"/>
      <c r="M85" s="319"/>
      <c r="N85" s="319"/>
      <c r="O85" s="460"/>
      <c r="P85" s="460"/>
      <c r="Q85" s="460"/>
      <c r="R85" s="460"/>
      <c r="S85" s="460"/>
      <c r="T85" s="460"/>
      <c r="U85" s="319"/>
      <c r="V85" s="319"/>
      <c r="W85" s="460"/>
      <c r="X85" s="460"/>
      <c r="Y85" s="727"/>
      <c r="Z85" s="24"/>
      <c r="AA85" s="32"/>
      <c r="AB85" s="24"/>
      <c r="AC85" s="460"/>
      <c r="AD85" s="460"/>
      <c r="AE85" s="460"/>
      <c r="AF85" s="460"/>
      <c r="AG85" s="460"/>
      <c r="AH85" s="24"/>
      <c r="AI85" s="24"/>
      <c r="AJ85" s="319"/>
      <c r="AK85" s="319"/>
      <c r="AL85" s="319"/>
      <c r="AM85" s="319"/>
      <c r="AN85" s="460"/>
      <c r="AO85" s="319"/>
      <c r="AP85" s="460"/>
      <c r="AQ85" s="460"/>
      <c r="AR85" s="460"/>
      <c r="AS85" s="460"/>
      <c r="AT85" s="460"/>
      <c r="AU85" s="460"/>
      <c r="AV85" s="460"/>
      <c r="AW85" s="460"/>
      <c r="AX85" s="460"/>
      <c r="AY85" s="460"/>
      <c r="AZ85" s="460"/>
      <c r="BA85" s="460"/>
      <c r="BB85" s="460"/>
      <c r="BC85" s="460"/>
      <c r="BD85" s="319"/>
      <c r="BE85" s="319"/>
      <c r="BF85" s="460"/>
      <c r="BG85" s="319"/>
      <c r="BH85" s="319"/>
      <c r="BI85" s="319"/>
      <c r="BJ85" s="319"/>
      <c r="BK85" s="319"/>
      <c r="BL85" s="319"/>
      <c r="BM85" s="319"/>
      <c r="BN85" s="319"/>
      <c r="BO85" s="460"/>
      <c r="BP85" s="460"/>
      <c r="BQ85" s="460"/>
      <c r="BR85" s="460"/>
      <c r="BS85" s="158">
        <f t="shared" si="30"/>
        <v>0</v>
      </c>
      <c r="BT85" s="94"/>
      <c r="BU85" s="460"/>
      <c r="BV85" s="319"/>
      <c r="BW85" s="460"/>
      <c r="BX85" s="460"/>
      <c r="BY85" s="460"/>
      <c r="BZ85" s="319"/>
      <c r="CA85" s="319"/>
      <c r="CB85" s="319"/>
      <c r="CC85" s="319"/>
      <c r="CD85" s="319"/>
      <c r="CE85" s="319"/>
      <c r="CF85" s="319"/>
      <c r="CG85" s="319"/>
      <c r="CH85" s="319"/>
      <c r="CI85" s="319"/>
      <c r="CJ85" s="319"/>
      <c r="CK85" s="319"/>
      <c r="CL85" s="319"/>
      <c r="CM85" s="319"/>
      <c r="CN85" s="319"/>
      <c r="CO85" s="319"/>
      <c r="CP85" s="319"/>
      <c r="CQ85" s="319"/>
      <c r="CR85" s="319"/>
      <c r="CS85" s="319"/>
      <c r="CT85" s="460"/>
      <c r="CU85" s="460"/>
      <c r="CV85" s="460"/>
      <c r="CW85" s="460"/>
      <c r="CX85" s="319"/>
      <c r="CY85" s="24"/>
      <c r="CZ85" s="32"/>
      <c r="DA85" s="32"/>
      <c r="DB85" s="319"/>
      <c r="DC85" s="319"/>
      <c r="DD85" s="460"/>
      <c r="DE85" s="319"/>
      <c r="DF85" s="319"/>
      <c r="DG85" s="319"/>
      <c r="DH85" s="319"/>
      <c r="DI85" s="319"/>
      <c r="DJ85" s="319"/>
      <c r="DK85" s="319"/>
      <c r="DL85" s="319"/>
      <c r="DM85" s="319"/>
      <c r="DN85" s="319"/>
      <c r="DO85" s="319"/>
      <c r="DP85" s="319"/>
      <c r="DQ85" s="319"/>
      <c r="DR85" s="319"/>
      <c r="DS85" s="319"/>
      <c r="DT85" s="275">
        <f t="shared" si="31"/>
        <v>0</v>
      </c>
      <c r="DU85" s="57"/>
      <c r="DV85" s="319"/>
      <c r="DW85" s="319"/>
      <c r="DX85" s="319"/>
      <c r="DY85" s="319"/>
      <c r="DZ85" s="319"/>
      <c r="EA85" s="319"/>
      <c r="EB85" s="460"/>
      <c r="EC85" s="460"/>
      <c r="ED85" s="319"/>
      <c r="EE85" s="319"/>
      <c r="EF85" s="319"/>
      <c r="EG85" s="24"/>
      <c r="EH85" s="24"/>
      <c r="EI85" s="24"/>
      <c r="EJ85" s="319"/>
      <c r="EK85" s="319"/>
      <c r="EL85" s="319"/>
      <c r="EM85" s="319"/>
      <c r="EN85" s="319"/>
      <c r="EO85" s="319"/>
      <c r="EP85" s="319"/>
      <c r="EQ85" s="319"/>
      <c r="ER85" s="319"/>
      <c r="ES85" s="319"/>
      <c r="ET85" s="319"/>
      <c r="EU85" s="319"/>
      <c r="EV85" s="319"/>
      <c r="EW85" s="460"/>
      <c r="EX85" s="460"/>
      <c r="EY85" s="460"/>
      <c r="EZ85" s="319"/>
      <c r="FA85" s="319"/>
      <c r="FB85" s="319"/>
      <c r="FC85" s="319"/>
      <c r="FD85" s="319"/>
      <c r="FE85" s="319"/>
      <c r="FF85" s="319"/>
      <c r="FG85" s="319"/>
      <c r="FH85" s="319"/>
      <c r="FI85" s="319"/>
      <c r="FJ85" s="319"/>
      <c r="FK85" s="319"/>
      <c r="FL85" s="319"/>
      <c r="FM85" s="319"/>
      <c r="FN85" s="460"/>
      <c r="FO85" s="319"/>
      <c r="FP85" s="319"/>
      <c r="FQ85" s="319"/>
      <c r="FR85" s="460"/>
      <c r="FS85" s="460"/>
      <c r="FT85" s="319"/>
      <c r="FU85" s="460"/>
      <c r="FV85" s="319"/>
      <c r="FW85" s="319"/>
      <c r="FX85" s="319"/>
      <c r="FY85" s="319"/>
      <c r="FZ85" s="319"/>
      <c r="GA85" s="158">
        <f t="shared" si="32"/>
        <v>0</v>
      </c>
      <c r="GB85" s="95"/>
      <c r="GC85" s="374"/>
      <c r="GD85" s="460"/>
      <c r="GE85" s="460"/>
      <c r="GF85" s="460"/>
      <c r="GG85" s="319"/>
      <c r="GH85" s="460"/>
      <c r="GI85" s="460"/>
      <c r="GJ85" s="460"/>
      <c r="GK85" s="460"/>
      <c r="GL85" s="319"/>
      <c r="GM85" s="319"/>
      <c r="GN85" s="319"/>
      <c r="GO85" s="319"/>
      <c r="GP85" s="319"/>
      <c r="GQ85" s="28"/>
      <c r="GR85" s="164"/>
      <c r="GS85" s="24"/>
      <c r="GT85" s="24"/>
      <c r="GU85" s="745"/>
      <c r="GV85" s="472"/>
      <c r="GW85" s="585">
        <f t="shared" si="33"/>
        <v>0</v>
      </c>
      <c r="GX85" s="500">
        <f t="shared" si="34"/>
        <v>0</v>
      </c>
      <c r="GY85" s="605">
        <f t="shared" si="35"/>
        <v>0</v>
      </c>
      <c r="GZ85" s="627">
        <f>'2_квартал'!G72</f>
        <v>182.255</v>
      </c>
      <c r="HA85" s="239">
        <f t="shared" si="36"/>
        <v>0</v>
      </c>
      <c r="HB85" s="36" t="str">
        <f t="shared" si="37"/>
        <v>Люманце</v>
      </c>
      <c r="HC85" s="664"/>
      <c r="HD85" s="22"/>
      <c r="HE85" s="22"/>
    </row>
    <row r="86" spans="1:213" ht="15.9" customHeight="1" x14ac:dyDescent="0.3">
      <c r="A86" s="367">
        <f t="shared" si="38"/>
        <v>73</v>
      </c>
      <c r="B86" s="702" t="s">
        <v>183</v>
      </c>
      <c r="C86" s="565">
        <f>'2_квартал'!G73</f>
        <v>86.905000000000001</v>
      </c>
      <c r="D86" s="346">
        <f>1011.73+132</f>
        <v>1143.73</v>
      </c>
      <c r="E86" s="191">
        <v>497.39</v>
      </c>
      <c r="F86" s="573">
        <f>429.95</f>
        <v>429.95</v>
      </c>
      <c r="G86" s="299">
        <f t="shared" si="41"/>
        <v>690.35699999999997</v>
      </c>
      <c r="H86" s="93">
        <f>1370.61+1000</f>
        <v>2370.6099999999997</v>
      </c>
      <c r="I86" s="93">
        <f>940.66+1000</f>
        <v>1940.6599999999999</v>
      </c>
      <c r="J86" s="94"/>
      <c r="K86" s="319">
        <f>7.56/0.3*0.6</f>
        <v>15.12</v>
      </c>
      <c r="L86" s="319">
        <v>201.6</v>
      </c>
      <c r="M86" s="319"/>
      <c r="N86" s="319">
        <f>21.42*3</f>
        <v>64.260000000000005</v>
      </c>
      <c r="O86" s="319"/>
      <c r="P86" s="319"/>
      <c r="Q86" s="319">
        <f>264.6/15*7</f>
        <v>123.48</v>
      </c>
      <c r="R86" s="319">
        <f>264.6/15*10.4</f>
        <v>183.45600000000002</v>
      </c>
      <c r="S86" s="319">
        <f>264.6/15*2.6</f>
        <v>45.864000000000004</v>
      </c>
      <c r="T86" s="319"/>
      <c r="U86" s="319"/>
      <c r="V86" s="319"/>
      <c r="W86" s="319"/>
      <c r="X86" s="319">
        <v>21.42</v>
      </c>
      <c r="Y86" s="245"/>
      <c r="Z86" s="24"/>
      <c r="AA86" s="32"/>
      <c r="AB86" s="24">
        <f>176.4/0.7*0.3</f>
        <v>75.600000000000009</v>
      </c>
      <c r="AC86" s="319"/>
      <c r="AD86" s="319"/>
      <c r="AE86" s="319"/>
      <c r="AF86" s="319"/>
      <c r="AG86" s="319">
        <v>7.56</v>
      </c>
      <c r="AH86" s="24"/>
      <c r="AI86" s="24"/>
      <c r="AJ86" s="319"/>
      <c r="AK86" s="319"/>
      <c r="AL86" s="319"/>
      <c r="AM86" s="319">
        <f>21.42*3</f>
        <v>64.260000000000005</v>
      </c>
      <c r="AN86" s="319"/>
      <c r="AO86" s="319"/>
      <c r="AP86" s="319"/>
      <c r="AQ86" s="319">
        <f>20.16*5</f>
        <v>100.8</v>
      </c>
      <c r="AR86" s="319">
        <v>21.42</v>
      </c>
      <c r="AS86" s="319"/>
      <c r="AT86" s="319">
        <v>20.16</v>
      </c>
      <c r="AU86" s="319"/>
      <c r="AV86" s="319">
        <f>44.956/4*2</f>
        <v>22.478000000000002</v>
      </c>
      <c r="AW86" s="319"/>
      <c r="AX86" s="319">
        <v>6.7210000000000001</v>
      </c>
      <c r="AY86" s="319">
        <f>44.956/4*2</f>
        <v>22.478000000000002</v>
      </c>
      <c r="AZ86" s="319"/>
      <c r="BA86" s="319">
        <v>4.5359999999999996</v>
      </c>
      <c r="BB86" s="319"/>
      <c r="BC86" s="319"/>
      <c r="BD86" s="319"/>
      <c r="BE86" s="319">
        <f>76.041/7.1*4.1</f>
        <v>43.911000000000001</v>
      </c>
      <c r="BF86" s="319">
        <f>21.42*2</f>
        <v>42.84</v>
      </c>
      <c r="BG86" s="319"/>
      <c r="BH86" s="319"/>
      <c r="BI86" s="319"/>
      <c r="BJ86" s="319">
        <f>3.024*2</f>
        <v>6.048</v>
      </c>
      <c r="BK86" s="319">
        <f>11.97*1.5</f>
        <v>17.955000000000002</v>
      </c>
      <c r="BL86" s="319"/>
      <c r="BM86" s="319">
        <v>31.751999999999999</v>
      </c>
      <c r="BN86" s="319"/>
      <c r="BO86" s="319"/>
      <c r="BP86" s="319"/>
      <c r="BQ86" s="460"/>
      <c r="BR86" s="319"/>
      <c r="BS86" s="158">
        <f t="shared" si="30"/>
        <v>1143.7189999999996</v>
      </c>
      <c r="BT86" s="94"/>
      <c r="BU86" s="319"/>
      <c r="BV86" s="319">
        <v>12.706</v>
      </c>
      <c r="BW86" s="319">
        <f>12.096/3*1.5</f>
        <v>6.048</v>
      </c>
      <c r="BX86" s="319"/>
      <c r="BY86" s="319">
        <f>8.064/4*2</f>
        <v>4.032</v>
      </c>
      <c r="BZ86" s="319">
        <f>21.42*3</f>
        <v>64.260000000000005</v>
      </c>
      <c r="CA86" s="319"/>
      <c r="CB86" s="319">
        <v>9.0719999999999992</v>
      </c>
      <c r="CC86" s="319"/>
      <c r="CD86" s="319"/>
      <c r="CE86" s="319"/>
      <c r="CF86" s="319"/>
      <c r="CG86" s="319"/>
      <c r="CH86" s="319"/>
      <c r="CI86" s="319">
        <v>3.024</v>
      </c>
      <c r="CJ86" s="319">
        <f>21.42*6</f>
        <v>128.52000000000001</v>
      </c>
      <c r="CK86" s="319">
        <v>8.0640000000000001</v>
      </c>
      <c r="CL86" s="319"/>
      <c r="CM86" s="319"/>
      <c r="CN86" s="319">
        <v>3.024</v>
      </c>
      <c r="CO86" s="319"/>
      <c r="CP86" s="319"/>
      <c r="CQ86" s="319">
        <f>21.42*2</f>
        <v>42.84</v>
      </c>
      <c r="CR86" s="319"/>
      <c r="CS86" s="319"/>
      <c r="CT86" s="319"/>
      <c r="CU86" s="319">
        <f>12.096/3*1.5</f>
        <v>6.048</v>
      </c>
      <c r="CV86" s="319">
        <f>8.064/4*2</f>
        <v>4.032</v>
      </c>
      <c r="CW86" s="319"/>
      <c r="CX86" s="319"/>
      <c r="CY86" s="24"/>
      <c r="CZ86" s="32">
        <v>3.024</v>
      </c>
      <c r="DA86" s="32">
        <v>4.5359999999999996</v>
      </c>
      <c r="DB86" s="319">
        <f>5.04*0.6</f>
        <v>3.024</v>
      </c>
      <c r="DC86" s="319">
        <f>4.032*0.3</f>
        <v>1.2096</v>
      </c>
      <c r="DD86" s="319">
        <v>11.34</v>
      </c>
      <c r="DE86" s="319"/>
      <c r="DF86" s="319">
        <v>37.106999999999999</v>
      </c>
      <c r="DG86" s="319">
        <f>3.024*3.9</f>
        <v>11.7936</v>
      </c>
      <c r="DH86" s="319"/>
      <c r="DI86" s="319">
        <f>57.456/4*5</f>
        <v>71.820000000000007</v>
      </c>
      <c r="DJ86" s="319"/>
      <c r="DK86" s="319"/>
      <c r="DL86" s="319"/>
      <c r="DM86" s="319">
        <f>6.721*1.5</f>
        <v>10.0815</v>
      </c>
      <c r="DN86" s="319">
        <f>20.16/4*3</f>
        <v>15.120000000000001</v>
      </c>
      <c r="DO86" s="319"/>
      <c r="DP86" s="319">
        <f>9.072/1.8*0.9</f>
        <v>4.5359999999999996</v>
      </c>
      <c r="DQ86" s="319"/>
      <c r="DR86" s="319">
        <v>0.40100000000000002</v>
      </c>
      <c r="DS86" s="319">
        <v>31.751999999999999</v>
      </c>
      <c r="DT86" s="275">
        <f t="shared" si="31"/>
        <v>497.4147000000001</v>
      </c>
      <c r="DU86" s="57"/>
      <c r="DV86" s="319">
        <v>16.128</v>
      </c>
      <c r="DW86" s="319"/>
      <c r="DX86" s="319">
        <v>3.036</v>
      </c>
      <c r="DY86" s="319">
        <f>3.024*1.5</f>
        <v>4.5359999999999996</v>
      </c>
      <c r="DZ86" s="319"/>
      <c r="EA86" s="319">
        <f>21.42*5</f>
        <v>107.10000000000001</v>
      </c>
      <c r="EB86" s="319"/>
      <c r="EC86" s="319"/>
      <c r="ED86" s="319"/>
      <c r="EE86" s="319">
        <v>3.024</v>
      </c>
      <c r="EF86" s="319">
        <f>4.536*1.5</f>
        <v>6.8039999999999994</v>
      </c>
      <c r="EG86" s="24">
        <v>30.24</v>
      </c>
      <c r="EH86" s="24">
        <f>26.889/12*8</f>
        <v>17.925999999999998</v>
      </c>
      <c r="EI86" s="24">
        <f>26.889/12*4</f>
        <v>8.9629999999999992</v>
      </c>
      <c r="EJ86" s="319"/>
      <c r="EK86" s="319"/>
      <c r="EL86" s="319">
        <f>9.072/1.8*0.9</f>
        <v>4.5359999999999996</v>
      </c>
      <c r="EM86" s="319"/>
      <c r="EN86" s="319">
        <f>3.024*2</f>
        <v>6.048</v>
      </c>
      <c r="EO86" s="319">
        <f>4.536</f>
        <v>4.5359999999999996</v>
      </c>
      <c r="EP86" s="319"/>
      <c r="EQ86" s="319">
        <v>7.56</v>
      </c>
      <c r="ER86" s="319">
        <f>3.024*2.5</f>
        <v>7.5600000000000005</v>
      </c>
      <c r="ES86" s="319">
        <f>1.21/0.3*0.6</f>
        <v>2.42</v>
      </c>
      <c r="ET86" s="319">
        <v>6.8040000000000003</v>
      </c>
      <c r="EU86" s="319"/>
      <c r="EV86" s="319">
        <v>2.2679999999999998</v>
      </c>
      <c r="EW86" s="319">
        <v>0.75600000000000001</v>
      </c>
      <c r="EX86" s="319"/>
      <c r="EY86" s="319">
        <f>128.52/6*3</f>
        <v>64.260000000000005</v>
      </c>
      <c r="EZ86" s="319">
        <v>71.819999999999993</v>
      </c>
      <c r="FA86" s="319">
        <f>10.082/1.5</f>
        <v>6.7213333333333338</v>
      </c>
      <c r="FB86" s="319">
        <v>3.78</v>
      </c>
      <c r="FC86" s="319"/>
      <c r="FD86" s="319">
        <f>3.024</f>
        <v>3.024</v>
      </c>
      <c r="FE86" s="319"/>
      <c r="FF86" s="319"/>
      <c r="FG86" s="319">
        <v>32.130000000000003</v>
      </c>
      <c r="FH86" s="319"/>
      <c r="FI86" s="319"/>
      <c r="FJ86" s="319"/>
      <c r="FK86" s="319">
        <v>3.024</v>
      </c>
      <c r="FL86" s="319"/>
      <c r="FM86" s="319"/>
      <c r="FN86" s="319"/>
      <c r="FO86" s="319"/>
      <c r="FP86" s="319">
        <v>1.21</v>
      </c>
      <c r="FQ86" s="319">
        <v>1.21</v>
      </c>
      <c r="FR86" s="319"/>
      <c r="FS86" s="319"/>
      <c r="FT86" s="319"/>
      <c r="FU86" s="319"/>
      <c r="FV86" s="319">
        <f>9.072/1.8*0.5</f>
        <v>2.5199999999999996</v>
      </c>
      <c r="FW86" s="319"/>
      <c r="FX86" s="319"/>
      <c r="FY86" s="319"/>
      <c r="FZ86" s="319"/>
      <c r="GA86" s="158">
        <f t="shared" si="32"/>
        <v>429.94433333333325</v>
      </c>
      <c r="GB86" s="95"/>
      <c r="GC86" s="374"/>
      <c r="GD86" s="319"/>
      <c r="GE86" s="319"/>
      <c r="GF86" s="319"/>
      <c r="GG86" s="319"/>
      <c r="GH86" s="319"/>
      <c r="GI86" s="319"/>
      <c r="GJ86" s="319"/>
      <c r="GK86" s="319"/>
      <c r="GL86" s="319"/>
      <c r="GM86" s="319"/>
      <c r="GN86" s="319"/>
      <c r="GO86" s="319"/>
      <c r="GP86" s="319"/>
      <c r="GQ86" s="28"/>
      <c r="GR86" s="164"/>
      <c r="GS86" s="24"/>
      <c r="GT86" s="24"/>
      <c r="GU86" s="745"/>
      <c r="GV86" s="472"/>
      <c r="GW86" s="51">
        <f t="shared" si="33"/>
        <v>0</v>
      </c>
      <c r="GX86" s="500">
        <f t="shared" si="34"/>
        <v>1940.6599999999999</v>
      </c>
      <c r="GY86" s="605">
        <f t="shared" si="35"/>
        <v>1940.6599999999999</v>
      </c>
      <c r="GZ86" s="627">
        <f>'2_квартал'!G73</f>
        <v>86.905000000000001</v>
      </c>
      <c r="HA86" s="239">
        <f t="shared" si="36"/>
        <v>497.39</v>
      </c>
      <c r="HB86" s="36" t="str">
        <f t="shared" si="37"/>
        <v>Хромсодержащие дрожжи</v>
      </c>
      <c r="HC86" s="331"/>
      <c r="HD86" s="22"/>
      <c r="HE86" s="22"/>
    </row>
    <row r="87" spans="1:213" ht="15.9" customHeight="1" x14ac:dyDescent="0.3">
      <c r="A87" s="367">
        <f t="shared" si="38"/>
        <v>74</v>
      </c>
      <c r="B87" s="761" t="s">
        <v>125</v>
      </c>
      <c r="C87" s="565">
        <f>'2_квартал'!G75</f>
        <v>0</v>
      </c>
      <c r="D87" s="511">
        <v>14.58</v>
      </c>
      <c r="E87" s="757">
        <v>0</v>
      </c>
      <c r="F87" s="758">
        <v>0</v>
      </c>
      <c r="G87" s="299">
        <f t="shared" si="41"/>
        <v>4.8600000000000003</v>
      </c>
      <c r="H87" s="93">
        <v>0</v>
      </c>
      <c r="I87" s="93">
        <v>0</v>
      </c>
      <c r="J87" s="75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245"/>
      <c r="Z87" s="177"/>
      <c r="AA87" s="272"/>
      <c r="AB87" s="24"/>
      <c r="AC87" s="319">
        <v>0.30199999999999999</v>
      </c>
      <c r="AD87" s="319"/>
      <c r="AE87" s="319"/>
      <c r="AF87" s="319"/>
      <c r="AG87" s="319"/>
      <c r="AH87" s="177"/>
      <c r="AI87" s="177">
        <v>14.278</v>
      </c>
      <c r="AJ87" s="319"/>
      <c r="AK87" s="319"/>
      <c r="AL87" s="319"/>
      <c r="AM87" s="319"/>
      <c r="AN87" s="319"/>
      <c r="AO87" s="319"/>
      <c r="AP87" s="319"/>
      <c r="AQ87" s="319"/>
      <c r="AR87" s="319"/>
      <c r="AS87" s="319"/>
      <c r="AT87" s="319"/>
      <c r="AU87" s="319"/>
      <c r="AV87" s="319"/>
      <c r="AW87" s="319"/>
      <c r="AX87" s="319"/>
      <c r="AY87" s="319"/>
      <c r="AZ87" s="319"/>
      <c r="BA87" s="319"/>
      <c r="BB87" s="319"/>
      <c r="BC87" s="319"/>
      <c r="BD87" s="319"/>
      <c r="BE87" s="319"/>
      <c r="BF87" s="319"/>
      <c r="BG87" s="319"/>
      <c r="BH87" s="319"/>
      <c r="BI87" s="319"/>
      <c r="BJ87" s="319"/>
      <c r="BK87" s="319"/>
      <c r="BL87" s="319"/>
      <c r="BM87" s="319"/>
      <c r="BN87" s="319"/>
      <c r="BO87" s="319"/>
      <c r="BP87" s="319"/>
      <c r="BQ87" s="460"/>
      <c r="BR87" s="319"/>
      <c r="BS87" s="158">
        <f t="shared" si="30"/>
        <v>14.58</v>
      </c>
      <c r="BT87" s="759"/>
      <c r="BU87" s="319"/>
      <c r="BV87" s="319"/>
      <c r="BW87" s="319"/>
      <c r="BX87" s="319"/>
      <c r="BY87" s="319"/>
      <c r="BZ87" s="319"/>
      <c r="CA87" s="319"/>
      <c r="CB87" s="319"/>
      <c r="CC87" s="319"/>
      <c r="CD87" s="319"/>
      <c r="CE87" s="319"/>
      <c r="CF87" s="319"/>
      <c r="CG87" s="319"/>
      <c r="CH87" s="319"/>
      <c r="CI87" s="319"/>
      <c r="CJ87" s="319"/>
      <c r="CK87" s="319"/>
      <c r="CL87" s="319"/>
      <c r="CM87" s="319"/>
      <c r="CN87" s="319"/>
      <c r="CO87" s="319"/>
      <c r="CP87" s="319"/>
      <c r="CQ87" s="319"/>
      <c r="CR87" s="319"/>
      <c r="CS87" s="319"/>
      <c r="CT87" s="319"/>
      <c r="CU87" s="177"/>
      <c r="CV87" s="177"/>
      <c r="CW87" s="177"/>
      <c r="CX87" s="319"/>
      <c r="CY87" s="177"/>
      <c r="CZ87" s="32"/>
      <c r="DA87" s="32"/>
      <c r="DB87" s="319"/>
      <c r="DC87" s="319"/>
      <c r="DD87" s="177"/>
      <c r="DE87" s="319"/>
      <c r="DF87" s="319"/>
      <c r="DG87" s="319"/>
      <c r="DH87" s="319"/>
      <c r="DI87" s="319"/>
      <c r="DJ87" s="319"/>
      <c r="DK87" s="319"/>
      <c r="DL87" s="319"/>
      <c r="DM87" s="319"/>
      <c r="DN87" s="319"/>
      <c r="DO87" s="319"/>
      <c r="DP87" s="319"/>
      <c r="DQ87" s="319"/>
      <c r="DR87" s="319"/>
      <c r="DS87" s="319"/>
      <c r="DT87" s="419">
        <f t="shared" si="31"/>
        <v>0</v>
      </c>
      <c r="DU87" s="57"/>
      <c r="DV87" s="319"/>
      <c r="DW87" s="319"/>
      <c r="DX87" s="319"/>
      <c r="DY87" s="319"/>
      <c r="DZ87" s="319"/>
      <c r="EA87" s="319"/>
      <c r="EB87" s="319"/>
      <c r="EC87" s="319"/>
      <c r="ED87" s="319"/>
      <c r="EE87" s="319"/>
      <c r="EF87" s="319"/>
      <c r="EG87" s="24"/>
      <c r="EH87" s="177"/>
      <c r="EI87" s="177"/>
      <c r="EJ87" s="319"/>
      <c r="EK87" s="319"/>
      <c r="EL87" s="319"/>
      <c r="EM87" s="319"/>
      <c r="EN87" s="319"/>
      <c r="EO87" s="319"/>
      <c r="EP87" s="319"/>
      <c r="EQ87" s="319"/>
      <c r="ER87" s="319"/>
      <c r="ES87" s="319"/>
      <c r="ET87" s="319"/>
      <c r="EU87" s="319"/>
      <c r="EV87" s="319"/>
      <c r="EW87" s="319"/>
      <c r="EX87" s="319"/>
      <c r="EY87" s="319"/>
      <c r="EZ87" s="319"/>
      <c r="FA87" s="319"/>
      <c r="FB87" s="319"/>
      <c r="FC87" s="319"/>
      <c r="FD87" s="319"/>
      <c r="FE87" s="319"/>
      <c r="FF87" s="319"/>
      <c r="FG87" s="319"/>
      <c r="FH87" s="319"/>
      <c r="FI87" s="319"/>
      <c r="FJ87" s="319"/>
      <c r="FK87" s="319"/>
      <c r="FL87" s="319"/>
      <c r="FM87" s="319"/>
      <c r="FN87" s="177"/>
      <c r="FO87" s="319"/>
      <c r="FP87" s="319"/>
      <c r="FQ87" s="319"/>
      <c r="FR87" s="319"/>
      <c r="FS87" s="319"/>
      <c r="FT87" s="319"/>
      <c r="FU87" s="32"/>
      <c r="FV87" s="319"/>
      <c r="FW87" s="319"/>
      <c r="FX87" s="319"/>
      <c r="FY87" s="319"/>
      <c r="FZ87" s="319"/>
      <c r="GA87" s="158">
        <f t="shared" si="32"/>
        <v>0</v>
      </c>
      <c r="GB87" s="760"/>
      <c r="GC87" s="374"/>
      <c r="GD87" s="32"/>
      <c r="GE87" s="32"/>
      <c r="GF87" s="319"/>
      <c r="GG87" s="319"/>
      <c r="GH87" s="319"/>
      <c r="GI87" s="32"/>
      <c r="GJ87" s="32"/>
      <c r="GK87" s="32"/>
      <c r="GL87" s="319"/>
      <c r="GM87" s="319"/>
      <c r="GN87" s="319"/>
      <c r="GO87" s="319"/>
      <c r="GP87" s="319"/>
      <c r="GQ87" s="28"/>
      <c r="GR87" s="177"/>
      <c r="GS87" s="177"/>
      <c r="GT87" s="24"/>
      <c r="GU87" s="745"/>
      <c r="GV87" s="472"/>
      <c r="GW87" s="51">
        <f t="shared" si="33"/>
        <v>0</v>
      </c>
      <c r="GX87" s="500">
        <f t="shared" si="34"/>
        <v>0</v>
      </c>
      <c r="GY87" s="605">
        <f t="shared" si="35"/>
        <v>0</v>
      </c>
      <c r="GZ87" s="627">
        <f>'2_квартал'!G75</f>
        <v>0</v>
      </c>
      <c r="HA87" s="239">
        <f t="shared" si="36"/>
        <v>0</v>
      </c>
      <c r="HB87" s="36" t="str">
        <f t="shared" si="37"/>
        <v>Фекорд -2012-Ф гр.1</v>
      </c>
      <c r="HC87" s="331"/>
      <c r="HD87" s="22"/>
      <c r="HE87" s="22"/>
    </row>
    <row r="88" spans="1:213" ht="15.9" customHeight="1" x14ac:dyDescent="0.3">
      <c r="A88" s="367">
        <f t="shared" si="38"/>
        <v>75</v>
      </c>
      <c r="B88" s="762" t="s">
        <v>102</v>
      </c>
      <c r="C88" s="565"/>
      <c r="D88" s="511">
        <v>0</v>
      </c>
      <c r="E88" s="191">
        <v>22.58</v>
      </c>
      <c r="F88" s="573">
        <v>2.0099999999999998</v>
      </c>
      <c r="G88" s="299">
        <f t="shared" si="41"/>
        <v>8.1969999999999992</v>
      </c>
      <c r="H88" s="93">
        <v>27.42</v>
      </c>
      <c r="I88" s="93">
        <v>25.41</v>
      </c>
      <c r="J88" s="94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245"/>
      <c r="Z88" s="177"/>
      <c r="AA88" s="272"/>
      <c r="AB88" s="24"/>
      <c r="AC88" s="319"/>
      <c r="AD88" s="319"/>
      <c r="AE88" s="319"/>
      <c r="AF88" s="319"/>
      <c r="AG88" s="319"/>
      <c r="AH88" s="177"/>
      <c r="AI88" s="177"/>
      <c r="AJ88" s="319"/>
      <c r="AK88" s="319"/>
      <c r="AL88" s="319"/>
      <c r="AM88" s="319"/>
      <c r="AN88" s="319"/>
      <c r="AO88" s="319"/>
      <c r="AP88" s="319"/>
      <c r="AQ88" s="319"/>
      <c r="AR88" s="319"/>
      <c r="AS88" s="319"/>
      <c r="AT88" s="319"/>
      <c r="AU88" s="319"/>
      <c r="AV88" s="319"/>
      <c r="AW88" s="319"/>
      <c r="AX88" s="319"/>
      <c r="AY88" s="319"/>
      <c r="AZ88" s="319"/>
      <c r="BA88" s="319"/>
      <c r="BB88" s="319"/>
      <c r="BC88" s="319"/>
      <c r="BD88" s="319"/>
      <c r="BE88" s="319"/>
      <c r="BF88" s="319"/>
      <c r="BG88" s="319"/>
      <c r="BH88" s="319"/>
      <c r="BI88" s="319"/>
      <c r="BJ88" s="319"/>
      <c r="BK88" s="319"/>
      <c r="BL88" s="319"/>
      <c r="BM88" s="319"/>
      <c r="BN88" s="319"/>
      <c r="BO88" s="319"/>
      <c r="BP88" s="319"/>
      <c r="BQ88" s="460"/>
      <c r="BR88" s="319"/>
      <c r="BS88" s="158">
        <f t="shared" si="30"/>
        <v>0</v>
      </c>
      <c r="BT88" s="94"/>
      <c r="BU88" s="319"/>
      <c r="BV88" s="319"/>
      <c r="BW88" s="319"/>
      <c r="BX88" s="319"/>
      <c r="BY88" s="319"/>
      <c r="BZ88" s="319"/>
      <c r="CA88" s="319"/>
      <c r="CB88" s="319"/>
      <c r="CC88" s="319"/>
      <c r="CD88" s="319"/>
      <c r="CE88" s="319"/>
      <c r="CF88" s="319"/>
      <c r="CG88" s="319"/>
      <c r="CH88" s="319"/>
      <c r="CI88" s="319"/>
      <c r="CJ88" s="319"/>
      <c r="CK88" s="319"/>
      <c r="CL88" s="319"/>
      <c r="CM88" s="319"/>
      <c r="CN88" s="319"/>
      <c r="CO88" s="319"/>
      <c r="CP88" s="319"/>
      <c r="CQ88" s="319"/>
      <c r="CR88" s="319"/>
      <c r="CS88" s="319"/>
      <c r="CT88" s="319"/>
      <c r="CU88" s="319"/>
      <c r="CV88" s="319"/>
      <c r="CW88" s="319"/>
      <c r="CX88" s="319"/>
      <c r="CY88" s="177">
        <v>20.16</v>
      </c>
      <c r="CZ88" s="32"/>
      <c r="DA88" s="32"/>
      <c r="DB88" s="319"/>
      <c r="DC88" s="319"/>
      <c r="DD88" s="319"/>
      <c r="DE88" s="319">
        <v>2.419</v>
      </c>
      <c r="DF88" s="319"/>
      <c r="DG88" s="319"/>
      <c r="DH88" s="319"/>
      <c r="DI88" s="319"/>
      <c r="DJ88" s="319"/>
      <c r="DK88" s="319"/>
      <c r="DL88" s="319"/>
      <c r="DM88" s="319"/>
      <c r="DN88" s="319"/>
      <c r="DO88" s="319"/>
      <c r="DP88" s="319"/>
      <c r="DQ88" s="319"/>
      <c r="DR88" s="319"/>
      <c r="DS88" s="319"/>
      <c r="DT88" s="419">
        <f t="shared" si="31"/>
        <v>22.579000000000001</v>
      </c>
      <c r="DU88" s="57"/>
      <c r="DV88" s="319"/>
      <c r="DW88" s="319"/>
      <c r="DX88" s="319"/>
      <c r="DY88" s="319"/>
      <c r="DZ88" s="319"/>
      <c r="EA88" s="319"/>
      <c r="EB88" s="319"/>
      <c r="EC88" s="319"/>
      <c r="ED88" s="319"/>
      <c r="EE88" s="319"/>
      <c r="EF88" s="319"/>
      <c r="EG88" s="24"/>
      <c r="EH88" s="177"/>
      <c r="EI88" s="177"/>
      <c r="EJ88" s="319"/>
      <c r="EK88" s="319"/>
      <c r="EL88" s="319"/>
      <c r="EM88" s="319"/>
      <c r="EN88" s="319"/>
      <c r="EO88" s="319"/>
      <c r="EP88" s="319"/>
      <c r="EQ88" s="319"/>
      <c r="ER88" s="319"/>
      <c r="ES88" s="319"/>
      <c r="ET88" s="319"/>
      <c r="EU88" s="319"/>
      <c r="EV88" s="319"/>
      <c r="EW88" s="319">
        <v>0.30199999999999999</v>
      </c>
      <c r="EX88" s="319"/>
      <c r="EY88" s="319"/>
      <c r="EZ88" s="319"/>
      <c r="FA88" s="319"/>
      <c r="FB88" s="319"/>
      <c r="FC88" s="319"/>
      <c r="FD88" s="319"/>
      <c r="FE88" s="319"/>
      <c r="FF88" s="319"/>
      <c r="FG88" s="319"/>
      <c r="FH88" s="319">
        <v>1.714</v>
      </c>
      <c r="FI88" s="319"/>
      <c r="FJ88" s="319"/>
      <c r="FK88" s="319"/>
      <c r="FL88" s="319"/>
      <c r="FM88" s="319"/>
      <c r="FN88" s="319"/>
      <c r="FO88" s="319"/>
      <c r="FP88" s="319"/>
      <c r="FQ88" s="319"/>
      <c r="FR88" s="319"/>
      <c r="FS88" s="319"/>
      <c r="FT88" s="319"/>
      <c r="FU88" s="319"/>
      <c r="FV88" s="319"/>
      <c r="FW88" s="319"/>
      <c r="FX88" s="319"/>
      <c r="FY88" s="319"/>
      <c r="FZ88" s="319"/>
      <c r="GA88" s="158">
        <f t="shared" si="32"/>
        <v>2.016</v>
      </c>
      <c r="GB88" s="95"/>
      <c r="GC88" s="374"/>
      <c r="GD88" s="319"/>
      <c r="GE88" s="319"/>
      <c r="GF88" s="319"/>
      <c r="GG88" s="319"/>
      <c r="GH88" s="319"/>
      <c r="GI88" s="319"/>
      <c r="GJ88" s="319"/>
      <c r="GK88" s="319"/>
      <c r="GL88" s="319"/>
      <c r="GM88" s="319"/>
      <c r="GN88" s="319"/>
      <c r="GO88" s="319"/>
      <c r="GP88" s="319"/>
      <c r="GQ88" s="28"/>
      <c r="GR88" s="270"/>
      <c r="GS88" s="177"/>
      <c r="GT88" s="24"/>
      <c r="GU88" s="741"/>
      <c r="GV88" s="472"/>
      <c r="GW88" s="51">
        <f t="shared" si="33"/>
        <v>0</v>
      </c>
      <c r="GX88" s="525">
        <f t="shared" si="34"/>
        <v>25.41</v>
      </c>
      <c r="GY88" s="605">
        <f t="shared" si="35"/>
        <v>25.41</v>
      </c>
      <c r="GZ88" s="627">
        <f>'2_квартал'!G76</f>
        <v>0</v>
      </c>
      <c r="HA88" s="239">
        <f t="shared" si="36"/>
        <v>22.58</v>
      </c>
      <c r="HB88" s="36" t="str">
        <f t="shared" si="37"/>
        <v>Фекорд -2012-Ф гр.2</v>
      </c>
      <c r="HC88" s="664"/>
      <c r="HD88" s="22"/>
      <c r="HE88" s="22"/>
    </row>
    <row r="89" spans="1:213" ht="15.9" customHeight="1" x14ac:dyDescent="0.3">
      <c r="A89" s="367">
        <f t="shared" si="38"/>
        <v>76</v>
      </c>
      <c r="B89" s="768" t="s">
        <v>103</v>
      </c>
      <c r="C89" s="565">
        <f>'2_квартал'!G76</f>
        <v>0</v>
      </c>
      <c r="D89" s="511">
        <v>3.48</v>
      </c>
      <c r="E89" s="191">
        <v>0</v>
      </c>
      <c r="F89" s="573">
        <v>0</v>
      </c>
      <c r="G89" s="299">
        <f t="shared" si="41"/>
        <v>1.1599999999999999</v>
      </c>
      <c r="H89" s="324">
        <v>0</v>
      </c>
      <c r="I89" s="324">
        <v>0</v>
      </c>
      <c r="J89" s="94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6"/>
      <c r="Z89" s="177"/>
      <c r="AA89" s="272"/>
      <c r="AB89" s="177"/>
      <c r="AC89" s="325"/>
      <c r="AD89" s="325"/>
      <c r="AE89" s="325"/>
      <c r="AF89" s="325"/>
      <c r="AG89" s="325"/>
      <c r="AH89" s="177"/>
      <c r="AI89" s="177">
        <v>3.48</v>
      </c>
      <c r="AJ89" s="325"/>
      <c r="AK89" s="325"/>
      <c r="AL89" s="325"/>
      <c r="AM89" s="325"/>
      <c r="AN89" s="325"/>
      <c r="AO89" s="325"/>
      <c r="AP89" s="325"/>
      <c r="AQ89" s="325"/>
      <c r="AR89" s="325"/>
      <c r="AS89" s="325"/>
      <c r="AT89" s="325"/>
      <c r="AU89" s="325"/>
      <c r="AV89" s="325"/>
      <c r="AW89" s="325"/>
      <c r="AX89" s="325"/>
      <c r="AY89" s="325"/>
      <c r="AZ89" s="325"/>
      <c r="BA89" s="325"/>
      <c r="BB89" s="325"/>
      <c r="BC89" s="325"/>
      <c r="BD89" s="325"/>
      <c r="BE89" s="325"/>
      <c r="BF89" s="325"/>
      <c r="BG89" s="325"/>
      <c r="BH89" s="325"/>
      <c r="BI89" s="325"/>
      <c r="BJ89" s="325"/>
      <c r="BK89" s="325"/>
      <c r="BL89" s="325"/>
      <c r="BM89" s="325"/>
      <c r="BN89" s="325"/>
      <c r="BO89" s="325"/>
      <c r="BP89" s="325"/>
      <c r="BQ89" s="462"/>
      <c r="BR89" s="325"/>
      <c r="BS89" s="158">
        <f t="shared" si="30"/>
        <v>3.48</v>
      </c>
      <c r="BT89" s="94"/>
      <c r="BU89" s="325"/>
      <c r="BV89" s="325"/>
      <c r="BW89" s="325"/>
      <c r="BX89" s="325"/>
      <c r="BY89" s="325"/>
      <c r="BZ89" s="325"/>
      <c r="CA89" s="325"/>
      <c r="CB89" s="325"/>
      <c r="CC89" s="325"/>
      <c r="CD89" s="325"/>
      <c r="CE89" s="325"/>
      <c r="CF89" s="325"/>
      <c r="CG89" s="325"/>
      <c r="CH89" s="325"/>
      <c r="CI89" s="325"/>
      <c r="CJ89" s="325"/>
      <c r="CK89" s="325"/>
      <c r="CL89" s="325"/>
      <c r="CM89" s="325"/>
      <c r="CN89" s="325"/>
      <c r="CO89" s="325"/>
      <c r="CP89" s="325"/>
      <c r="CQ89" s="325"/>
      <c r="CR89" s="325"/>
      <c r="CS89" s="325"/>
      <c r="CT89" s="325"/>
      <c r="CU89" s="325"/>
      <c r="CV89" s="325"/>
      <c r="CW89" s="325"/>
      <c r="CX89" s="325"/>
      <c r="CY89" s="177"/>
      <c r="CZ89" s="272"/>
      <c r="DA89" s="272"/>
      <c r="DB89" s="325"/>
      <c r="DC89" s="325"/>
      <c r="DD89" s="325"/>
      <c r="DE89" s="325"/>
      <c r="DF89" s="325"/>
      <c r="DG89" s="325"/>
      <c r="DH89" s="325"/>
      <c r="DI89" s="325"/>
      <c r="DJ89" s="325"/>
      <c r="DK89" s="325"/>
      <c r="DL89" s="325"/>
      <c r="DM89" s="325"/>
      <c r="DN89" s="325"/>
      <c r="DO89" s="325"/>
      <c r="DP89" s="325"/>
      <c r="DQ89" s="325"/>
      <c r="DR89" s="319"/>
      <c r="DS89" s="325"/>
      <c r="DT89" s="419">
        <f t="shared" si="31"/>
        <v>0</v>
      </c>
      <c r="DU89" s="57"/>
      <c r="DV89" s="325"/>
      <c r="DW89" s="325"/>
      <c r="DX89" s="319"/>
      <c r="DY89" s="325"/>
      <c r="DZ89" s="325"/>
      <c r="EA89" s="325"/>
      <c r="EB89" s="319"/>
      <c r="EC89" s="319"/>
      <c r="ED89" s="325"/>
      <c r="EE89" s="325"/>
      <c r="EF89" s="325"/>
      <c r="EG89" s="24"/>
      <c r="EH89" s="177"/>
      <c r="EI89" s="177"/>
      <c r="EJ89" s="325"/>
      <c r="EK89" s="325"/>
      <c r="EL89" s="325"/>
      <c r="EM89" s="325"/>
      <c r="EN89" s="325"/>
      <c r="EO89" s="325"/>
      <c r="EP89" s="325"/>
      <c r="EQ89" s="325"/>
      <c r="ER89" s="325"/>
      <c r="ES89" s="325"/>
      <c r="ET89" s="325"/>
      <c r="EU89" s="325"/>
      <c r="EV89" s="325"/>
      <c r="EW89" s="325"/>
      <c r="EX89" s="325"/>
      <c r="EY89" s="325"/>
      <c r="EZ89" s="325"/>
      <c r="FA89" s="325"/>
      <c r="FB89" s="325"/>
      <c r="FC89" s="325"/>
      <c r="FD89" s="325"/>
      <c r="FE89" s="325"/>
      <c r="FF89" s="325"/>
      <c r="FG89" s="325"/>
      <c r="FH89" s="325"/>
      <c r="FI89" s="325"/>
      <c r="FJ89" s="325"/>
      <c r="FK89" s="325"/>
      <c r="FL89" s="325"/>
      <c r="FM89" s="319"/>
      <c r="FN89" s="325"/>
      <c r="FO89" s="319"/>
      <c r="FP89" s="319"/>
      <c r="FQ89" s="319"/>
      <c r="FR89" s="325"/>
      <c r="FS89" s="325"/>
      <c r="FT89" s="325"/>
      <c r="FU89" s="325"/>
      <c r="FV89" s="325"/>
      <c r="FW89" s="325"/>
      <c r="FX89" s="325"/>
      <c r="FY89" s="325"/>
      <c r="FZ89" s="325"/>
      <c r="GA89" s="158">
        <f t="shared" si="32"/>
        <v>0</v>
      </c>
      <c r="GB89" s="95"/>
      <c r="GC89" s="375"/>
      <c r="GD89" s="325"/>
      <c r="GE89" s="325"/>
      <c r="GF89" s="325"/>
      <c r="GG89" s="325"/>
      <c r="GH89" s="325"/>
      <c r="GI89" s="325"/>
      <c r="GJ89" s="325"/>
      <c r="GK89" s="325"/>
      <c r="GL89" s="325"/>
      <c r="GM89" s="325"/>
      <c r="GN89" s="325"/>
      <c r="GO89" s="325"/>
      <c r="GP89" s="319"/>
      <c r="GQ89" s="182"/>
      <c r="GR89" s="270"/>
      <c r="GS89" s="177"/>
      <c r="GT89" s="24"/>
      <c r="GU89" s="741"/>
      <c r="GV89" s="472"/>
      <c r="GW89" s="51">
        <f t="shared" si="33"/>
        <v>0</v>
      </c>
      <c r="GX89" s="500">
        <f t="shared" si="34"/>
        <v>0</v>
      </c>
      <c r="GY89" s="605">
        <f t="shared" si="35"/>
        <v>0</v>
      </c>
      <c r="GZ89" s="627">
        <f>'2_квартал'!G76</f>
        <v>0</v>
      </c>
      <c r="HA89" s="239">
        <f t="shared" si="36"/>
        <v>0</v>
      </c>
      <c r="HB89" s="36" t="str">
        <f t="shared" si="37"/>
        <v xml:space="preserve">Фитазим С (гр. 3), акт 10000 ед/г </v>
      </c>
      <c r="HC89" s="664"/>
      <c r="HD89" s="22"/>
      <c r="HE89" s="22"/>
    </row>
    <row r="90" spans="1:213" ht="15.9" customHeight="1" x14ac:dyDescent="0.3">
      <c r="A90" s="367">
        <f>A89+1</f>
        <v>77</v>
      </c>
      <c r="B90" s="767" t="s">
        <v>172</v>
      </c>
      <c r="C90" s="565">
        <f>'2_квартал'!G78</f>
        <v>489.03</v>
      </c>
      <c r="D90" s="511">
        <f>40.47+673</f>
        <v>713.47</v>
      </c>
      <c r="E90" s="191">
        <v>138.44</v>
      </c>
      <c r="F90" s="573">
        <f>861.56+496+923.28</f>
        <v>2280.84</v>
      </c>
      <c r="G90" s="299">
        <f t="shared" si="41"/>
        <v>1044.25</v>
      </c>
      <c r="H90" s="93">
        <v>861.56</v>
      </c>
      <c r="I90" s="93">
        <v>76.72</v>
      </c>
      <c r="J90" s="94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245"/>
      <c r="Z90" s="24">
        <v>290.30399999999997</v>
      </c>
      <c r="AA90" s="32">
        <v>241.92</v>
      </c>
      <c r="AB90" s="24"/>
      <c r="AC90" s="319">
        <v>8.4670000000000005</v>
      </c>
      <c r="AD90" s="319"/>
      <c r="AE90" s="319"/>
      <c r="AF90" s="319"/>
      <c r="AG90" s="319"/>
      <c r="AH90" s="24">
        <v>20.16</v>
      </c>
      <c r="AI90" s="24">
        <v>151.19999999999999</v>
      </c>
      <c r="AJ90" s="319"/>
      <c r="AK90" s="319"/>
      <c r="AL90" s="319"/>
      <c r="AM90" s="319"/>
      <c r="AN90" s="319"/>
      <c r="AO90" s="319"/>
      <c r="AP90" s="319"/>
      <c r="AQ90" s="319"/>
      <c r="AR90" s="319"/>
      <c r="AS90" s="319"/>
      <c r="AT90" s="319"/>
      <c r="AU90" s="319"/>
      <c r="AV90" s="319"/>
      <c r="AW90" s="319"/>
      <c r="AX90" s="319"/>
      <c r="AY90" s="319"/>
      <c r="AZ90" s="319"/>
      <c r="BA90" s="319">
        <v>1.42</v>
      </c>
      <c r="BB90" s="319"/>
      <c r="BC90" s="319"/>
      <c r="BD90" s="319"/>
      <c r="BE90" s="319"/>
      <c r="BF90" s="319"/>
      <c r="BG90" s="319"/>
      <c r="BH90" s="319"/>
      <c r="BI90" s="319"/>
      <c r="BJ90" s="319"/>
      <c r="BK90" s="319"/>
      <c r="BL90" s="319"/>
      <c r="BM90" s="319"/>
      <c r="BN90" s="319"/>
      <c r="BO90" s="319"/>
      <c r="BP90" s="319"/>
      <c r="BQ90" s="460"/>
      <c r="BR90" s="319"/>
      <c r="BS90" s="158">
        <f t="shared" si="30"/>
        <v>713.47099999999989</v>
      </c>
      <c r="BT90" s="94"/>
      <c r="BU90" s="319"/>
      <c r="BV90" s="319"/>
      <c r="BW90" s="325">
        <f>110.881/3*1.5</f>
        <v>55.4405</v>
      </c>
      <c r="BX90" s="319"/>
      <c r="BY90" s="325"/>
      <c r="BZ90" s="319"/>
      <c r="CA90" s="319"/>
      <c r="CB90" s="319"/>
      <c r="CC90" s="319"/>
      <c r="CD90" s="319"/>
      <c r="CE90" s="319"/>
      <c r="CF90" s="319">
        <v>22.175999999999998</v>
      </c>
      <c r="CG90" s="319"/>
      <c r="CH90" s="319">
        <v>5.3760000000000003</v>
      </c>
      <c r="CI90" s="319"/>
      <c r="CJ90" s="319"/>
      <c r="CK90" s="319"/>
      <c r="CL90" s="319"/>
      <c r="CM90" s="319"/>
      <c r="CN90" s="319"/>
      <c r="CO90" s="319"/>
      <c r="CP90" s="319"/>
      <c r="CQ90" s="319"/>
      <c r="CR90" s="319"/>
      <c r="CS90" s="319"/>
      <c r="CT90" s="319"/>
      <c r="CU90" s="325">
        <f>110.881/3*1.5</f>
        <v>55.4405</v>
      </c>
      <c r="CV90" s="325"/>
      <c r="CW90" s="319"/>
      <c r="CX90" s="319"/>
      <c r="CY90" s="24"/>
      <c r="CZ90" s="32"/>
      <c r="DA90" s="32"/>
      <c r="DB90" s="319"/>
      <c r="DC90" s="319"/>
      <c r="DD90" s="319"/>
      <c r="DE90" s="319"/>
      <c r="DF90" s="319"/>
      <c r="DG90" s="319"/>
      <c r="DH90" s="319"/>
      <c r="DI90" s="319"/>
      <c r="DJ90" s="319"/>
      <c r="DK90" s="319"/>
      <c r="DL90" s="319"/>
      <c r="DM90" s="319"/>
      <c r="DN90" s="319"/>
      <c r="DO90" s="319"/>
      <c r="DP90" s="319"/>
      <c r="DQ90" s="319"/>
      <c r="DR90" s="319"/>
      <c r="DS90" s="319"/>
      <c r="DT90" s="275">
        <f t="shared" si="31"/>
        <v>138.43299999999999</v>
      </c>
      <c r="DU90" s="57"/>
      <c r="DV90" s="319"/>
      <c r="DW90" s="319"/>
      <c r="DX90" s="319">
        <v>60.48</v>
      </c>
      <c r="DY90" s="319"/>
      <c r="DZ90" s="319"/>
      <c r="EA90" s="319"/>
      <c r="EB90" s="319"/>
      <c r="EC90" s="319"/>
      <c r="ED90" s="319"/>
      <c r="EE90" s="319"/>
      <c r="EF90" s="319"/>
      <c r="EG90" s="24">
        <v>231.17099999999999</v>
      </c>
      <c r="EH90" s="24">
        <f>1693.44/12*8</f>
        <v>1128.96</v>
      </c>
      <c r="EI90" s="24">
        <f>1693.44/12*4</f>
        <v>564.48</v>
      </c>
      <c r="EJ90" s="319"/>
      <c r="EK90" s="319"/>
      <c r="EL90" s="319"/>
      <c r="EM90" s="319"/>
      <c r="EN90" s="319"/>
      <c r="EO90" s="319"/>
      <c r="EP90" s="319"/>
      <c r="EQ90" s="319"/>
      <c r="ER90" s="319"/>
      <c r="ES90" s="319"/>
      <c r="ET90" s="319"/>
      <c r="EU90" s="319"/>
      <c r="EV90" s="319">
        <v>151.19999999999999</v>
      </c>
      <c r="EW90" s="319">
        <v>8.4670000000000005</v>
      </c>
      <c r="EX90" s="319"/>
      <c r="EY90" s="319"/>
      <c r="EZ90" s="319"/>
      <c r="FA90" s="319"/>
      <c r="FB90" s="319"/>
      <c r="FC90" s="319"/>
      <c r="FD90" s="319"/>
      <c r="FE90" s="319"/>
      <c r="FF90" s="319"/>
      <c r="FG90" s="319"/>
      <c r="FH90" s="319"/>
      <c r="FI90" s="319"/>
      <c r="FJ90" s="319"/>
      <c r="FK90" s="319"/>
      <c r="FL90" s="319"/>
      <c r="FM90" s="319"/>
      <c r="FN90" s="319"/>
      <c r="FO90" s="319"/>
      <c r="FP90" s="319">
        <v>28.224</v>
      </c>
      <c r="FQ90" s="319">
        <v>16.128</v>
      </c>
      <c r="FR90" s="319">
        <v>91.727999999999994</v>
      </c>
      <c r="FS90" s="319"/>
      <c r="FT90" s="319"/>
      <c r="FU90" s="319"/>
      <c r="FV90" s="319"/>
      <c r="FW90" s="319"/>
      <c r="FX90" s="319"/>
      <c r="FY90" s="319"/>
      <c r="FZ90" s="319"/>
      <c r="GA90" s="158">
        <f t="shared" si="32"/>
        <v>2280.8380000000006</v>
      </c>
      <c r="GB90" s="95"/>
      <c r="GC90" s="374"/>
      <c r="GD90" s="319"/>
      <c r="GE90" s="319"/>
      <c r="GF90" s="319"/>
      <c r="GG90" s="319"/>
      <c r="GH90" s="319"/>
      <c r="GI90" s="319"/>
      <c r="GJ90" s="319"/>
      <c r="GK90" s="319"/>
      <c r="GL90" s="319"/>
      <c r="GM90" s="319"/>
      <c r="GN90" s="319"/>
      <c r="GO90" s="319"/>
      <c r="GP90" s="319"/>
      <c r="GQ90" s="28"/>
      <c r="GR90" s="164"/>
      <c r="GS90" s="24"/>
      <c r="GT90" s="24"/>
      <c r="GU90" s="745"/>
      <c r="GV90" s="472"/>
      <c r="GW90" s="51">
        <f t="shared" si="33"/>
        <v>0</v>
      </c>
      <c r="GX90" s="500">
        <f t="shared" si="34"/>
        <v>76.72</v>
      </c>
      <c r="GY90" s="605">
        <f t="shared" si="35"/>
        <v>76.72</v>
      </c>
      <c r="GZ90" s="627">
        <f>'2_квартал'!G78</f>
        <v>489.03</v>
      </c>
      <c r="HA90" s="239">
        <f t="shared" si="36"/>
        <v>138.44</v>
      </c>
      <c r="HB90" s="36" t="str">
        <f t="shared" si="37"/>
        <v>Файбрамакс</v>
      </c>
      <c r="HC90" s="664"/>
      <c r="HD90" s="22"/>
      <c r="HE90" s="22"/>
    </row>
    <row r="91" spans="1:213" ht="15.9" customHeight="1" x14ac:dyDescent="0.3">
      <c r="A91" s="367">
        <f>A90+1</f>
        <v>78</v>
      </c>
      <c r="B91" s="703" t="s">
        <v>140</v>
      </c>
      <c r="C91" s="565">
        <f>'2_квартал'!G79</f>
        <v>2918.41</v>
      </c>
      <c r="D91" s="511">
        <v>423.36</v>
      </c>
      <c r="E91" s="191">
        <v>416.14</v>
      </c>
      <c r="F91" s="573">
        <v>0</v>
      </c>
      <c r="G91" s="299">
        <f t="shared" si="41"/>
        <v>279.83300000000003</v>
      </c>
      <c r="H91" s="93">
        <v>0</v>
      </c>
      <c r="I91" s="93">
        <v>0</v>
      </c>
      <c r="J91" s="94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245"/>
      <c r="Z91" s="177"/>
      <c r="AA91" s="272"/>
      <c r="AB91" s="24"/>
      <c r="AC91" s="319"/>
      <c r="AD91" s="319"/>
      <c r="AE91" s="319"/>
      <c r="AF91" s="319"/>
      <c r="AG91" s="319"/>
      <c r="AH91" s="177"/>
      <c r="AI91" s="177"/>
      <c r="AJ91" s="319"/>
      <c r="AK91" s="319"/>
      <c r="AL91" s="319"/>
      <c r="AM91" s="319"/>
      <c r="AN91" s="319"/>
      <c r="AO91" s="319"/>
      <c r="AP91" s="319"/>
      <c r="AQ91" s="319"/>
      <c r="AR91" s="319"/>
      <c r="AS91" s="319"/>
      <c r="AT91" s="319"/>
      <c r="AU91" s="319"/>
      <c r="AV91" s="319"/>
      <c r="AW91" s="319"/>
      <c r="AX91" s="319"/>
      <c r="AY91" s="319"/>
      <c r="AZ91" s="319"/>
      <c r="BA91" s="319">
        <v>120.96</v>
      </c>
      <c r="BB91" s="319"/>
      <c r="BC91" s="319">
        <f>201.6/2*2.4</f>
        <v>241.92</v>
      </c>
      <c r="BD91" s="319"/>
      <c r="BE91" s="319"/>
      <c r="BF91" s="319"/>
      <c r="BG91" s="319"/>
      <c r="BH91" s="319">
        <f>33.6*0.6</f>
        <v>20.16</v>
      </c>
      <c r="BI91" s="319">
        <f>67.2*0.6</f>
        <v>40.32</v>
      </c>
      <c r="BJ91" s="319"/>
      <c r="BK91" s="319"/>
      <c r="BL91" s="319"/>
      <c r="BM91" s="319"/>
      <c r="BN91" s="319"/>
      <c r="BO91" s="319"/>
      <c r="BP91" s="319"/>
      <c r="BQ91" s="460"/>
      <c r="BR91" s="319"/>
      <c r="BS91" s="158">
        <f t="shared" si="30"/>
        <v>423.36</v>
      </c>
      <c r="BT91" s="94"/>
      <c r="BU91" s="319"/>
      <c r="BV91" s="319"/>
      <c r="BW91" s="319">
        <f>120.96/3*1.5</f>
        <v>60.480000000000004</v>
      </c>
      <c r="BX91" s="319"/>
      <c r="BY91" s="325">
        <f>26.881/4*2</f>
        <v>13.4405</v>
      </c>
      <c r="BZ91" s="319"/>
      <c r="CA91" s="319"/>
      <c r="CB91" s="319"/>
      <c r="CC91" s="319"/>
      <c r="CD91" s="319"/>
      <c r="CE91" s="319"/>
      <c r="CF91" s="319">
        <v>73.92</v>
      </c>
      <c r="CG91" s="319"/>
      <c r="CH91" s="319">
        <v>8.0640000000000001</v>
      </c>
      <c r="CI91" s="319"/>
      <c r="CJ91" s="319"/>
      <c r="CK91" s="319"/>
      <c r="CL91" s="319"/>
      <c r="CM91" s="319"/>
      <c r="CN91" s="319"/>
      <c r="CO91" s="319"/>
      <c r="CP91" s="319"/>
      <c r="CQ91" s="319"/>
      <c r="CR91" s="319"/>
      <c r="CS91" s="319"/>
      <c r="CT91" s="319"/>
      <c r="CU91" s="319">
        <f>120.96/3*1.5</f>
        <v>60.480000000000004</v>
      </c>
      <c r="CV91" s="325">
        <f>26.881/4*2</f>
        <v>13.4405</v>
      </c>
      <c r="CW91" s="319"/>
      <c r="CX91" s="319"/>
      <c r="CY91" s="177"/>
      <c r="CZ91" s="32"/>
      <c r="DA91" s="32"/>
      <c r="DB91" s="319"/>
      <c r="DC91" s="319"/>
      <c r="DD91" s="319"/>
      <c r="DE91" s="319">
        <v>186.32</v>
      </c>
      <c r="DF91" s="319"/>
      <c r="DG91" s="319"/>
      <c r="DH91" s="319"/>
      <c r="DI91" s="319"/>
      <c r="DJ91" s="319"/>
      <c r="DK91" s="319"/>
      <c r="DL91" s="319"/>
      <c r="DM91" s="319"/>
      <c r="DN91" s="319"/>
      <c r="DO91" s="319"/>
      <c r="DP91" s="319"/>
      <c r="DQ91" s="319"/>
      <c r="DR91" s="319"/>
      <c r="DS91" s="319"/>
      <c r="DT91" s="419">
        <f t="shared" si="31"/>
        <v>416.14499999999998</v>
      </c>
      <c r="DU91" s="57"/>
      <c r="DV91" s="319"/>
      <c r="DW91" s="319"/>
      <c r="DX91" s="319"/>
      <c r="DY91" s="319"/>
      <c r="DZ91" s="319"/>
      <c r="EA91" s="319"/>
      <c r="EB91" s="319"/>
      <c r="EC91" s="319"/>
      <c r="ED91" s="319"/>
      <c r="EE91" s="319"/>
      <c r="EF91" s="319"/>
      <c r="EG91" s="177"/>
      <c r="EH91" s="177"/>
      <c r="EI91" s="177"/>
      <c r="EJ91" s="319"/>
      <c r="EK91" s="319"/>
      <c r="EL91" s="319"/>
      <c r="EM91" s="319"/>
      <c r="EN91" s="319"/>
      <c r="EO91" s="319"/>
      <c r="EP91" s="319"/>
      <c r="EQ91" s="319"/>
      <c r="ER91" s="319"/>
      <c r="ES91" s="319"/>
      <c r="ET91" s="319"/>
      <c r="EU91" s="319"/>
      <c r="EV91" s="319"/>
      <c r="EW91" s="319"/>
      <c r="EX91" s="319"/>
      <c r="EY91" s="319"/>
      <c r="EZ91" s="319"/>
      <c r="FA91" s="319"/>
      <c r="FB91" s="319"/>
      <c r="FC91" s="319"/>
      <c r="FD91" s="319"/>
      <c r="FE91" s="319"/>
      <c r="FF91" s="319"/>
      <c r="FG91" s="319"/>
      <c r="FH91" s="319"/>
      <c r="FI91" s="319"/>
      <c r="FJ91" s="319"/>
      <c r="FK91" s="319"/>
      <c r="FL91" s="319"/>
      <c r="FM91" s="319"/>
      <c r="FN91" s="319"/>
      <c r="FO91" s="319"/>
      <c r="FP91" s="319"/>
      <c r="FQ91" s="319"/>
      <c r="FR91" s="319"/>
      <c r="FS91" s="319"/>
      <c r="FT91" s="319"/>
      <c r="FU91" s="319"/>
      <c r="FV91" s="319"/>
      <c r="FW91" s="319"/>
      <c r="FX91" s="319"/>
      <c r="FY91" s="319"/>
      <c r="FZ91" s="319"/>
      <c r="GA91" s="158">
        <f t="shared" si="32"/>
        <v>0</v>
      </c>
      <c r="GB91" s="95"/>
      <c r="GC91" s="374"/>
      <c r="GD91" s="319"/>
      <c r="GE91" s="319"/>
      <c r="GF91" s="319"/>
      <c r="GG91" s="319"/>
      <c r="GH91" s="319"/>
      <c r="GI91" s="319"/>
      <c r="GJ91" s="319"/>
      <c r="GK91" s="319"/>
      <c r="GL91" s="319"/>
      <c r="GM91" s="319"/>
      <c r="GN91" s="319"/>
      <c r="GO91" s="319"/>
      <c r="GP91" s="319"/>
      <c r="GQ91" s="28"/>
      <c r="GR91" s="270"/>
      <c r="GS91" s="177"/>
      <c r="GT91" s="177"/>
      <c r="GU91" s="741"/>
      <c r="GV91" s="435"/>
      <c r="GW91" s="327">
        <f t="shared" si="33"/>
        <v>0</v>
      </c>
      <c r="GX91" s="500">
        <f t="shared" si="34"/>
        <v>0</v>
      </c>
      <c r="GY91" s="605">
        <f t="shared" si="35"/>
        <v>0</v>
      </c>
      <c r="GZ91" s="627">
        <f>'2_квартал'!G79</f>
        <v>2918.41</v>
      </c>
      <c r="HA91" s="239">
        <f t="shared" si="36"/>
        <v>416.14</v>
      </c>
      <c r="HB91" s="36" t="str">
        <f t="shared" si="37"/>
        <v>Энерфат</v>
      </c>
      <c r="HC91" s="331"/>
      <c r="HD91" s="22"/>
      <c r="HE91" s="22"/>
    </row>
    <row r="92" spans="1:213" ht="15.9" customHeight="1" x14ac:dyDescent="0.3">
      <c r="A92" s="367">
        <f t="shared" ref="A92:A93" si="42">A91+1</f>
        <v>79</v>
      </c>
      <c r="B92" s="703" t="s">
        <v>270</v>
      </c>
      <c r="C92" s="565"/>
      <c r="D92" s="346">
        <v>0</v>
      </c>
      <c r="E92" s="191">
        <v>0</v>
      </c>
      <c r="F92" s="573">
        <v>0</v>
      </c>
      <c r="G92" s="299">
        <f t="shared" si="41"/>
        <v>0</v>
      </c>
      <c r="H92" s="93">
        <v>0</v>
      </c>
      <c r="I92" s="93">
        <v>0</v>
      </c>
      <c r="J92" s="94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245"/>
      <c r="Z92" s="177"/>
      <c r="AA92" s="272"/>
      <c r="AB92" s="24"/>
      <c r="AC92" s="319"/>
      <c r="AD92" s="319"/>
      <c r="AE92" s="319"/>
      <c r="AF92" s="319"/>
      <c r="AG92" s="319"/>
      <c r="AH92" s="177"/>
      <c r="AI92" s="177"/>
      <c r="AJ92" s="319"/>
      <c r="AK92" s="319"/>
      <c r="AL92" s="319"/>
      <c r="AM92" s="319"/>
      <c r="AN92" s="319"/>
      <c r="AO92" s="319"/>
      <c r="AP92" s="319"/>
      <c r="AQ92" s="319"/>
      <c r="AR92" s="319"/>
      <c r="AS92" s="319"/>
      <c r="AT92" s="319"/>
      <c r="AU92" s="319"/>
      <c r="AV92" s="319"/>
      <c r="AW92" s="319"/>
      <c r="AX92" s="319"/>
      <c r="AY92" s="319"/>
      <c r="AZ92" s="319"/>
      <c r="BA92" s="319"/>
      <c r="BB92" s="319"/>
      <c r="BC92" s="319"/>
      <c r="BD92" s="319"/>
      <c r="BE92" s="319"/>
      <c r="BF92" s="319"/>
      <c r="BG92" s="319"/>
      <c r="BH92" s="319"/>
      <c r="BI92" s="319"/>
      <c r="BJ92" s="319"/>
      <c r="BK92" s="319"/>
      <c r="BL92" s="319"/>
      <c r="BM92" s="319"/>
      <c r="BN92" s="319"/>
      <c r="BO92" s="319"/>
      <c r="BP92" s="319"/>
      <c r="BQ92" s="460"/>
      <c r="BR92" s="319"/>
      <c r="BS92" s="158">
        <f t="shared" si="30"/>
        <v>0</v>
      </c>
      <c r="BT92" s="94"/>
      <c r="BU92" s="319"/>
      <c r="BV92" s="319"/>
      <c r="BW92" s="319"/>
      <c r="BX92" s="319"/>
      <c r="BY92" s="319"/>
      <c r="BZ92" s="319"/>
      <c r="CA92" s="319"/>
      <c r="CB92" s="319"/>
      <c r="CC92" s="319"/>
      <c r="CD92" s="319"/>
      <c r="CE92" s="319"/>
      <c r="CF92" s="319"/>
      <c r="CG92" s="319"/>
      <c r="CH92" s="319"/>
      <c r="CI92" s="319"/>
      <c r="CJ92" s="319"/>
      <c r="CK92" s="319"/>
      <c r="CL92" s="319"/>
      <c r="CM92" s="319"/>
      <c r="CN92" s="319"/>
      <c r="CO92" s="319"/>
      <c r="CP92" s="319"/>
      <c r="CQ92" s="319"/>
      <c r="CR92" s="319"/>
      <c r="CS92" s="319"/>
      <c r="CT92" s="319"/>
      <c r="CU92" s="319"/>
      <c r="CV92" s="319"/>
      <c r="CW92" s="319"/>
      <c r="CX92" s="319"/>
      <c r="CY92" s="177"/>
      <c r="CZ92" s="32"/>
      <c r="DA92" s="32"/>
      <c r="DB92" s="319"/>
      <c r="DC92" s="319"/>
      <c r="DD92" s="319"/>
      <c r="DE92" s="319"/>
      <c r="DF92" s="319"/>
      <c r="DG92" s="319"/>
      <c r="DH92" s="319"/>
      <c r="DI92" s="319"/>
      <c r="DJ92" s="319"/>
      <c r="DK92" s="319"/>
      <c r="DL92" s="319"/>
      <c r="DM92" s="319"/>
      <c r="DN92" s="319"/>
      <c r="DO92" s="319"/>
      <c r="DP92" s="319"/>
      <c r="DQ92" s="319"/>
      <c r="DR92" s="319"/>
      <c r="DS92" s="319"/>
      <c r="DT92" s="419">
        <f t="shared" si="31"/>
        <v>0</v>
      </c>
      <c r="DU92" s="57"/>
      <c r="DV92" s="319"/>
      <c r="DW92" s="319"/>
      <c r="DX92" s="319"/>
      <c r="DY92" s="319"/>
      <c r="DZ92" s="319"/>
      <c r="EA92" s="319"/>
      <c r="EB92" s="319"/>
      <c r="EC92" s="319"/>
      <c r="ED92" s="319"/>
      <c r="EE92" s="319"/>
      <c r="EF92" s="319"/>
      <c r="EG92" s="177"/>
      <c r="EH92" s="177"/>
      <c r="EI92" s="177"/>
      <c r="EJ92" s="319"/>
      <c r="EK92" s="319"/>
      <c r="EL92" s="319"/>
      <c r="EM92" s="319"/>
      <c r="EN92" s="319"/>
      <c r="EO92" s="319"/>
      <c r="EP92" s="319"/>
      <c r="EQ92" s="319"/>
      <c r="ER92" s="319"/>
      <c r="ES92" s="319"/>
      <c r="ET92" s="319"/>
      <c r="EU92" s="319"/>
      <c r="EV92" s="319"/>
      <c r="EW92" s="319"/>
      <c r="EX92" s="319"/>
      <c r="EY92" s="319"/>
      <c r="EZ92" s="319"/>
      <c r="FA92" s="319"/>
      <c r="FB92" s="319"/>
      <c r="FC92" s="319"/>
      <c r="FD92" s="319"/>
      <c r="FE92" s="319"/>
      <c r="FF92" s="319"/>
      <c r="FG92" s="319"/>
      <c r="FH92" s="319"/>
      <c r="FI92" s="319"/>
      <c r="FJ92" s="319"/>
      <c r="FK92" s="319"/>
      <c r="FL92" s="319"/>
      <c r="FM92" s="319"/>
      <c r="FN92" s="319"/>
      <c r="FO92" s="319"/>
      <c r="FP92" s="319"/>
      <c r="FQ92" s="319"/>
      <c r="FR92" s="319"/>
      <c r="FS92" s="319"/>
      <c r="FT92" s="319"/>
      <c r="FU92" s="319"/>
      <c r="FV92" s="319"/>
      <c r="FW92" s="319"/>
      <c r="FX92" s="319"/>
      <c r="FY92" s="319"/>
      <c r="FZ92" s="319"/>
      <c r="GA92" s="158">
        <f t="shared" si="32"/>
        <v>0</v>
      </c>
      <c r="GB92" s="95"/>
      <c r="GC92" s="374"/>
      <c r="GD92" s="319"/>
      <c r="GE92" s="319"/>
      <c r="GF92" s="319"/>
      <c r="GG92" s="319"/>
      <c r="GH92" s="319"/>
      <c r="GI92" s="319"/>
      <c r="GJ92" s="319"/>
      <c r="GK92" s="319"/>
      <c r="GL92" s="319"/>
      <c r="GM92" s="319"/>
      <c r="GN92" s="319"/>
      <c r="GO92" s="319"/>
      <c r="GP92" s="319"/>
      <c r="GQ92" s="28"/>
      <c r="GR92" s="270"/>
      <c r="GS92" s="177"/>
      <c r="GT92" s="177"/>
      <c r="GU92" s="741"/>
      <c r="GV92" s="435"/>
      <c r="GW92" s="327">
        <f t="shared" si="33"/>
        <v>0</v>
      </c>
      <c r="GX92" s="500">
        <f t="shared" si="34"/>
        <v>0</v>
      </c>
      <c r="GY92" s="605">
        <f t="shared" si="35"/>
        <v>0</v>
      </c>
      <c r="GZ92" s="627" t="e">
        <f>'2_квартал'!G80</f>
        <v>#DIV/0!</v>
      </c>
      <c r="HA92" s="239">
        <f t="shared" si="36"/>
        <v>0</v>
      </c>
      <c r="HB92" s="36" t="str">
        <f t="shared" si="37"/>
        <v>Эсид-Пак</v>
      </c>
      <c r="HC92" s="331"/>
      <c r="HD92" s="22"/>
      <c r="HE92" s="22"/>
    </row>
    <row r="93" spans="1:213" ht="15.9" customHeight="1" x14ac:dyDescent="0.3">
      <c r="A93" s="367">
        <f t="shared" si="42"/>
        <v>80</v>
      </c>
      <c r="B93" s="704" t="s">
        <v>209</v>
      </c>
      <c r="C93" s="565" t="e">
        <f>'2_квартал'!G80</f>
        <v>#DIV/0!</v>
      </c>
      <c r="D93" s="346">
        <v>238.62</v>
      </c>
      <c r="E93" s="241">
        <v>13.69</v>
      </c>
      <c r="F93" s="572">
        <v>0</v>
      </c>
      <c r="G93" s="299">
        <f t="shared" si="41"/>
        <v>84.102999999999994</v>
      </c>
      <c r="H93" s="93">
        <v>0</v>
      </c>
      <c r="I93" s="93">
        <v>0</v>
      </c>
      <c r="J93" s="94"/>
      <c r="K93" s="319"/>
      <c r="L93" s="319">
        <v>50.4</v>
      </c>
      <c r="M93" s="319"/>
      <c r="N93" s="319"/>
      <c r="O93" s="319"/>
      <c r="P93" s="319">
        <v>12.096</v>
      </c>
      <c r="Q93" s="319"/>
      <c r="R93" s="319"/>
      <c r="S93" s="319"/>
      <c r="T93" s="319"/>
      <c r="U93" s="319"/>
      <c r="V93" s="319"/>
      <c r="W93" s="319"/>
      <c r="X93" s="319"/>
      <c r="Y93" s="245"/>
      <c r="Z93" s="177"/>
      <c r="AA93" s="272"/>
      <c r="AB93" s="24"/>
      <c r="AC93" s="319">
        <v>3.024</v>
      </c>
      <c r="AD93" s="319">
        <v>30.24</v>
      </c>
      <c r="AE93" s="319"/>
      <c r="AF93" s="319"/>
      <c r="AG93" s="319"/>
      <c r="AH93" s="177">
        <v>4.7480000000000002</v>
      </c>
      <c r="AI93" s="177"/>
      <c r="AJ93" s="319">
        <f>18.144*0.8</f>
        <v>14.5152</v>
      </c>
      <c r="AK93" s="319"/>
      <c r="AL93" s="319">
        <f>20.16*0.6</f>
        <v>12.096</v>
      </c>
      <c r="AM93" s="319"/>
      <c r="AN93" s="319"/>
      <c r="AO93" s="319"/>
      <c r="AP93" s="319"/>
      <c r="AQ93" s="319">
        <f>5.04*5</f>
        <v>25.2</v>
      </c>
      <c r="AR93" s="319"/>
      <c r="AS93" s="319"/>
      <c r="AT93" s="319"/>
      <c r="AU93" s="319"/>
      <c r="AV93" s="319">
        <f>50.001/4*2</f>
        <v>25.000499999999999</v>
      </c>
      <c r="AW93" s="319"/>
      <c r="AX93" s="319"/>
      <c r="AY93" s="319">
        <f>50.001/4*2</f>
        <v>25.000499999999999</v>
      </c>
      <c r="AZ93" s="319"/>
      <c r="BA93" s="319"/>
      <c r="BB93" s="319"/>
      <c r="BC93" s="319"/>
      <c r="BD93" s="319">
        <f>18.144*2</f>
        <v>36.287999999999997</v>
      </c>
      <c r="BE93" s="319"/>
      <c r="BF93" s="319"/>
      <c r="BG93" s="319"/>
      <c r="BH93" s="319"/>
      <c r="BI93" s="319"/>
      <c r="BJ93" s="319"/>
      <c r="BK93" s="319"/>
      <c r="BL93" s="319"/>
      <c r="BM93" s="319"/>
      <c r="BN93" s="319"/>
      <c r="BO93" s="319"/>
      <c r="BP93" s="319"/>
      <c r="BQ93" s="460"/>
      <c r="BR93" s="319"/>
      <c r="BS93" s="158">
        <f t="shared" si="30"/>
        <v>238.60819999999995</v>
      </c>
      <c r="BT93" s="94"/>
      <c r="BU93" s="319"/>
      <c r="BV93" s="319">
        <v>13.689</v>
      </c>
      <c r="BW93" s="319"/>
      <c r="BX93" s="319"/>
      <c r="BY93" s="319"/>
      <c r="BZ93" s="319"/>
      <c r="CA93" s="319"/>
      <c r="CB93" s="319"/>
      <c r="CC93" s="319"/>
      <c r="CD93" s="319"/>
      <c r="CE93" s="319"/>
      <c r="CF93" s="319"/>
      <c r="CG93" s="319"/>
      <c r="CH93" s="319"/>
      <c r="CI93" s="319"/>
      <c r="CJ93" s="319"/>
      <c r="CK93" s="319"/>
      <c r="CL93" s="319"/>
      <c r="CM93" s="319"/>
      <c r="CN93" s="319"/>
      <c r="CO93" s="319"/>
      <c r="CP93" s="319"/>
      <c r="CQ93" s="319"/>
      <c r="CR93" s="319"/>
      <c r="CS93" s="319"/>
      <c r="CT93" s="319"/>
      <c r="CU93" s="319"/>
      <c r="CV93" s="319"/>
      <c r="CW93" s="319"/>
      <c r="CX93" s="319"/>
      <c r="CY93" s="177"/>
      <c r="CZ93" s="32"/>
      <c r="DA93" s="32"/>
      <c r="DB93" s="319"/>
      <c r="DC93" s="319"/>
      <c r="DD93" s="319"/>
      <c r="DE93" s="319"/>
      <c r="DF93" s="319"/>
      <c r="DG93" s="319"/>
      <c r="DH93" s="319"/>
      <c r="DI93" s="319"/>
      <c r="DJ93" s="319"/>
      <c r="DK93" s="319"/>
      <c r="DL93" s="319"/>
      <c r="DM93" s="319"/>
      <c r="DN93" s="319"/>
      <c r="DO93" s="319"/>
      <c r="DP93" s="319"/>
      <c r="DQ93" s="319"/>
      <c r="DR93" s="319"/>
      <c r="DS93" s="319"/>
      <c r="DT93" s="419">
        <f t="shared" si="31"/>
        <v>13.689</v>
      </c>
      <c r="DU93" s="57"/>
      <c r="DV93" s="319"/>
      <c r="DW93" s="319"/>
      <c r="DX93" s="319"/>
      <c r="DY93" s="319"/>
      <c r="DZ93" s="319"/>
      <c r="EA93" s="319"/>
      <c r="EB93" s="319"/>
      <c r="EC93" s="319"/>
      <c r="ED93" s="319"/>
      <c r="EE93" s="319"/>
      <c r="EF93" s="319"/>
      <c r="EG93" s="177"/>
      <c r="EH93" s="177"/>
      <c r="EI93" s="177"/>
      <c r="EJ93" s="319"/>
      <c r="EK93" s="319"/>
      <c r="EL93" s="319"/>
      <c r="EM93" s="319"/>
      <c r="EN93" s="319"/>
      <c r="EO93" s="319"/>
      <c r="EP93" s="319"/>
      <c r="EQ93" s="319"/>
      <c r="ER93" s="319"/>
      <c r="ES93" s="319"/>
      <c r="ET93" s="319"/>
      <c r="EU93" s="319"/>
      <c r="EV93" s="319"/>
      <c r="EW93" s="319"/>
      <c r="EX93" s="319"/>
      <c r="EY93" s="319"/>
      <c r="EZ93" s="319"/>
      <c r="FA93" s="319"/>
      <c r="FB93" s="319"/>
      <c r="FC93" s="319"/>
      <c r="FD93" s="319"/>
      <c r="FE93" s="319"/>
      <c r="FF93" s="319"/>
      <c r="FG93" s="319"/>
      <c r="FH93" s="319"/>
      <c r="FI93" s="319"/>
      <c r="FJ93" s="319"/>
      <c r="FK93" s="319"/>
      <c r="FL93" s="319"/>
      <c r="FM93" s="319"/>
      <c r="FN93" s="319"/>
      <c r="FO93" s="319"/>
      <c r="FP93" s="319"/>
      <c r="FQ93" s="319"/>
      <c r="FR93" s="319"/>
      <c r="FS93" s="319"/>
      <c r="FT93" s="319"/>
      <c r="FU93" s="319"/>
      <c r="FV93" s="319"/>
      <c r="FW93" s="319"/>
      <c r="FX93" s="319"/>
      <c r="FY93" s="319"/>
      <c r="FZ93" s="319"/>
      <c r="GA93" s="158">
        <f t="shared" si="32"/>
        <v>0</v>
      </c>
      <c r="GB93" s="95"/>
      <c r="GC93" s="374"/>
      <c r="GD93" s="319"/>
      <c r="GE93" s="319"/>
      <c r="GF93" s="319"/>
      <c r="GG93" s="319"/>
      <c r="GH93" s="319"/>
      <c r="GI93" s="319"/>
      <c r="GJ93" s="319"/>
      <c r="GK93" s="319"/>
      <c r="GL93" s="319"/>
      <c r="GM93" s="319"/>
      <c r="GN93" s="319"/>
      <c r="GO93" s="319"/>
      <c r="GP93" s="319"/>
      <c r="GQ93" s="28"/>
      <c r="GR93" s="270"/>
      <c r="GS93" s="177"/>
      <c r="GT93" s="177"/>
      <c r="GU93" s="741"/>
      <c r="GV93" s="435"/>
      <c r="GW93" s="327">
        <f t="shared" si="33"/>
        <v>0</v>
      </c>
      <c r="GX93" s="500">
        <f t="shared" si="34"/>
        <v>0</v>
      </c>
      <c r="GY93" s="605">
        <f t="shared" si="35"/>
        <v>0</v>
      </c>
      <c r="GZ93" s="627" t="e">
        <f>'2_квартал'!G80</f>
        <v>#DIV/0!</v>
      </c>
      <c r="HA93" s="239">
        <f t="shared" si="36"/>
        <v>13.69</v>
      </c>
      <c r="HB93" s="36" t="str">
        <f t="shared" si="37"/>
        <v>Премикс П60 1% для КРС (хром)</v>
      </c>
      <c r="HC93" s="331"/>
      <c r="HD93" s="560">
        <v>45956</v>
      </c>
      <c r="HE93" s="22"/>
    </row>
    <row r="94" spans="1:213" ht="15.9" customHeight="1" x14ac:dyDescent="0.3">
      <c r="A94" s="630">
        <f>A93+1</f>
        <v>81</v>
      </c>
      <c r="B94" s="705" t="s">
        <v>210</v>
      </c>
      <c r="C94" s="565" t="e">
        <f>'2_квартал'!G81</f>
        <v>#DIV/0!</v>
      </c>
      <c r="D94" s="346">
        <v>0</v>
      </c>
      <c r="E94" s="241">
        <v>0</v>
      </c>
      <c r="F94" s="572">
        <v>0</v>
      </c>
      <c r="G94" s="299">
        <f t="shared" si="41"/>
        <v>0</v>
      </c>
      <c r="H94" s="93">
        <v>0</v>
      </c>
      <c r="I94" s="93">
        <v>0</v>
      </c>
      <c r="J94" s="94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245"/>
      <c r="Z94" s="177"/>
      <c r="AA94" s="272"/>
      <c r="AB94" s="24"/>
      <c r="AC94" s="319"/>
      <c r="AD94" s="319"/>
      <c r="AE94" s="319"/>
      <c r="AF94" s="319"/>
      <c r="AG94" s="319"/>
      <c r="AH94" s="177"/>
      <c r="AI94" s="177"/>
      <c r="AJ94" s="319"/>
      <c r="AK94" s="319"/>
      <c r="AL94" s="319"/>
      <c r="AM94" s="319"/>
      <c r="AN94" s="319"/>
      <c r="AO94" s="319"/>
      <c r="AP94" s="319"/>
      <c r="AQ94" s="319"/>
      <c r="AR94" s="319"/>
      <c r="AS94" s="319"/>
      <c r="AT94" s="319"/>
      <c r="AU94" s="319"/>
      <c r="AV94" s="319"/>
      <c r="AW94" s="319"/>
      <c r="AX94" s="319"/>
      <c r="AY94" s="319"/>
      <c r="AZ94" s="319"/>
      <c r="BA94" s="319"/>
      <c r="BB94" s="319"/>
      <c r="BC94" s="319"/>
      <c r="BD94" s="319"/>
      <c r="BE94" s="319"/>
      <c r="BF94" s="319"/>
      <c r="BG94" s="319"/>
      <c r="BH94" s="319"/>
      <c r="BI94" s="319"/>
      <c r="BJ94" s="319"/>
      <c r="BK94" s="319"/>
      <c r="BL94" s="319"/>
      <c r="BM94" s="319"/>
      <c r="BN94" s="319"/>
      <c r="BO94" s="319"/>
      <c r="BP94" s="319"/>
      <c r="BQ94" s="460"/>
      <c r="BR94" s="319"/>
      <c r="BS94" s="158">
        <f t="shared" ref="BS94" si="43">SUM(K94:BR94)</f>
        <v>0</v>
      </c>
      <c r="BT94" s="94"/>
      <c r="BU94" s="319"/>
      <c r="BV94" s="319"/>
      <c r="BW94" s="319"/>
      <c r="BX94" s="319"/>
      <c r="BY94" s="319"/>
      <c r="BZ94" s="319"/>
      <c r="CA94" s="319"/>
      <c r="CB94" s="319"/>
      <c r="CC94" s="319"/>
      <c r="CD94" s="319"/>
      <c r="CE94" s="319"/>
      <c r="CF94" s="319"/>
      <c r="CG94" s="319"/>
      <c r="CH94" s="319"/>
      <c r="CI94" s="319"/>
      <c r="CJ94" s="319"/>
      <c r="CK94" s="319"/>
      <c r="CL94" s="319"/>
      <c r="CM94" s="319"/>
      <c r="CN94" s="319"/>
      <c r="CO94" s="319"/>
      <c r="CP94" s="319"/>
      <c r="CQ94" s="319"/>
      <c r="CR94" s="319"/>
      <c r="CS94" s="319"/>
      <c r="CT94" s="319"/>
      <c r="CU94" s="319"/>
      <c r="CV94" s="319"/>
      <c r="CW94" s="319"/>
      <c r="CX94" s="319"/>
      <c r="CY94" s="177"/>
      <c r="CZ94" s="32"/>
      <c r="DA94" s="32"/>
      <c r="DB94" s="319"/>
      <c r="DC94" s="319"/>
      <c r="DD94" s="319"/>
      <c r="DE94" s="319"/>
      <c r="DF94" s="319"/>
      <c r="DG94" s="319"/>
      <c r="DH94" s="319"/>
      <c r="DI94" s="319"/>
      <c r="DJ94" s="319"/>
      <c r="DK94" s="319"/>
      <c r="DL94" s="319"/>
      <c r="DM94" s="319"/>
      <c r="DN94" s="319"/>
      <c r="DO94" s="319"/>
      <c r="DP94" s="319"/>
      <c r="DQ94" s="319"/>
      <c r="DR94" s="319"/>
      <c r="DS94" s="319"/>
      <c r="DT94" s="419">
        <f t="shared" si="31"/>
        <v>0</v>
      </c>
      <c r="DU94" s="57"/>
      <c r="DV94" s="319"/>
      <c r="DW94" s="319"/>
      <c r="DX94" s="319"/>
      <c r="DY94" s="319"/>
      <c r="DZ94" s="319"/>
      <c r="EA94" s="319"/>
      <c r="EB94" s="319"/>
      <c r="EC94" s="319"/>
      <c r="ED94" s="319"/>
      <c r="EE94" s="319"/>
      <c r="EF94" s="319"/>
      <c r="EG94" s="177"/>
      <c r="EH94" s="177"/>
      <c r="EI94" s="177"/>
      <c r="EJ94" s="319"/>
      <c r="EK94" s="319"/>
      <c r="EL94" s="319"/>
      <c r="EM94" s="319"/>
      <c r="EN94" s="319"/>
      <c r="EO94" s="319"/>
      <c r="EP94" s="319"/>
      <c r="EQ94" s="319"/>
      <c r="ER94" s="319"/>
      <c r="ES94" s="319"/>
      <c r="ET94" s="319"/>
      <c r="EU94" s="319"/>
      <c r="EV94" s="319"/>
      <c r="EW94" s="319"/>
      <c r="EX94" s="319"/>
      <c r="EY94" s="319"/>
      <c r="EZ94" s="319"/>
      <c r="FA94" s="319"/>
      <c r="FB94" s="319"/>
      <c r="FC94" s="319"/>
      <c r="FD94" s="319"/>
      <c r="FE94" s="319"/>
      <c r="FF94" s="319"/>
      <c r="FG94" s="319"/>
      <c r="FH94" s="319"/>
      <c r="FI94" s="319"/>
      <c r="FJ94" s="319"/>
      <c r="FK94" s="319"/>
      <c r="FL94" s="319"/>
      <c r="FM94" s="319"/>
      <c r="FN94" s="319"/>
      <c r="FO94" s="319"/>
      <c r="FP94" s="319"/>
      <c r="FQ94" s="319"/>
      <c r="FR94" s="319"/>
      <c r="FS94" s="319"/>
      <c r="FT94" s="319"/>
      <c r="FU94" s="319"/>
      <c r="FV94" s="319"/>
      <c r="FW94" s="319"/>
      <c r="FX94" s="319"/>
      <c r="FY94" s="319"/>
      <c r="FZ94" s="319"/>
      <c r="GA94" s="158">
        <f t="shared" si="32"/>
        <v>0</v>
      </c>
      <c r="GB94" s="95"/>
      <c r="GC94" s="374"/>
      <c r="GD94" s="319"/>
      <c r="GE94" s="319"/>
      <c r="GF94" s="319"/>
      <c r="GG94" s="319"/>
      <c r="GH94" s="319"/>
      <c r="GI94" s="319"/>
      <c r="GJ94" s="319"/>
      <c r="GK94" s="319"/>
      <c r="GL94" s="319"/>
      <c r="GM94" s="319"/>
      <c r="GN94" s="319"/>
      <c r="GO94" s="319"/>
      <c r="GP94" s="319"/>
      <c r="GQ94" s="28"/>
      <c r="GR94" s="270"/>
      <c r="GS94" s="177"/>
      <c r="GT94" s="177"/>
      <c r="GU94" s="741"/>
      <c r="GV94" s="435"/>
      <c r="GW94" s="327">
        <f t="shared" si="33"/>
        <v>0</v>
      </c>
      <c r="GX94" s="500">
        <f t="shared" si="34"/>
        <v>0</v>
      </c>
      <c r="GY94" s="605">
        <f t="shared" si="35"/>
        <v>0</v>
      </c>
      <c r="GZ94" s="627" t="e">
        <f>'2_квартал'!G81</f>
        <v>#DIV/0!</v>
      </c>
      <c r="HA94" s="239">
        <f t="shared" si="36"/>
        <v>0</v>
      </c>
      <c r="HB94" s="36" t="str">
        <f t="shared" si="37"/>
        <v>Премикс П60-3 (плц-212, биохром)</v>
      </c>
      <c r="HC94" s="331"/>
      <c r="HD94" s="631"/>
      <c r="HE94" s="26"/>
    </row>
    <row r="95" spans="1:213" ht="15.9" customHeight="1" x14ac:dyDescent="0.3">
      <c r="A95" s="630">
        <f t="shared" ref="A95:A97" si="44">A94+1</f>
        <v>82</v>
      </c>
      <c r="B95" s="690" t="s">
        <v>150</v>
      </c>
      <c r="C95" s="565" t="e">
        <f>'2_квартал'!G81</f>
        <v>#DIV/0!</v>
      </c>
      <c r="D95" s="346">
        <v>0</v>
      </c>
      <c r="E95" s="191">
        <v>0</v>
      </c>
      <c r="F95" s="572">
        <v>0</v>
      </c>
      <c r="G95" s="299">
        <f t="shared" ref="G95:G96" si="45">ROUND(AVERAGE(D95:F95),3)</f>
        <v>0</v>
      </c>
      <c r="H95" s="93">
        <v>0</v>
      </c>
      <c r="I95" s="93">
        <v>0</v>
      </c>
      <c r="J95" s="94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245"/>
      <c r="Z95" s="177"/>
      <c r="AA95" s="272"/>
      <c r="AB95" s="24"/>
      <c r="AC95" s="319"/>
      <c r="AD95" s="319"/>
      <c r="AE95" s="319"/>
      <c r="AF95" s="319"/>
      <c r="AG95" s="319"/>
      <c r="AH95" s="177"/>
      <c r="AI95" s="177"/>
      <c r="AJ95" s="319"/>
      <c r="AK95" s="319"/>
      <c r="AL95" s="319"/>
      <c r="AM95" s="319"/>
      <c r="AN95" s="319"/>
      <c r="AO95" s="319"/>
      <c r="AP95" s="319"/>
      <c r="AQ95" s="319"/>
      <c r="AR95" s="319"/>
      <c r="AS95" s="319"/>
      <c r="AT95" s="319"/>
      <c r="AU95" s="319"/>
      <c r="AV95" s="319"/>
      <c r="AW95" s="319"/>
      <c r="AX95" s="319"/>
      <c r="AY95" s="319"/>
      <c r="AZ95" s="319"/>
      <c r="BA95" s="319"/>
      <c r="BB95" s="319"/>
      <c r="BC95" s="319"/>
      <c r="BD95" s="319"/>
      <c r="BE95" s="319"/>
      <c r="BF95" s="319"/>
      <c r="BG95" s="319"/>
      <c r="BH95" s="319"/>
      <c r="BI95" s="319"/>
      <c r="BJ95" s="319"/>
      <c r="BK95" s="319"/>
      <c r="BL95" s="319"/>
      <c r="BM95" s="319"/>
      <c r="BN95" s="319"/>
      <c r="BO95" s="319"/>
      <c r="BP95" s="319"/>
      <c r="BQ95" s="460"/>
      <c r="BR95" s="319"/>
      <c r="BS95" s="158">
        <f t="shared" ref="BS95" si="46">SUM(K95:BR95)</f>
        <v>0</v>
      </c>
      <c r="BT95" s="94"/>
      <c r="BU95" s="319"/>
      <c r="BV95" s="319"/>
      <c r="BW95" s="319"/>
      <c r="BX95" s="319"/>
      <c r="BY95" s="319"/>
      <c r="BZ95" s="319"/>
      <c r="CA95" s="319"/>
      <c r="CB95" s="319"/>
      <c r="CC95" s="319"/>
      <c r="CD95" s="319"/>
      <c r="CE95" s="319"/>
      <c r="CF95" s="319"/>
      <c r="CG95" s="319"/>
      <c r="CH95" s="319"/>
      <c r="CI95" s="319"/>
      <c r="CJ95" s="319"/>
      <c r="CK95" s="319"/>
      <c r="CL95" s="319"/>
      <c r="CM95" s="319"/>
      <c r="CN95" s="319"/>
      <c r="CO95" s="319"/>
      <c r="CP95" s="319"/>
      <c r="CQ95" s="319"/>
      <c r="CR95" s="319"/>
      <c r="CS95" s="319"/>
      <c r="CT95" s="319"/>
      <c r="CU95" s="319"/>
      <c r="CV95" s="319"/>
      <c r="CW95" s="319"/>
      <c r="CX95" s="319"/>
      <c r="CY95" s="177"/>
      <c r="CZ95" s="32"/>
      <c r="DA95" s="32"/>
      <c r="DB95" s="319"/>
      <c r="DC95" s="319"/>
      <c r="DD95" s="319"/>
      <c r="DE95" s="319"/>
      <c r="DF95" s="319"/>
      <c r="DG95" s="319"/>
      <c r="DH95" s="319"/>
      <c r="DI95" s="319"/>
      <c r="DJ95" s="319"/>
      <c r="DK95" s="319"/>
      <c r="DL95" s="319"/>
      <c r="DM95" s="319"/>
      <c r="DN95" s="319"/>
      <c r="DO95" s="319"/>
      <c r="DP95" s="319"/>
      <c r="DQ95" s="319"/>
      <c r="DR95" s="319"/>
      <c r="DS95" s="319"/>
      <c r="DT95" s="419">
        <f t="shared" si="31"/>
        <v>0</v>
      </c>
      <c r="DU95" s="57"/>
      <c r="DV95" s="319"/>
      <c r="DW95" s="319"/>
      <c r="DX95" s="319"/>
      <c r="DY95" s="319"/>
      <c r="DZ95" s="319"/>
      <c r="EA95" s="319"/>
      <c r="EB95" s="319"/>
      <c r="EC95" s="319"/>
      <c r="ED95" s="319"/>
      <c r="EE95" s="319"/>
      <c r="EF95" s="319"/>
      <c r="EG95" s="177"/>
      <c r="EH95" s="177"/>
      <c r="EI95" s="177"/>
      <c r="EJ95" s="319"/>
      <c r="EK95" s="319"/>
      <c r="EL95" s="319"/>
      <c r="EM95" s="319"/>
      <c r="EN95" s="319"/>
      <c r="EO95" s="319"/>
      <c r="EP95" s="319"/>
      <c r="EQ95" s="319"/>
      <c r="ER95" s="319"/>
      <c r="ES95" s="319"/>
      <c r="ET95" s="319"/>
      <c r="EU95" s="319"/>
      <c r="EV95" s="319"/>
      <c r="EW95" s="319"/>
      <c r="EX95" s="319"/>
      <c r="EY95" s="319"/>
      <c r="EZ95" s="319"/>
      <c r="FA95" s="319"/>
      <c r="FB95" s="319"/>
      <c r="FC95" s="319"/>
      <c r="FD95" s="319"/>
      <c r="FE95" s="319"/>
      <c r="FF95" s="319"/>
      <c r="FG95" s="319"/>
      <c r="FH95" s="319"/>
      <c r="FI95" s="319"/>
      <c r="FJ95" s="319"/>
      <c r="FK95" s="319"/>
      <c r="FL95" s="319"/>
      <c r="FM95" s="319"/>
      <c r="FN95" s="319"/>
      <c r="FO95" s="319"/>
      <c r="FP95" s="319"/>
      <c r="FQ95" s="319"/>
      <c r="FR95" s="319"/>
      <c r="FS95" s="319"/>
      <c r="FT95" s="319"/>
      <c r="FU95" s="319"/>
      <c r="FV95" s="319"/>
      <c r="FW95" s="319"/>
      <c r="FX95" s="319"/>
      <c r="FY95" s="319"/>
      <c r="FZ95" s="319"/>
      <c r="GA95" s="158">
        <f t="shared" ref="GA95" si="47">SUM(DV95:FZ95)</f>
        <v>0</v>
      </c>
      <c r="GB95" s="95"/>
      <c r="GC95" s="374"/>
      <c r="GD95" s="319"/>
      <c r="GE95" s="319"/>
      <c r="GF95" s="319"/>
      <c r="GG95" s="319"/>
      <c r="GH95" s="319"/>
      <c r="GI95" s="319"/>
      <c r="GJ95" s="319"/>
      <c r="GK95" s="319"/>
      <c r="GL95" s="319"/>
      <c r="GM95" s="319"/>
      <c r="GN95" s="319"/>
      <c r="GO95" s="319"/>
      <c r="GP95" s="319"/>
      <c r="GQ95" s="28"/>
      <c r="GR95" s="270"/>
      <c r="GS95" s="177"/>
      <c r="GT95" s="177"/>
      <c r="GU95" s="741"/>
      <c r="GV95" s="435"/>
      <c r="GW95" s="327">
        <f t="shared" si="33"/>
        <v>0</v>
      </c>
      <c r="GX95" s="445">
        <f t="shared" si="34"/>
        <v>0</v>
      </c>
      <c r="GY95" s="605">
        <f t="shared" si="35"/>
        <v>0</v>
      </c>
      <c r="GZ95" s="627"/>
      <c r="HA95" s="239">
        <f t="shared" si="36"/>
        <v>0</v>
      </c>
      <c r="HB95" s="36" t="str">
        <f t="shared" si="37"/>
        <v>ДП60-3/40/плц-233</v>
      </c>
      <c r="HC95" s="38"/>
      <c r="HD95" s="631"/>
      <c r="HE95" s="26"/>
    </row>
    <row r="96" spans="1:213" ht="15.9" customHeight="1" x14ac:dyDescent="0.3">
      <c r="A96" s="630">
        <f t="shared" si="44"/>
        <v>83</v>
      </c>
      <c r="B96" s="690" t="s">
        <v>269</v>
      </c>
      <c r="C96" s="719" t="e">
        <f>'2_квартал'!G81</f>
        <v>#DIV/0!</v>
      </c>
      <c r="D96" s="263">
        <v>0</v>
      </c>
      <c r="E96" s="191">
        <v>85.5</v>
      </c>
      <c r="F96" s="571">
        <v>0</v>
      </c>
      <c r="G96" s="720">
        <f t="shared" si="45"/>
        <v>28.5</v>
      </c>
      <c r="H96" s="93">
        <v>0</v>
      </c>
      <c r="I96" s="93">
        <v>0</v>
      </c>
      <c r="J96" s="94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245"/>
      <c r="Z96" s="24"/>
      <c r="AA96" s="32"/>
      <c r="AB96" s="24"/>
      <c r="AC96" s="319"/>
      <c r="AD96" s="319"/>
      <c r="AE96" s="319"/>
      <c r="AF96" s="319"/>
      <c r="AG96" s="319"/>
      <c r="AH96" s="24"/>
      <c r="AI96" s="24"/>
      <c r="AJ96" s="319"/>
      <c r="AK96" s="319"/>
      <c r="AL96" s="319"/>
      <c r="AM96" s="319"/>
      <c r="AN96" s="319"/>
      <c r="AO96" s="319"/>
      <c r="AP96" s="319"/>
      <c r="AQ96" s="319"/>
      <c r="AR96" s="319"/>
      <c r="AS96" s="319"/>
      <c r="AT96" s="319"/>
      <c r="AU96" s="319"/>
      <c r="AV96" s="319"/>
      <c r="AW96" s="319"/>
      <c r="AX96" s="319"/>
      <c r="AY96" s="319"/>
      <c r="AZ96" s="319"/>
      <c r="BA96" s="319"/>
      <c r="BB96" s="319"/>
      <c r="BC96" s="319"/>
      <c r="BD96" s="319"/>
      <c r="BE96" s="319"/>
      <c r="BF96" s="319"/>
      <c r="BG96" s="319"/>
      <c r="BH96" s="319"/>
      <c r="BI96" s="319"/>
      <c r="BJ96" s="319"/>
      <c r="BK96" s="319"/>
      <c r="BL96" s="319"/>
      <c r="BM96" s="319"/>
      <c r="BN96" s="319"/>
      <c r="BO96" s="319"/>
      <c r="BP96" s="319"/>
      <c r="BQ96" s="460"/>
      <c r="BR96" s="319"/>
      <c r="BS96" s="158">
        <f t="shared" ref="BS96" si="48">SUM(K96:BR96)</f>
        <v>0</v>
      </c>
      <c r="BT96" s="94"/>
      <c r="BU96" s="319"/>
      <c r="BV96" s="319"/>
      <c r="BW96" s="319"/>
      <c r="BX96" s="319"/>
      <c r="BY96" s="319"/>
      <c r="BZ96" s="319"/>
      <c r="CA96" s="319"/>
      <c r="CB96" s="319"/>
      <c r="CC96" s="319"/>
      <c r="CD96" s="319"/>
      <c r="CE96" s="319"/>
      <c r="CF96" s="319"/>
      <c r="CG96" s="319"/>
      <c r="CH96" s="319"/>
      <c r="CI96" s="319"/>
      <c r="CJ96" s="319"/>
      <c r="CK96" s="319"/>
      <c r="CL96" s="319"/>
      <c r="CM96" s="319"/>
      <c r="CN96" s="319"/>
      <c r="CO96" s="319"/>
      <c r="CP96" s="319"/>
      <c r="CQ96" s="319"/>
      <c r="CR96" s="319"/>
      <c r="CS96" s="319"/>
      <c r="CT96" s="319"/>
      <c r="CU96" s="319"/>
      <c r="CV96" s="319"/>
      <c r="CW96" s="319"/>
      <c r="CX96" s="319"/>
      <c r="CY96" s="24">
        <v>85.5</v>
      </c>
      <c r="CZ96" s="32"/>
      <c r="DA96" s="32"/>
      <c r="DB96" s="319"/>
      <c r="DC96" s="319"/>
      <c r="DD96" s="319"/>
      <c r="DE96" s="319"/>
      <c r="DF96" s="319"/>
      <c r="DG96" s="319"/>
      <c r="DH96" s="319"/>
      <c r="DI96" s="319"/>
      <c r="DJ96" s="319"/>
      <c r="DK96" s="319"/>
      <c r="DL96" s="319"/>
      <c r="DM96" s="319"/>
      <c r="DN96" s="319"/>
      <c r="DO96" s="319"/>
      <c r="DP96" s="319"/>
      <c r="DQ96" s="319"/>
      <c r="DR96" s="319"/>
      <c r="DS96" s="319"/>
      <c r="DT96" s="275">
        <f t="shared" ref="DT96" si="49">SUM(BU96:DS96)</f>
        <v>85.5</v>
      </c>
      <c r="DU96" s="57"/>
      <c r="DV96" s="319"/>
      <c r="DW96" s="319"/>
      <c r="DX96" s="319"/>
      <c r="DY96" s="319"/>
      <c r="DZ96" s="319"/>
      <c r="EA96" s="319"/>
      <c r="EB96" s="319"/>
      <c r="EC96" s="319"/>
      <c r="ED96" s="319"/>
      <c r="EE96" s="319"/>
      <c r="EF96" s="319"/>
      <c r="EG96" s="24"/>
      <c r="EH96" s="24"/>
      <c r="EI96" s="24"/>
      <c r="EJ96" s="319"/>
      <c r="EK96" s="319"/>
      <c r="EL96" s="319"/>
      <c r="EM96" s="319"/>
      <c r="EN96" s="319"/>
      <c r="EO96" s="319"/>
      <c r="EP96" s="319"/>
      <c r="EQ96" s="319"/>
      <c r="ER96" s="319"/>
      <c r="ES96" s="319"/>
      <c r="ET96" s="319"/>
      <c r="EU96" s="319"/>
      <c r="EV96" s="319"/>
      <c r="EW96" s="319"/>
      <c r="EX96" s="319"/>
      <c r="EY96" s="319"/>
      <c r="EZ96" s="319"/>
      <c r="FA96" s="319"/>
      <c r="FB96" s="319"/>
      <c r="FC96" s="319"/>
      <c r="FD96" s="319"/>
      <c r="FE96" s="319"/>
      <c r="FF96" s="319"/>
      <c r="FG96" s="319"/>
      <c r="FH96" s="319"/>
      <c r="FI96" s="319"/>
      <c r="FJ96" s="319"/>
      <c r="FK96" s="319"/>
      <c r="FL96" s="319"/>
      <c r="FM96" s="319"/>
      <c r="FN96" s="319"/>
      <c r="FO96" s="319"/>
      <c r="FP96" s="319"/>
      <c r="FQ96" s="319"/>
      <c r="FR96" s="319"/>
      <c r="FS96" s="319"/>
      <c r="FT96" s="319"/>
      <c r="FU96" s="319"/>
      <c r="FV96" s="319"/>
      <c r="FW96" s="319"/>
      <c r="FX96" s="319"/>
      <c r="FY96" s="319"/>
      <c r="FZ96" s="319"/>
      <c r="GA96" s="158">
        <f t="shared" ref="GA96" si="50">SUM(DV96:FZ96)</f>
        <v>0</v>
      </c>
      <c r="GB96" s="95"/>
      <c r="GC96" s="374"/>
      <c r="GD96" s="319"/>
      <c r="GE96" s="319"/>
      <c r="GF96" s="319"/>
      <c r="GG96" s="319"/>
      <c r="GH96" s="319"/>
      <c r="GI96" s="319"/>
      <c r="GJ96" s="319"/>
      <c r="GK96" s="319"/>
      <c r="GL96" s="319"/>
      <c r="GM96" s="319"/>
      <c r="GN96" s="319"/>
      <c r="GO96" s="319"/>
      <c r="GP96" s="319"/>
      <c r="GQ96" s="28"/>
      <c r="GR96" s="164"/>
      <c r="GS96" s="24"/>
      <c r="GT96" s="24"/>
      <c r="GU96" s="745"/>
      <c r="GV96" s="472"/>
      <c r="GW96" s="51">
        <f t="shared" si="33"/>
        <v>0</v>
      </c>
      <c r="GX96" s="500">
        <f t="shared" si="34"/>
        <v>0</v>
      </c>
      <c r="GY96" s="605">
        <f t="shared" si="35"/>
        <v>0</v>
      </c>
      <c r="GZ96" s="627"/>
      <c r="HA96" s="239">
        <f t="shared" si="36"/>
        <v>85.5</v>
      </c>
      <c r="HB96" s="363" t="str">
        <f t="shared" si="37"/>
        <v>ДПКР-1/20/плц-16</v>
      </c>
      <c r="HC96" s="364"/>
      <c r="HD96" s="631"/>
      <c r="HE96" s="26"/>
    </row>
    <row r="97" spans="1:213" ht="15.9" customHeight="1" thickBot="1" x14ac:dyDescent="0.35">
      <c r="A97" s="630">
        <f t="shared" si="44"/>
        <v>84</v>
      </c>
      <c r="B97" s="706" t="s">
        <v>321</v>
      </c>
      <c r="C97" s="645" t="e">
        <f>'2_квартал'!G82</f>
        <v>#DIV/0!</v>
      </c>
      <c r="D97" s="263">
        <v>0</v>
      </c>
      <c r="E97" s="191"/>
      <c r="F97" s="571">
        <v>0</v>
      </c>
      <c r="G97" s="752">
        <f t="shared" si="41"/>
        <v>0</v>
      </c>
      <c r="H97" s="143">
        <v>0</v>
      </c>
      <c r="I97" s="143">
        <v>75</v>
      </c>
      <c r="J97" s="136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4"/>
      <c r="Z97" s="138"/>
      <c r="AA97" s="137"/>
      <c r="AB97" s="138"/>
      <c r="AC97" s="345"/>
      <c r="AD97" s="345"/>
      <c r="AE97" s="345"/>
      <c r="AF97" s="345"/>
      <c r="AG97" s="345"/>
      <c r="AH97" s="138"/>
      <c r="AI97" s="138"/>
      <c r="AJ97" s="345"/>
      <c r="AK97" s="345"/>
      <c r="AL97" s="345"/>
      <c r="AM97" s="345"/>
      <c r="AN97" s="345"/>
      <c r="AO97" s="345"/>
      <c r="AP97" s="345"/>
      <c r="AQ97" s="345"/>
      <c r="AR97" s="345"/>
      <c r="AS97" s="345"/>
      <c r="AT97" s="345"/>
      <c r="AU97" s="345"/>
      <c r="AV97" s="345"/>
      <c r="AW97" s="345"/>
      <c r="AX97" s="345"/>
      <c r="AY97" s="345"/>
      <c r="AZ97" s="345"/>
      <c r="BA97" s="345"/>
      <c r="BB97" s="345"/>
      <c r="BC97" s="345"/>
      <c r="BD97" s="345"/>
      <c r="BE97" s="345"/>
      <c r="BF97" s="345"/>
      <c r="BG97" s="345"/>
      <c r="BH97" s="345"/>
      <c r="BI97" s="345"/>
      <c r="BJ97" s="345"/>
      <c r="BK97" s="345"/>
      <c r="BL97" s="345"/>
      <c r="BM97" s="345"/>
      <c r="BN97" s="345"/>
      <c r="BO97" s="345"/>
      <c r="BP97" s="345"/>
      <c r="BQ97" s="583"/>
      <c r="BR97" s="345"/>
      <c r="BS97" s="160">
        <f t="shared" si="30"/>
        <v>0</v>
      </c>
      <c r="BT97" s="136"/>
      <c r="BU97" s="345"/>
      <c r="BV97" s="345"/>
      <c r="BW97" s="345"/>
      <c r="BX97" s="345"/>
      <c r="BY97" s="345"/>
      <c r="BZ97" s="345"/>
      <c r="CA97" s="345"/>
      <c r="CB97" s="345"/>
      <c r="CC97" s="345"/>
      <c r="CD97" s="345"/>
      <c r="CE97" s="345"/>
      <c r="CF97" s="345"/>
      <c r="CG97" s="345"/>
      <c r="CH97" s="345"/>
      <c r="CI97" s="345"/>
      <c r="CJ97" s="345"/>
      <c r="CK97" s="345"/>
      <c r="CL97" s="345"/>
      <c r="CM97" s="345"/>
      <c r="CN97" s="345"/>
      <c r="CO97" s="345"/>
      <c r="CP97" s="345"/>
      <c r="CQ97" s="345"/>
      <c r="CR97" s="345"/>
      <c r="CS97" s="345"/>
      <c r="CT97" s="345"/>
      <c r="CU97" s="345"/>
      <c r="CV97" s="345"/>
      <c r="CW97" s="345"/>
      <c r="CX97" s="345"/>
      <c r="CY97" s="138"/>
      <c r="CZ97" s="137"/>
      <c r="DA97" s="137"/>
      <c r="DB97" s="345"/>
      <c r="DC97" s="345"/>
      <c r="DD97" s="345"/>
      <c r="DE97" s="345"/>
      <c r="DF97" s="345"/>
      <c r="DG97" s="345"/>
      <c r="DH97" s="345"/>
      <c r="DI97" s="345"/>
      <c r="DJ97" s="345"/>
      <c r="DK97" s="345"/>
      <c r="DL97" s="345"/>
      <c r="DM97" s="345"/>
      <c r="DN97" s="345"/>
      <c r="DO97" s="345"/>
      <c r="DP97" s="345"/>
      <c r="DQ97" s="345"/>
      <c r="DR97" s="345"/>
      <c r="DS97" s="345"/>
      <c r="DT97" s="427">
        <f t="shared" si="31"/>
        <v>0</v>
      </c>
      <c r="DU97" s="139"/>
      <c r="DV97" s="345"/>
      <c r="DW97" s="345"/>
      <c r="DX97" s="345"/>
      <c r="DY97" s="345"/>
      <c r="DZ97" s="345"/>
      <c r="EA97" s="345"/>
      <c r="EB97" s="345"/>
      <c r="EC97" s="345"/>
      <c r="ED97" s="345"/>
      <c r="EE97" s="345"/>
      <c r="EF97" s="345"/>
      <c r="EG97" s="138"/>
      <c r="EH97" s="138"/>
      <c r="EI97" s="138"/>
      <c r="EJ97" s="345"/>
      <c r="EK97" s="345"/>
      <c r="EL97" s="345"/>
      <c r="EM97" s="345"/>
      <c r="EN97" s="345"/>
      <c r="EO97" s="345"/>
      <c r="EP97" s="345"/>
      <c r="EQ97" s="345"/>
      <c r="ER97" s="345"/>
      <c r="ES97" s="345"/>
      <c r="ET97" s="345"/>
      <c r="EU97" s="345"/>
      <c r="EV97" s="345"/>
      <c r="EW97" s="345"/>
      <c r="EX97" s="345"/>
      <c r="EY97" s="345"/>
      <c r="EZ97" s="345"/>
      <c r="FA97" s="345"/>
      <c r="FB97" s="345"/>
      <c r="FC97" s="345"/>
      <c r="FD97" s="345"/>
      <c r="FE97" s="345"/>
      <c r="FF97" s="345"/>
      <c r="FG97" s="345"/>
      <c r="FH97" s="345"/>
      <c r="FI97" s="345"/>
      <c r="FJ97" s="345"/>
      <c r="FK97" s="345"/>
      <c r="FL97" s="345"/>
      <c r="FM97" s="345"/>
      <c r="FN97" s="345"/>
      <c r="FO97" s="345"/>
      <c r="FP97" s="345"/>
      <c r="FQ97" s="345"/>
      <c r="FR97" s="345"/>
      <c r="FS97" s="345"/>
      <c r="FT97" s="345"/>
      <c r="FU97" s="345"/>
      <c r="FV97" s="345"/>
      <c r="FW97" s="345"/>
      <c r="FX97" s="345"/>
      <c r="FY97" s="345"/>
      <c r="FZ97" s="345"/>
      <c r="GA97" s="160">
        <f t="shared" si="32"/>
        <v>0</v>
      </c>
      <c r="GB97" s="116"/>
      <c r="GC97" s="392"/>
      <c r="GD97" s="345"/>
      <c r="GE97" s="345"/>
      <c r="GF97" s="345"/>
      <c r="GG97" s="345"/>
      <c r="GH97" s="345"/>
      <c r="GI97" s="345"/>
      <c r="GJ97" s="345"/>
      <c r="GK97" s="345"/>
      <c r="GL97" s="345"/>
      <c r="GM97" s="345"/>
      <c r="GN97" s="345"/>
      <c r="GO97" s="345"/>
      <c r="GP97" s="345"/>
      <c r="GQ97" s="141"/>
      <c r="GR97" s="165"/>
      <c r="GS97" s="138"/>
      <c r="GT97" s="138"/>
      <c r="GU97" s="753"/>
      <c r="GV97" s="754"/>
      <c r="GW97" s="145">
        <f t="shared" si="33"/>
        <v>0</v>
      </c>
      <c r="GX97" s="770">
        <f t="shared" si="34"/>
        <v>75</v>
      </c>
      <c r="GY97" s="608">
        <f t="shared" si="35"/>
        <v>75</v>
      </c>
      <c r="GZ97" s="755"/>
      <c r="HA97" s="799">
        <f t="shared" si="36"/>
        <v>0</v>
      </c>
      <c r="HB97" s="363" t="str">
        <f t="shared" si="37"/>
        <v>ДП60-3/320/плц-35</v>
      </c>
      <c r="HC97" s="364"/>
      <c r="HD97" s="22"/>
      <c r="HE97" s="22"/>
    </row>
    <row r="98" spans="1:213" ht="15.9" customHeight="1" x14ac:dyDescent="0.3">
      <c r="A98" s="238"/>
      <c r="B98" s="114"/>
      <c r="C98" s="114"/>
      <c r="D98" s="556">
        <f t="shared" ref="D98:I98" si="51">SUM(D9:D22,D24:D43,D45:D71,D73:D97)</f>
        <v>124129.27599999997</v>
      </c>
      <c r="E98" s="556">
        <f t="shared" si="51"/>
        <v>79585.881999999998</v>
      </c>
      <c r="F98" s="556">
        <f t="shared" si="51"/>
        <v>107309.44999999997</v>
      </c>
      <c r="G98" s="556">
        <f t="shared" si="51"/>
        <v>103691.27099999999</v>
      </c>
      <c r="H98" s="556">
        <f t="shared" si="51"/>
        <v>228875.66599999997</v>
      </c>
      <c r="I98" s="545">
        <f t="shared" si="51"/>
        <v>158318.21600000004</v>
      </c>
      <c r="J98" s="18"/>
      <c r="K98" s="176"/>
      <c r="L98" s="456"/>
      <c r="M98" s="176"/>
      <c r="N98" s="176"/>
      <c r="O98" s="456"/>
      <c r="P98" s="456"/>
      <c r="Q98" s="456"/>
      <c r="R98" s="456"/>
      <c r="S98" s="456"/>
      <c r="T98" s="456"/>
      <c r="U98" s="456"/>
      <c r="V98" s="456"/>
      <c r="W98" s="456"/>
      <c r="X98" s="456"/>
      <c r="Y98" s="456"/>
      <c r="Z98" s="176"/>
      <c r="AA98" s="176"/>
      <c r="AB98" s="176"/>
      <c r="AC98" s="456"/>
      <c r="AD98" s="456"/>
      <c r="AE98" s="456"/>
      <c r="AF98" s="456"/>
      <c r="AG98" s="456"/>
      <c r="AH98" s="176"/>
      <c r="AI98" s="176"/>
      <c r="AJ98" s="456"/>
      <c r="AK98" s="456"/>
      <c r="AL98" s="456"/>
      <c r="AM98" s="176"/>
      <c r="AN98" s="456"/>
      <c r="AO98" s="456"/>
      <c r="AP98" s="456"/>
      <c r="AQ98" s="456"/>
      <c r="AR98" s="456"/>
      <c r="AS98" s="456"/>
      <c r="AT98" s="456"/>
      <c r="AU98" s="456"/>
      <c r="AV98" s="456"/>
      <c r="AW98" s="456"/>
      <c r="AX98" s="456"/>
      <c r="AY98" s="456"/>
      <c r="AZ98" s="456"/>
      <c r="BA98" s="456"/>
      <c r="BB98" s="456"/>
      <c r="BC98" s="456"/>
      <c r="BD98" s="456"/>
      <c r="BE98" s="456"/>
      <c r="BF98" s="456"/>
      <c r="BG98" s="176"/>
      <c r="BH98" s="176"/>
      <c r="BI98" s="176"/>
      <c r="BJ98" s="176"/>
      <c r="BK98" s="176"/>
      <c r="BL98" s="176"/>
      <c r="BM98" s="176"/>
      <c r="BN98" s="456"/>
      <c r="BO98" s="456"/>
      <c r="BP98" s="456"/>
      <c r="BQ98" s="176"/>
      <c r="BR98" s="456"/>
      <c r="BS98" s="465"/>
      <c r="BT98" s="463"/>
      <c r="BU98" s="456"/>
      <c r="BV98" s="176"/>
      <c r="BW98" s="456"/>
      <c r="BX98" s="456"/>
      <c r="BY98" s="45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456"/>
      <c r="CU98" s="456"/>
      <c r="CV98" s="456"/>
      <c r="CW98" s="456"/>
      <c r="CX98" s="176"/>
      <c r="CY98" s="176"/>
      <c r="CZ98" s="176"/>
      <c r="DA98" s="176"/>
      <c r="DB98" s="176"/>
      <c r="DC98" s="176"/>
      <c r="DD98" s="456"/>
      <c r="DE98" s="176"/>
      <c r="DF98" s="176"/>
      <c r="DG98" s="176"/>
      <c r="DH98" s="176"/>
      <c r="DI98" s="176"/>
      <c r="DJ98" s="176"/>
      <c r="DK98" s="176"/>
      <c r="DL98" s="176"/>
      <c r="DM98" s="176"/>
      <c r="DN98" s="176"/>
      <c r="DO98" s="176"/>
      <c r="DP98" s="176"/>
      <c r="DQ98" s="176"/>
      <c r="DR98" s="176"/>
      <c r="DS98" s="176"/>
      <c r="DT98" s="463"/>
      <c r="DU98" s="463"/>
      <c r="DV98" s="176"/>
      <c r="DW98" s="176"/>
      <c r="DX98" s="176"/>
      <c r="DY98" s="176"/>
      <c r="DZ98" s="176"/>
      <c r="EA98" s="176"/>
      <c r="EB98" s="456"/>
      <c r="EC98" s="456"/>
      <c r="ED98" s="176"/>
      <c r="EE98" s="176"/>
      <c r="EF98" s="176"/>
      <c r="EG98" s="176"/>
      <c r="EH98" s="176"/>
      <c r="EI98" s="176"/>
      <c r="EJ98" s="176"/>
      <c r="EK98" s="176"/>
      <c r="EL98" s="176"/>
      <c r="EM98" s="176"/>
      <c r="EN98" s="176"/>
      <c r="EO98" s="176"/>
      <c r="EP98" s="176"/>
      <c r="EQ98" s="176"/>
      <c r="ER98" s="176"/>
      <c r="ES98" s="176"/>
      <c r="ET98" s="176"/>
      <c r="EU98" s="176"/>
      <c r="EV98" s="176"/>
      <c r="EW98" s="456"/>
      <c r="EX98" s="456"/>
      <c r="EY98" s="456"/>
      <c r="EZ98" s="176"/>
      <c r="FA98" s="176"/>
      <c r="FB98" s="176"/>
      <c r="FC98" s="176"/>
      <c r="FD98" s="176"/>
      <c r="FE98" s="176"/>
      <c r="FF98" s="176"/>
      <c r="FG98" s="176"/>
      <c r="FH98" s="176"/>
      <c r="FI98" s="176"/>
      <c r="FJ98" s="176"/>
      <c r="FK98" s="176"/>
      <c r="FL98" s="176"/>
      <c r="FM98" s="176"/>
      <c r="FN98" s="456"/>
      <c r="FO98" s="176"/>
      <c r="FP98" s="176"/>
      <c r="FQ98" s="176"/>
      <c r="FR98" s="456"/>
      <c r="FS98" s="456"/>
      <c r="FT98" s="176"/>
      <c r="FU98" s="456"/>
      <c r="FV98" s="176"/>
      <c r="FW98" s="456"/>
      <c r="FX98" s="456"/>
      <c r="FY98" s="456"/>
      <c r="FZ98" s="456"/>
      <c r="GA98" s="463"/>
      <c r="GB98" s="463"/>
      <c r="GC98" s="176"/>
      <c r="GD98" s="456"/>
      <c r="GE98" s="456"/>
      <c r="GF98" s="456"/>
      <c r="GG98" s="176"/>
      <c r="GH98" s="456"/>
      <c r="GI98" s="456"/>
      <c r="GJ98" s="456"/>
      <c r="GK98" s="456"/>
      <c r="GL98" s="176"/>
      <c r="GM98" s="176"/>
      <c r="GN98" s="176"/>
      <c r="GO98" s="176"/>
      <c r="GP98" s="176"/>
      <c r="GQ98" s="176"/>
      <c r="GR98" s="176"/>
      <c r="GS98" s="176"/>
      <c r="GT98" s="176"/>
      <c r="GU98" s="176"/>
      <c r="GV98" s="242"/>
      <c r="GW98" s="242">
        <f>SUM(GW9:GW97)</f>
        <v>0</v>
      </c>
      <c r="GX98" s="242">
        <f>SUM(GX9:GX97)</f>
        <v>158318.21600000004</v>
      </c>
      <c r="GY98" s="545">
        <f>SUM(GY9:GY22,GY24:GY43,GY45:GY71,GY73:GY97)</f>
        <v>158318.21600000004</v>
      </c>
      <c r="GZ98" s="242"/>
      <c r="HA98" s="242">
        <f>SUM(HA9:HA97)</f>
        <v>79585.881999999998</v>
      </c>
      <c r="HB98" s="120"/>
      <c r="HC98" s="233"/>
      <c r="HD98" s="22"/>
      <c r="HE98" s="22"/>
    </row>
    <row r="99" spans="1:213" ht="15.9" customHeight="1" x14ac:dyDescent="0.3">
      <c r="A99" s="575"/>
      <c r="B99" s="534"/>
      <c r="C99" s="534"/>
      <c r="D99" s="536"/>
      <c r="E99" s="534"/>
      <c r="F99" s="534"/>
      <c r="G99" s="534"/>
      <c r="H99" s="576"/>
      <c r="I99" s="576"/>
      <c r="J99" s="539"/>
      <c r="K99" s="540"/>
      <c r="L99" s="540"/>
      <c r="M99" s="540"/>
      <c r="N99" s="540"/>
      <c r="O99" s="540"/>
      <c r="P99" s="540"/>
      <c r="Q99" s="540"/>
      <c r="R99" s="540"/>
      <c r="S99" s="540"/>
      <c r="T99" s="540"/>
      <c r="U99" s="540"/>
      <c r="V99" s="540"/>
      <c r="W99" s="540"/>
      <c r="X99" s="540"/>
      <c r="Y99" s="540"/>
      <c r="AC99" s="540"/>
      <c r="AD99" s="540"/>
      <c r="AE99" s="540"/>
      <c r="AF99" s="540"/>
      <c r="AG99" s="540"/>
      <c r="AJ99" s="540"/>
      <c r="AK99" s="540"/>
      <c r="AL99" s="540"/>
      <c r="AM99" s="540"/>
      <c r="AN99" s="540"/>
      <c r="AO99" s="540"/>
      <c r="AP99" s="540"/>
      <c r="AQ99" s="540"/>
      <c r="AR99" s="540"/>
      <c r="AS99" s="540"/>
      <c r="AT99" s="540"/>
      <c r="AU99" s="540"/>
      <c r="AV99" s="540"/>
      <c r="AW99" s="540"/>
      <c r="AX99" s="540"/>
      <c r="AY99" s="540"/>
      <c r="AZ99" s="540"/>
      <c r="BA99" s="540"/>
      <c r="BB99" s="540"/>
      <c r="BC99" s="540"/>
      <c r="BD99" s="540"/>
      <c r="BE99" s="540"/>
      <c r="BF99" s="540"/>
      <c r="BG99" s="540"/>
      <c r="BH99" s="540"/>
      <c r="BI99" s="540"/>
      <c r="BJ99" s="540"/>
      <c r="BK99" s="540"/>
      <c r="BL99" s="540"/>
      <c r="BM99" s="540"/>
      <c r="BN99" s="540"/>
      <c r="BO99" s="540"/>
      <c r="BP99" s="540"/>
      <c r="BQ99" s="534"/>
      <c r="BR99" s="540"/>
      <c r="BS99" s="541"/>
      <c r="BT99" s="541"/>
      <c r="BU99" s="540"/>
      <c r="BV99" s="540"/>
      <c r="BW99" s="540"/>
      <c r="BX99" s="540"/>
      <c r="BY99" s="540"/>
      <c r="BZ99" s="540"/>
      <c r="CA99" s="540"/>
      <c r="CB99" s="540"/>
      <c r="CC99" s="540"/>
      <c r="CD99" s="540"/>
      <c r="CE99" s="540"/>
      <c r="CF99" s="540"/>
      <c r="CG99" s="540"/>
      <c r="CH99" s="540"/>
      <c r="CI99" s="540"/>
      <c r="CJ99" s="540"/>
      <c r="CK99" s="540"/>
      <c r="CL99" s="540"/>
      <c r="CM99" s="540"/>
      <c r="CN99" s="540"/>
      <c r="CO99" s="540"/>
      <c r="CP99" s="540"/>
      <c r="CQ99" s="540"/>
      <c r="CR99" s="540"/>
      <c r="CS99" s="540"/>
      <c r="CT99" s="540"/>
      <c r="CU99" s="540"/>
      <c r="CV99" s="540"/>
      <c r="CW99" s="540"/>
      <c r="CX99" s="540"/>
      <c r="DB99" s="540"/>
      <c r="DC99" s="540"/>
      <c r="DD99" s="540"/>
      <c r="DE99" s="540"/>
      <c r="DF99" s="540"/>
      <c r="DG99" s="540"/>
      <c r="DH99" s="540"/>
      <c r="DI99" s="540"/>
      <c r="DJ99" s="540"/>
      <c r="DK99" s="540"/>
      <c r="DL99" s="540"/>
      <c r="DM99" s="540"/>
      <c r="DN99" s="540"/>
      <c r="DO99" s="540"/>
      <c r="DP99" s="540"/>
      <c r="DQ99" s="540"/>
      <c r="DR99" s="540"/>
      <c r="DS99" s="540"/>
      <c r="DT99" s="541"/>
      <c r="DU99" s="541"/>
      <c r="DV99" s="540"/>
      <c r="DW99" s="540"/>
      <c r="DX99" s="540"/>
      <c r="DY99" s="540"/>
      <c r="DZ99" s="540"/>
      <c r="EA99" s="540"/>
      <c r="EB99" s="540"/>
      <c r="EC99" s="540"/>
      <c r="ED99" s="540"/>
      <c r="EE99" s="540"/>
      <c r="EF99" s="540"/>
      <c r="EJ99" s="540"/>
      <c r="EK99" s="540"/>
      <c r="EL99" s="540"/>
      <c r="EM99" s="540"/>
      <c r="EN99" s="540"/>
      <c r="EO99" s="540"/>
      <c r="EP99" s="540"/>
      <c r="EQ99" s="540"/>
      <c r="ER99" s="540"/>
      <c r="ES99" s="540"/>
      <c r="ET99" s="540"/>
      <c r="EU99" s="540"/>
      <c r="EV99" s="540"/>
      <c r="EW99" s="540"/>
      <c r="EX99" s="540"/>
      <c r="EY99" s="540"/>
      <c r="EZ99" s="540"/>
      <c r="FA99" s="540"/>
      <c r="FB99" s="540"/>
      <c r="FC99" s="540"/>
      <c r="FD99" s="540"/>
      <c r="FE99" s="540"/>
      <c r="FF99" s="540"/>
      <c r="FG99" s="540"/>
      <c r="FH99" s="540"/>
      <c r="FI99" s="540"/>
      <c r="FJ99" s="540"/>
      <c r="FK99" s="540"/>
      <c r="FL99" s="540"/>
      <c r="FM99" s="540"/>
      <c r="FN99" s="540"/>
      <c r="FO99" s="540"/>
      <c r="FP99" s="540"/>
      <c r="FQ99" s="540"/>
      <c r="FR99" s="540"/>
      <c r="FS99" s="540"/>
      <c r="FT99" s="540"/>
      <c r="FU99" s="540"/>
      <c r="FV99" s="540"/>
      <c r="FW99" s="540"/>
      <c r="FX99" s="540"/>
      <c r="FY99" s="540"/>
      <c r="FZ99" s="540"/>
      <c r="GA99" s="541"/>
      <c r="GB99" s="541"/>
      <c r="GC99" s="540"/>
      <c r="GD99" s="540"/>
      <c r="GE99" s="540"/>
      <c r="GF99" s="540"/>
      <c r="GG99" s="540"/>
      <c r="GH99" s="540"/>
      <c r="GI99" s="540"/>
      <c r="GJ99" s="540"/>
      <c r="GK99" s="540"/>
      <c r="GL99" s="540"/>
      <c r="GM99" s="540"/>
      <c r="GN99" s="540"/>
      <c r="GO99" s="540"/>
      <c r="GP99" s="540"/>
      <c r="HE99" s="535"/>
    </row>
    <row r="100" spans="1:213" s="167" customFormat="1" ht="15.9" customHeight="1" x14ac:dyDescent="0.3">
      <c r="A100" s="533" t="s">
        <v>162</v>
      </c>
      <c r="B100" s="534"/>
      <c r="C100" s="534"/>
      <c r="D100" s="536"/>
      <c r="E100" s="534"/>
      <c r="F100" s="534"/>
      <c r="G100" s="534"/>
      <c r="H100" s="538"/>
      <c r="I100" s="538"/>
      <c r="J100" s="539"/>
      <c r="K100" s="540">
        <f>62.048/0.3*0.6</f>
        <v>124.096</v>
      </c>
      <c r="L100" s="540">
        <v>302.39999999999998</v>
      </c>
      <c r="M100" s="540">
        <f>356.025*2.4</f>
        <v>854.45999999999992</v>
      </c>
      <c r="N100" s="540">
        <f>20.16*3</f>
        <v>60.480000000000004</v>
      </c>
      <c r="O100" s="622">
        <v>151.19399999999999</v>
      </c>
      <c r="P100" s="622">
        <v>117.679</v>
      </c>
      <c r="Q100" s="622">
        <f>3516.176/15*7</f>
        <v>1640.8821333333333</v>
      </c>
      <c r="R100" s="622">
        <f>3516.176/15*10.4</f>
        <v>2437.8820266666667</v>
      </c>
      <c r="S100" s="622">
        <f>3516.176/15*2.6</f>
        <v>609.47050666666667</v>
      </c>
      <c r="T100" s="622">
        <v>30.599</v>
      </c>
      <c r="U100" s="540">
        <f>150.35*9</f>
        <v>1353.1499999999999</v>
      </c>
      <c r="V100" s="540">
        <v>784.73500000000001</v>
      </c>
      <c r="W100" s="622">
        <f>555.02*2</f>
        <v>1110.04</v>
      </c>
      <c r="X100" s="540">
        <f>30.24</f>
        <v>30.24</v>
      </c>
      <c r="Y100" s="540">
        <v>65.617000000000004</v>
      </c>
      <c r="Z100" s="540">
        <v>3251.6889999999999</v>
      </c>
      <c r="AA100" s="540">
        <v>2307.9879999999998</v>
      </c>
      <c r="AB100" s="540">
        <f>14.112/0.7*0.3</f>
        <v>6.048</v>
      </c>
      <c r="AC100" s="622">
        <f>258.031+0.027+0.006</f>
        <v>258.06399999999996</v>
      </c>
      <c r="AD100" s="540">
        <v>428.12099999999998</v>
      </c>
      <c r="AE100" s="540">
        <v>7.7060000000000004</v>
      </c>
      <c r="AF100" s="540">
        <v>97.78</v>
      </c>
      <c r="AG100" s="540">
        <v>62.048000000000002</v>
      </c>
      <c r="AH100" s="540">
        <v>329.322</v>
      </c>
      <c r="AI100" s="534">
        <v>3122.5419999999999</v>
      </c>
      <c r="AJ100" s="540">
        <f>114.711*0.8</f>
        <v>91.768799999999999</v>
      </c>
      <c r="AK100" s="540">
        <f>176.097*1.5</f>
        <v>264.14550000000003</v>
      </c>
      <c r="AL100" s="540">
        <f>57.13*0.6</f>
        <v>34.277999999999999</v>
      </c>
      <c r="AM100" s="540">
        <f>20.16*3</f>
        <v>60.480000000000004</v>
      </c>
      <c r="AN100" s="540">
        <f>134.228*0.9</f>
        <v>120.80520000000001</v>
      </c>
      <c r="AO100" s="540">
        <v>302.274</v>
      </c>
      <c r="AP100" s="540">
        <f>382.996*5</f>
        <v>1914.98</v>
      </c>
      <c r="AQ100" s="540">
        <f>30.24*5</f>
        <v>151.19999999999999</v>
      </c>
      <c r="AR100" s="540">
        <f>30.24</f>
        <v>30.24</v>
      </c>
      <c r="AS100" s="540">
        <f>134.228*3</f>
        <v>402.68400000000003</v>
      </c>
      <c r="AT100" s="540">
        <v>123.673</v>
      </c>
      <c r="AU100" s="540">
        <v>70.051000000000002</v>
      </c>
      <c r="AV100" s="540">
        <f>80.638/4*2</f>
        <v>40.319000000000003</v>
      </c>
      <c r="AW100" s="540">
        <v>174.17400000000001</v>
      </c>
      <c r="AX100" s="540">
        <v>89.304000000000002</v>
      </c>
      <c r="AY100" s="540">
        <f>80.638/4*2</f>
        <v>40.319000000000003</v>
      </c>
      <c r="AZ100" s="540">
        <f>882.768/2.4*1.5</f>
        <v>551.73</v>
      </c>
      <c r="BA100" s="540">
        <v>581.048</v>
      </c>
      <c r="BB100" s="540">
        <v>34.835000000000001</v>
      </c>
      <c r="BC100" s="540">
        <v>1104.5930000000001</v>
      </c>
      <c r="BD100" s="540">
        <f>101.263*2</f>
        <v>202.52600000000001</v>
      </c>
      <c r="BE100" s="540">
        <f>1539.294/7.1*4.1</f>
        <v>888.88808450704221</v>
      </c>
      <c r="BF100" s="540">
        <f>30.24*2</f>
        <v>60.48</v>
      </c>
      <c r="BG100" s="540">
        <f>719.17/1.5*0.4</f>
        <v>191.77866666666668</v>
      </c>
      <c r="BH100" s="540">
        <f>133.935*0.6</f>
        <v>80.361000000000004</v>
      </c>
      <c r="BI100" s="540">
        <f>338.473*0.6</f>
        <v>203.0838</v>
      </c>
      <c r="BJ100" s="540">
        <f>32.551*2</f>
        <v>65.102000000000004</v>
      </c>
      <c r="BK100" s="540">
        <f>37.344*1.5</f>
        <v>56.016000000000005</v>
      </c>
      <c r="BL100" s="540">
        <f>79.304*3.5</f>
        <v>277.56400000000002</v>
      </c>
      <c r="BM100" s="540">
        <v>1012.067</v>
      </c>
      <c r="BN100" s="540"/>
      <c r="BO100" s="540"/>
      <c r="BP100" s="540"/>
      <c r="BQ100" s="534"/>
      <c r="BR100" s="540"/>
      <c r="BS100" s="541"/>
      <c r="BT100" s="541"/>
      <c r="BU100" s="540">
        <f>882.768/2.4*2</f>
        <v>735.6400000000001</v>
      </c>
      <c r="BV100" s="540">
        <v>311.38600000000002</v>
      </c>
      <c r="BW100" s="540">
        <f>1194.625/3*1.5</f>
        <v>597.3125</v>
      </c>
      <c r="BX100" s="540">
        <f>1478.954/3*1.5</f>
        <v>739.47699999999998</v>
      </c>
      <c r="BY100" s="540">
        <f>1017.439/4*2</f>
        <v>508.71949999999998</v>
      </c>
      <c r="BZ100" s="540">
        <f>23.07*3</f>
        <v>69.210000000000008</v>
      </c>
      <c r="CA100" s="540">
        <v>97.305000000000007</v>
      </c>
      <c r="CB100" s="540">
        <v>507.06</v>
      </c>
      <c r="CC100" s="540">
        <v>17.763999999999999</v>
      </c>
      <c r="CD100" s="540">
        <v>1156.4970000000001</v>
      </c>
      <c r="CE100" s="540">
        <v>64.948999999999998</v>
      </c>
      <c r="CF100" s="540">
        <v>494.46800000000002</v>
      </c>
      <c r="CG100" s="540">
        <v>962.43200000000002</v>
      </c>
      <c r="CH100" s="540">
        <v>107.2</v>
      </c>
      <c r="CI100" s="540">
        <v>242.30500000000001</v>
      </c>
      <c r="CJ100" s="540">
        <f>36.714*6</f>
        <v>220.28399999999999</v>
      </c>
      <c r="CK100" s="540">
        <v>46.783999999999999</v>
      </c>
      <c r="CL100" s="540">
        <f>362.78*3</f>
        <v>1088.3399999999999</v>
      </c>
      <c r="CM100" s="540">
        <f>64.948/0.6*0.5</f>
        <v>54.123333333333328</v>
      </c>
      <c r="CN100" s="540">
        <v>114.50700000000001</v>
      </c>
      <c r="CO100" s="540">
        <f>228.097/5*3</f>
        <v>136.85820000000001</v>
      </c>
      <c r="CP100" s="540">
        <f>228.097/5*2</f>
        <v>91.238799999999998</v>
      </c>
      <c r="CQ100" s="540">
        <f>30.24*2</f>
        <v>60.48</v>
      </c>
      <c r="CR100" s="540">
        <f>129.187*0.9</f>
        <v>116.26830000000001</v>
      </c>
      <c r="CS100" s="540">
        <f>179.096*2</f>
        <v>358.19200000000001</v>
      </c>
      <c r="CT100" s="540">
        <f>1478.954/3*1.5</f>
        <v>739.47699999999998</v>
      </c>
      <c r="CU100" s="540">
        <f>1194.625/3*1.5</f>
        <v>597.3125</v>
      </c>
      <c r="CV100" s="540">
        <f>1017.436/4*2</f>
        <v>508.71800000000002</v>
      </c>
      <c r="CW100" s="540">
        <v>64.105000000000004</v>
      </c>
      <c r="CX100" s="540">
        <f>79.302*4.2</f>
        <v>333.06840000000005</v>
      </c>
      <c r="CY100" s="540">
        <f>0.351+0.312+6.444+0.193+1.173+63.226+0.069</f>
        <v>71.768000000000001</v>
      </c>
      <c r="CZ100" s="540">
        <v>90.265000000000001</v>
      </c>
      <c r="DA100" s="540">
        <v>84.122</v>
      </c>
      <c r="DB100" s="540">
        <f>69.884*0.6</f>
        <v>41.930399999999999</v>
      </c>
      <c r="DC100" s="540">
        <f>26.482*0.3</f>
        <v>7.9445999999999994</v>
      </c>
      <c r="DD100" s="540">
        <v>1472.125</v>
      </c>
      <c r="DE100" s="540">
        <v>1308.576</v>
      </c>
      <c r="DF100" s="540">
        <v>93.887</v>
      </c>
      <c r="DG100" s="540">
        <f>25.494*3.9</f>
        <v>99.426599999999993</v>
      </c>
      <c r="DH100" s="540">
        <f>360.813*1.2</f>
        <v>432.97559999999999</v>
      </c>
      <c r="DI100" s="540">
        <f>152.271/4*5</f>
        <v>190.33874999999998</v>
      </c>
      <c r="DJ100" s="540">
        <f>70.05*2.5</f>
        <v>175.125</v>
      </c>
      <c r="DK100" s="540">
        <f>134.227*1.5</f>
        <v>201.34050000000002</v>
      </c>
      <c r="DL100" s="540">
        <f>134.227</f>
        <v>134.227</v>
      </c>
      <c r="DM100" s="540">
        <f>96.123*1.5</f>
        <v>144.18450000000001</v>
      </c>
      <c r="DN100" s="540">
        <f>134.384/4*3</f>
        <v>100.78799999999998</v>
      </c>
      <c r="DO100" s="540">
        <f>96.725/0.8*0.4</f>
        <v>48.362499999999997</v>
      </c>
      <c r="DP100" s="540">
        <f>489.004/1.8*0.9</f>
        <v>244.50200000000001</v>
      </c>
      <c r="DQ100" s="540">
        <f>16.611/1.2*0.6</f>
        <v>8.3055000000000003</v>
      </c>
      <c r="DR100" s="540">
        <v>1489.2059999999999</v>
      </c>
      <c r="DS100" s="540">
        <v>1012.429</v>
      </c>
      <c r="DT100" s="541"/>
      <c r="DU100" s="541"/>
      <c r="DV100" s="540">
        <v>313.78899999999999</v>
      </c>
      <c r="DW100" s="540">
        <f>357.789*2</f>
        <v>715.57799999999997</v>
      </c>
      <c r="DX100" s="540">
        <v>545.94100000000003</v>
      </c>
      <c r="DY100" s="540">
        <f>85.275*1.5</f>
        <v>127.91250000000001</v>
      </c>
      <c r="DZ100" s="540">
        <f>372.965*3</f>
        <v>1118.895</v>
      </c>
      <c r="EA100" s="540">
        <f>30.24*5</f>
        <v>151.19999999999999</v>
      </c>
      <c r="EB100" s="622">
        <f>3859.976/20*10</f>
        <v>1929.9880000000003</v>
      </c>
      <c r="EC100" s="622">
        <f>3859.976/20*10</f>
        <v>1929.9880000000003</v>
      </c>
      <c r="ED100" s="540">
        <v>51.642000000000003</v>
      </c>
      <c r="EE100" s="540">
        <v>78.168999999999997</v>
      </c>
      <c r="EF100" s="540">
        <f>81.601*1.5</f>
        <v>122.4015</v>
      </c>
      <c r="EG100" s="540">
        <v>4021.1010000000001</v>
      </c>
      <c r="EH100" s="540">
        <f>4094.913/12*8</f>
        <v>2729.942</v>
      </c>
      <c r="EI100" s="540">
        <f>4094.913/12*4</f>
        <v>1364.971</v>
      </c>
      <c r="EJ100" s="540">
        <f>96.725/0.8*0.4</f>
        <v>48.362499999999997</v>
      </c>
      <c r="EK100" s="540">
        <f>16.611/1.2*0.6</f>
        <v>8.3055000000000003</v>
      </c>
      <c r="EL100" s="540">
        <f>489.004/1.8*0.9</f>
        <v>244.50200000000001</v>
      </c>
      <c r="EM100" s="540">
        <f>70.635</f>
        <v>70.635000000000005</v>
      </c>
      <c r="EN100" s="540">
        <f>85.241*2</f>
        <v>170.482</v>
      </c>
      <c r="EO100" s="540">
        <v>78.548000000000002</v>
      </c>
      <c r="EP100" s="540">
        <f>149.226</f>
        <v>149.226</v>
      </c>
      <c r="EQ100" s="540">
        <v>62.722000000000001</v>
      </c>
      <c r="ER100" s="540">
        <f>82.251*2.5</f>
        <v>205.6275</v>
      </c>
      <c r="ES100" s="540">
        <f>3.409/0.3*0.6</f>
        <v>6.8179999999999996</v>
      </c>
      <c r="ET100" s="540">
        <v>99.679000000000002</v>
      </c>
      <c r="EU100" s="540">
        <f>70.635*4</f>
        <v>282.54000000000002</v>
      </c>
      <c r="EV100" s="540">
        <v>72.444000000000003</v>
      </c>
      <c r="EW100" s="622">
        <f>252.737+0.027+0.006</f>
        <v>252.76999999999998</v>
      </c>
      <c r="EX100" s="622">
        <f>153.342*2</f>
        <v>306.68400000000003</v>
      </c>
      <c r="EY100" s="622">
        <f>187.076/6*3</f>
        <v>93.537999999999997</v>
      </c>
      <c r="EZ100" s="540">
        <v>190.339</v>
      </c>
      <c r="FA100" s="540">
        <f>144.184/1.5</f>
        <v>96.12266666666666</v>
      </c>
      <c r="FB100" s="540">
        <v>609.98099999999999</v>
      </c>
      <c r="FC100" s="540">
        <f>70.635*1.5</f>
        <v>105.95250000000001</v>
      </c>
      <c r="FD100" s="540">
        <f>25.977</f>
        <v>25.977</v>
      </c>
      <c r="FE100" s="540">
        <f>1088.486</f>
        <v>1088.4860000000001</v>
      </c>
      <c r="FF100" s="540">
        <f>70.635*0.3</f>
        <v>21.1905</v>
      </c>
      <c r="FG100" s="540">
        <v>650.40200000000004</v>
      </c>
      <c r="FH100" s="540">
        <v>918.25300000000004</v>
      </c>
      <c r="FI100" s="540">
        <v>402.63400000000001</v>
      </c>
      <c r="FJ100" s="540">
        <f>166.04*5</f>
        <v>830.19999999999993</v>
      </c>
      <c r="FK100" s="540">
        <v>54.113</v>
      </c>
      <c r="FL100" s="540">
        <f>359.316/2*2.1</f>
        <v>377.28179999999998</v>
      </c>
      <c r="FM100" s="540">
        <v>212.721</v>
      </c>
      <c r="FN100" s="540">
        <v>64.087000000000003</v>
      </c>
      <c r="FO100" s="540">
        <v>168.78899999999999</v>
      </c>
      <c r="FP100" s="540">
        <v>382.637</v>
      </c>
      <c r="FQ100" s="540">
        <v>173.345</v>
      </c>
      <c r="FR100" s="622">
        <v>102.461</v>
      </c>
      <c r="FS100" s="622">
        <f>153.342*3</f>
        <v>460.02600000000007</v>
      </c>
      <c r="FT100" s="540">
        <f>70.635*1.9</f>
        <v>134.20650000000001</v>
      </c>
      <c r="FU100" s="540">
        <f>362.835*3</f>
        <v>1088.5049999999999</v>
      </c>
      <c r="FV100" s="540">
        <f>480.71/1.8*0.5</f>
        <v>133.53055555555554</v>
      </c>
      <c r="FW100" s="540"/>
      <c r="FX100" s="540"/>
      <c r="FY100" s="540"/>
      <c r="FZ100" s="540"/>
      <c r="GA100" s="541"/>
      <c r="GB100" s="541"/>
      <c r="GC100" s="540"/>
      <c r="GD100" s="540"/>
      <c r="GE100" s="540"/>
      <c r="GF100" s="622"/>
      <c r="GG100" s="540"/>
      <c r="GH100" s="622"/>
      <c r="GI100" s="540"/>
      <c r="GJ100" s="540"/>
      <c r="GK100" s="540"/>
      <c r="GL100" s="540"/>
      <c r="GM100" s="540"/>
      <c r="GN100" s="540"/>
      <c r="GO100" s="540"/>
      <c r="GP100" s="540"/>
      <c r="GQ100"/>
      <c r="GR100" s="534"/>
      <c r="GS100" s="540"/>
      <c r="GT100" s="540"/>
      <c r="GU100"/>
      <c r="GV100"/>
      <c r="GW100"/>
      <c r="GX100"/>
      <c r="GY100"/>
      <c r="GZ100"/>
      <c r="HA100"/>
      <c r="HB100"/>
      <c r="HC100"/>
      <c r="HD100"/>
      <c r="HE100" s="535"/>
    </row>
    <row r="101" spans="1:213" ht="15.9" customHeight="1" x14ac:dyDescent="0.3">
      <c r="A101" s="533" t="s">
        <v>163</v>
      </c>
      <c r="B101" s="534"/>
      <c r="C101" s="534"/>
      <c r="D101" s="536"/>
      <c r="E101" s="534"/>
      <c r="F101" s="534"/>
      <c r="G101" s="534"/>
      <c r="H101" s="538"/>
      <c r="I101" s="538"/>
      <c r="J101" s="539"/>
      <c r="K101" s="540">
        <f t="shared" ref="K101:AP101" si="52">SUM(K9:K100)/K8</f>
        <v>1008.0000000000001</v>
      </c>
      <c r="L101" s="540">
        <f t="shared" si="52"/>
        <v>1008</v>
      </c>
      <c r="M101" s="540">
        <f t="shared" si="52"/>
        <v>1008</v>
      </c>
      <c r="N101" s="540">
        <f t="shared" si="52"/>
        <v>1008</v>
      </c>
      <c r="O101" s="622">
        <f t="shared" si="52"/>
        <v>1007.9998000000003</v>
      </c>
      <c r="P101" s="622">
        <f t="shared" si="52"/>
        <v>1008.001</v>
      </c>
      <c r="Q101" s="540">
        <f t="shared" si="52"/>
        <v>1008</v>
      </c>
      <c r="R101" s="540">
        <f t="shared" si="52"/>
        <v>1008</v>
      </c>
      <c r="S101" s="540">
        <f t="shared" si="52"/>
        <v>1008</v>
      </c>
      <c r="T101" s="540">
        <f t="shared" si="52"/>
        <v>1008.0033333333336</v>
      </c>
      <c r="U101" s="540">
        <f t="shared" si="52"/>
        <v>1008</v>
      </c>
      <c r="V101" s="540">
        <f t="shared" si="52"/>
        <v>1008</v>
      </c>
      <c r="W101" s="540">
        <f t="shared" si="52"/>
        <v>1008.001</v>
      </c>
      <c r="X101" s="540">
        <f t="shared" si="52"/>
        <v>1007.9999999999999</v>
      </c>
      <c r="Y101" s="540">
        <f t="shared" si="52"/>
        <v>1008.0000000000001</v>
      </c>
      <c r="Z101" s="540">
        <f t="shared" si="52"/>
        <v>1008.0001666666667</v>
      </c>
      <c r="AA101" s="540">
        <f t="shared" si="52"/>
        <v>1008.0002000000001</v>
      </c>
      <c r="AB101" s="540">
        <f t="shared" si="52"/>
        <v>1008</v>
      </c>
      <c r="AC101" s="540">
        <f t="shared" si="52"/>
        <v>1007.9966666666666</v>
      </c>
      <c r="AD101" s="540">
        <f t="shared" si="52"/>
        <v>1008</v>
      </c>
      <c r="AE101" s="540">
        <f t="shared" si="52"/>
        <v>1008.0000000000001</v>
      </c>
      <c r="AF101" s="540">
        <f t="shared" si="52"/>
        <v>1007.9999999999999</v>
      </c>
      <c r="AG101" s="540">
        <f t="shared" si="52"/>
        <v>1007.9966666666667</v>
      </c>
      <c r="AH101" s="540">
        <f t="shared" si="52"/>
        <v>1008.001</v>
      </c>
      <c r="AI101" s="540">
        <f t="shared" si="52"/>
        <v>1008</v>
      </c>
      <c r="AJ101" s="540">
        <f t="shared" si="52"/>
        <v>1007.997</v>
      </c>
      <c r="AK101" s="540">
        <f t="shared" si="52"/>
        <v>1007.9990000000001</v>
      </c>
      <c r="AL101" s="540">
        <f t="shared" si="52"/>
        <v>1008.0000000000001</v>
      </c>
      <c r="AM101" s="540">
        <f t="shared" si="52"/>
        <v>1008</v>
      </c>
      <c r="AN101" s="540">
        <f t="shared" si="52"/>
        <v>1008.0009999999999</v>
      </c>
      <c r="AO101" s="540">
        <f t="shared" si="52"/>
        <v>1007.9999</v>
      </c>
      <c r="AP101" s="540">
        <f t="shared" si="52"/>
        <v>1008</v>
      </c>
      <c r="AQ101" s="540">
        <f t="shared" ref="AQ101:BM101" si="53">SUM(AQ9:AQ100)/AQ8</f>
        <v>1008</v>
      </c>
      <c r="AR101" s="540">
        <f t="shared" si="53"/>
        <v>1007.9999999999999</v>
      </c>
      <c r="AS101" s="540">
        <f t="shared" si="53"/>
        <v>1008.0009999999999</v>
      </c>
      <c r="AT101" s="540">
        <f t="shared" si="53"/>
        <v>1008</v>
      </c>
      <c r="AU101" s="540">
        <f t="shared" si="53"/>
        <v>1008.001</v>
      </c>
      <c r="AV101" s="540">
        <f t="shared" si="53"/>
        <v>1008.0002499999999</v>
      </c>
      <c r="AW101" s="540">
        <f t="shared" si="53"/>
        <v>1007.9999999999998</v>
      </c>
      <c r="AX101" s="540">
        <f t="shared" si="53"/>
        <v>1007.9999999999999</v>
      </c>
      <c r="AY101" s="540">
        <f t="shared" si="53"/>
        <v>1008.0002499999999</v>
      </c>
      <c r="AZ101" s="540">
        <f t="shared" si="53"/>
        <v>1008.0004166666668</v>
      </c>
      <c r="BA101" s="540">
        <f t="shared" si="53"/>
        <v>1008.0016666666668</v>
      </c>
      <c r="BB101" s="540">
        <f t="shared" si="53"/>
        <v>1007.9990000000001</v>
      </c>
      <c r="BC101" s="540">
        <f t="shared" si="53"/>
        <v>915.95158333333347</v>
      </c>
      <c r="BD101" s="540">
        <f t="shared" si="53"/>
        <v>1008</v>
      </c>
      <c r="BE101" s="540">
        <f t="shared" si="53"/>
        <v>1008.0001408450704</v>
      </c>
      <c r="BF101" s="540">
        <f t="shared" si="53"/>
        <v>1007.9999999999999</v>
      </c>
      <c r="BG101" s="540">
        <f t="shared" si="53"/>
        <v>1008.0000000000001</v>
      </c>
      <c r="BH101" s="540">
        <f t="shared" si="53"/>
        <v>1008.0010000000001</v>
      </c>
      <c r="BI101" s="540">
        <f t="shared" si="53"/>
        <v>1008</v>
      </c>
      <c r="BJ101" s="540">
        <f t="shared" si="53"/>
        <v>1007.999</v>
      </c>
      <c r="BK101" s="540">
        <f t="shared" si="53"/>
        <v>1008.0009999999999</v>
      </c>
      <c r="BL101" s="540">
        <f t="shared" si="53"/>
        <v>1008</v>
      </c>
      <c r="BM101" s="540">
        <f t="shared" si="53"/>
        <v>1007.9997142857144</v>
      </c>
      <c r="BN101" s="540"/>
      <c r="BO101" s="540"/>
      <c r="BP101" s="540"/>
      <c r="BQ101" s="540"/>
      <c r="BR101" s="540"/>
      <c r="BS101" s="541"/>
      <c r="BT101" s="541"/>
      <c r="BU101" s="540">
        <f t="shared" ref="BU101:CZ101" si="54">SUM(BU9:BU100)/BU8</f>
        <v>1008.0004166666669</v>
      </c>
      <c r="BV101" s="540">
        <f t="shared" si="54"/>
        <v>1008.0005</v>
      </c>
      <c r="BW101" s="540">
        <f t="shared" si="54"/>
        <v>1008.0003333333334</v>
      </c>
      <c r="BX101" s="540">
        <f t="shared" si="54"/>
        <v>1008.0003333333333</v>
      </c>
      <c r="BY101" s="540">
        <f t="shared" si="54"/>
        <v>1007.9999999999999</v>
      </c>
      <c r="BZ101" s="540">
        <f t="shared" si="54"/>
        <v>1008.0010000000001</v>
      </c>
      <c r="CA101" s="540">
        <f t="shared" si="54"/>
        <v>1007.9999999999999</v>
      </c>
      <c r="CB101" s="540">
        <f t="shared" si="54"/>
        <v>1007.9994444444444</v>
      </c>
      <c r="CC101" s="540">
        <f t="shared" si="54"/>
        <v>1007.9975000000001</v>
      </c>
      <c r="CD101" s="540">
        <f t="shared" si="54"/>
        <v>1008.0006666666667</v>
      </c>
      <c r="CE101" s="540">
        <f t="shared" si="54"/>
        <v>1007.9966666666667</v>
      </c>
      <c r="CF101" s="540">
        <f t="shared" si="54"/>
        <v>1007.9981818181817</v>
      </c>
      <c r="CG101" s="540">
        <f t="shared" si="54"/>
        <v>1008</v>
      </c>
      <c r="CH101" s="540">
        <f t="shared" si="54"/>
        <v>1007.9999999999999</v>
      </c>
      <c r="CI101" s="540">
        <f t="shared" si="54"/>
        <v>1008.0016666666666</v>
      </c>
      <c r="CJ101" s="540">
        <f t="shared" si="54"/>
        <v>1008.0010000000002</v>
      </c>
      <c r="CK101" s="540">
        <f t="shared" si="54"/>
        <v>1008.0005</v>
      </c>
      <c r="CL101" s="540">
        <f t="shared" si="54"/>
        <v>1007.9979999999999</v>
      </c>
      <c r="CM101" s="540">
        <f t="shared" si="54"/>
        <v>1007.9983333333333</v>
      </c>
      <c r="CN101" s="540">
        <f t="shared" si="54"/>
        <v>1008.002</v>
      </c>
      <c r="CO101" s="540">
        <f t="shared" si="54"/>
        <v>1007.9996000000001</v>
      </c>
      <c r="CP101" s="540">
        <f t="shared" si="54"/>
        <v>1007.9996000000001</v>
      </c>
      <c r="CQ101" s="540">
        <f t="shared" si="54"/>
        <v>1007.9999999999999</v>
      </c>
      <c r="CR101" s="540">
        <f t="shared" si="54"/>
        <v>1008.0019999999997</v>
      </c>
      <c r="CS101" s="540">
        <f t="shared" si="54"/>
        <v>1007.9989999999999</v>
      </c>
      <c r="CT101" s="540">
        <f t="shared" si="54"/>
        <v>1008.0003333333333</v>
      </c>
      <c r="CU101" s="540">
        <f t="shared" si="54"/>
        <v>1008.0003333333334</v>
      </c>
      <c r="CV101" s="540">
        <f t="shared" si="54"/>
        <v>1007.9999999999999</v>
      </c>
      <c r="CW101" s="540">
        <f t="shared" si="54"/>
        <v>1008.0033333333334</v>
      </c>
      <c r="CX101" s="540">
        <f t="shared" si="54"/>
        <v>1007.9999999999998</v>
      </c>
      <c r="CY101" s="540">
        <f t="shared" si="54"/>
        <v>1008.0149999999999</v>
      </c>
      <c r="CZ101" s="540">
        <f t="shared" si="54"/>
        <v>1008.0020000000001</v>
      </c>
      <c r="DA101" s="540">
        <f t="shared" ref="DA101:DS101" si="55">SUM(DA9:DA100)/DA8</f>
        <v>1008.001</v>
      </c>
      <c r="DB101" s="540">
        <f t="shared" si="55"/>
        <v>1008.0010000000001</v>
      </c>
      <c r="DC101" s="540">
        <f t="shared" si="55"/>
        <v>1008</v>
      </c>
      <c r="DD101" s="540">
        <f t="shared" si="55"/>
        <v>1007.9999999999997</v>
      </c>
      <c r="DE101" s="540">
        <f t="shared" si="55"/>
        <v>1007.9995833333332</v>
      </c>
      <c r="DF101" s="540">
        <f t="shared" si="55"/>
        <v>1008.0003225806454</v>
      </c>
      <c r="DG101" s="540">
        <f t="shared" si="55"/>
        <v>1008</v>
      </c>
      <c r="DH101" s="540">
        <f t="shared" si="55"/>
        <v>1007.999</v>
      </c>
      <c r="DI101" s="540">
        <f t="shared" si="55"/>
        <v>1007.9999999999998</v>
      </c>
      <c r="DJ101" s="540">
        <f t="shared" si="55"/>
        <v>1008.001</v>
      </c>
      <c r="DK101" s="540">
        <f t="shared" si="55"/>
        <v>1008.002</v>
      </c>
      <c r="DL101" s="540">
        <f t="shared" si="55"/>
        <v>1008.002</v>
      </c>
      <c r="DM101" s="540">
        <f t="shared" si="55"/>
        <v>1008</v>
      </c>
      <c r="DN101" s="540">
        <f t="shared" si="55"/>
        <v>1007.9999999999999</v>
      </c>
      <c r="DO101" s="540">
        <f t="shared" si="55"/>
        <v>1008.0000000000003</v>
      </c>
      <c r="DP101" s="540">
        <f t="shared" si="55"/>
        <v>1008</v>
      </c>
      <c r="DQ101" s="540">
        <f t="shared" si="55"/>
        <v>1007.9975000000002</v>
      </c>
      <c r="DR101" s="540">
        <f t="shared" si="55"/>
        <v>1008.0004999999999</v>
      </c>
      <c r="DS101" s="540">
        <f t="shared" si="55"/>
        <v>1007.9998571428572</v>
      </c>
      <c r="DT101" s="541"/>
      <c r="DU101" s="541"/>
      <c r="DV101" s="540">
        <f t="shared" ref="DV101:FT101" si="56">SUM(DV9:DV100)/DV8</f>
        <v>1008.0002500000001</v>
      </c>
      <c r="DW101" s="540">
        <f t="shared" si="56"/>
        <v>1007.9989999999999</v>
      </c>
      <c r="DX101" s="540">
        <f t="shared" si="56"/>
        <v>1007.9866666666666</v>
      </c>
      <c r="DY101" s="540">
        <f t="shared" si="56"/>
        <v>1008.0009999999999</v>
      </c>
      <c r="DZ101" s="540">
        <f t="shared" si="56"/>
        <v>1008.0010000000001</v>
      </c>
      <c r="EA101" s="540">
        <f t="shared" si="56"/>
        <v>1008</v>
      </c>
      <c r="EB101" s="540">
        <f t="shared" si="56"/>
        <v>1008</v>
      </c>
      <c r="EC101" s="540">
        <f t="shared" si="56"/>
        <v>1008</v>
      </c>
      <c r="ED101" s="540">
        <f t="shared" si="56"/>
        <v>1007.9983333333337</v>
      </c>
      <c r="EE101" s="540">
        <f t="shared" si="56"/>
        <v>1008.001</v>
      </c>
      <c r="EF101" s="540">
        <f t="shared" si="56"/>
        <v>1008</v>
      </c>
      <c r="EG101" s="540">
        <f t="shared" si="56"/>
        <v>1008.000125</v>
      </c>
      <c r="EH101" s="540">
        <f t="shared" si="56"/>
        <v>1007.9999166666668</v>
      </c>
      <c r="EI101" s="540">
        <f t="shared" si="56"/>
        <v>1007.9999166666668</v>
      </c>
      <c r="EJ101" s="540">
        <f t="shared" si="56"/>
        <v>1008.0000000000003</v>
      </c>
      <c r="EK101" s="540">
        <f t="shared" si="56"/>
        <v>1007.9975000000002</v>
      </c>
      <c r="EL101" s="540">
        <f t="shared" si="56"/>
        <v>1008</v>
      </c>
      <c r="EM101" s="540">
        <f t="shared" si="56"/>
        <v>1008</v>
      </c>
      <c r="EN101" s="540">
        <f t="shared" si="56"/>
        <v>1008.002</v>
      </c>
      <c r="EO101" s="540">
        <f t="shared" si="56"/>
        <v>1007.9999999999999</v>
      </c>
      <c r="EP101" s="540">
        <f t="shared" si="56"/>
        <v>1007.9999999999998</v>
      </c>
      <c r="EQ101" s="540">
        <f t="shared" si="56"/>
        <v>1008.0000000000001</v>
      </c>
      <c r="ER101" s="540">
        <f t="shared" si="56"/>
        <v>1008.0009999999999</v>
      </c>
      <c r="ES101" s="540">
        <f t="shared" si="56"/>
        <v>1008.0033333333334</v>
      </c>
      <c r="ET101" s="540">
        <f t="shared" si="56"/>
        <v>1008.0000000000003</v>
      </c>
      <c r="EU101" s="540">
        <f t="shared" si="56"/>
        <v>1008</v>
      </c>
      <c r="EV101" s="540">
        <f t="shared" si="56"/>
        <v>1007.9999999999999</v>
      </c>
      <c r="EW101" s="540">
        <f t="shared" si="56"/>
        <v>1007.9933333333332</v>
      </c>
      <c r="EX101" s="540">
        <f t="shared" si="56"/>
        <v>1007.9989999999999</v>
      </c>
      <c r="EY101" s="540">
        <f t="shared" si="56"/>
        <v>1008.0000000000001</v>
      </c>
      <c r="EZ101" s="540">
        <f t="shared" si="56"/>
        <v>1007.9997999999999</v>
      </c>
      <c r="FA101" s="540">
        <f t="shared" si="56"/>
        <v>1008.0000000000001</v>
      </c>
      <c r="FB101" s="540">
        <f t="shared" si="56"/>
        <v>1007.999</v>
      </c>
      <c r="FC101" s="540">
        <f t="shared" si="56"/>
        <v>1008.0000000000001</v>
      </c>
      <c r="FD101" s="540">
        <f t="shared" si="56"/>
        <v>1008</v>
      </c>
      <c r="FE101" s="540">
        <f t="shared" si="56"/>
        <v>1007.9996666666666</v>
      </c>
      <c r="FF101" s="540">
        <f t="shared" si="56"/>
        <v>1008</v>
      </c>
      <c r="FG101" s="540">
        <f t="shared" si="56"/>
        <v>1008</v>
      </c>
      <c r="FH101" s="540">
        <f t="shared" si="56"/>
        <v>1008.0005882352942</v>
      </c>
      <c r="FI101" s="540">
        <f t="shared" si="56"/>
        <v>1008.0003333333333</v>
      </c>
      <c r="FJ101" s="540">
        <f t="shared" si="56"/>
        <v>1007.9799999999999</v>
      </c>
      <c r="FK101" s="540">
        <f t="shared" si="56"/>
        <v>1008.0016666666666</v>
      </c>
      <c r="FL101" s="540">
        <f t="shared" si="56"/>
        <v>1008</v>
      </c>
      <c r="FM101" s="540">
        <f t="shared" si="56"/>
        <v>1007.9997999999999</v>
      </c>
      <c r="FN101" s="540">
        <f t="shared" si="56"/>
        <v>1008.0033333333334</v>
      </c>
      <c r="FO101" s="540">
        <f t="shared" si="56"/>
        <v>1007.9999999999999</v>
      </c>
      <c r="FP101" s="540">
        <f t="shared" si="56"/>
        <v>1007.9966666666667</v>
      </c>
      <c r="FQ101" s="540">
        <f t="shared" si="56"/>
        <v>1007.9966666666666</v>
      </c>
      <c r="FR101" s="540">
        <f t="shared" si="56"/>
        <v>1007.998</v>
      </c>
      <c r="FS101" s="540">
        <f t="shared" si="56"/>
        <v>1007.9990000000001</v>
      </c>
      <c r="FT101" s="540">
        <f t="shared" si="56"/>
        <v>1008.0000000000001</v>
      </c>
      <c r="FU101" s="540">
        <f>SUM(FU9:FU100)/FU8</f>
        <v>1007.9989999999998</v>
      </c>
      <c r="FV101" s="540">
        <f t="shared" ref="FV101" si="57">SUM(FV9:FV100)/FV8</f>
        <v>1007.9999999999998</v>
      </c>
      <c r="FW101" s="540"/>
      <c r="FX101" s="540"/>
      <c r="FY101" s="540"/>
      <c r="FZ101" s="540"/>
      <c r="GA101" s="541"/>
      <c r="GB101" s="541"/>
      <c r="GC101" s="540"/>
      <c r="GD101" s="540"/>
      <c r="GE101" s="540"/>
      <c r="GF101" s="540"/>
      <c r="GG101" s="540"/>
      <c r="GH101" s="540"/>
      <c r="GI101" s="540"/>
      <c r="GJ101" s="540"/>
      <c r="GK101" s="540"/>
      <c r="GL101" s="540"/>
      <c r="GM101" s="540"/>
      <c r="GN101" s="540"/>
      <c r="GO101" s="540"/>
      <c r="GP101" s="540"/>
      <c r="GR101" s="540"/>
      <c r="GS101" s="540" t="e">
        <f>SUM(GS9:GS100)/GS8</f>
        <v>#DIV/0!</v>
      </c>
      <c r="GT101" s="540" t="e">
        <f>SUM(GT9:GT100)/GT8</f>
        <v>#DIV/0!</v>
      </c>
      <c r="GU101" s="540"/>
      <c r="HE101" s="535"/>
    </row>
    <row r="102" spans="1:213" ht="15.9" customHeight="1" thickBot="1" x14ac:dyDescent="0.35">
      <c r="A102" s="114"/>
      <c r="B102" s="457"/>
      <c r="C102" s="457"/>
      <c r="D102" s="594"/>
      <c r="E102" s="457"/>
      <c r="F102" s="457"/>
      <c r="G102" s="457"/>
      <c r="H102" s="321"/>
      <c r="I102" s="118"/>
      <c r="J102" s="18"/>
      <c r="K102" s="459"/>
      <c r="L102" s="459"/>
      <c r="M102" s="459"/>
      <c r="N102" s="459"/>
      <c r="O102" s="459"/>
      <c r="P102" s="459"/>
      <c r="Q102" s="459"/>
      <c r="R102" s="459"/>
      <c r="S102" s="459"/>
      <c r="T102" s="459"/>
      <c r="U102" s="459"/>
      <c r="V102" s="459"/>
      <c r="W102" s="459"/>
      <c r="X102" s="459"/>
      <c r="Y102" s="459"/>
      <c r="AC102" s="459"/>
      <c r="AD102" s="459"/>
      <c r="AE102" s="459"/>
      <c r="AF102" s="459"/>
      <c r="AG102" s="459"/>
      <c r="AJ102" s="459"/>
      <c r="AK102" s="459"/>
      <c r="AL102" s="459"/>
      <c r="AM102" s="459"/>
      <c r="AN102" s="459"/>
      <c r="AO102" s="459"/>
      <c r="AP102" s="459"/>
      <c r="AQ102" s="459"/>
      <c r="AR102" s="459"/>
      <c r="AS102" s="459"/>
      <c r="AT102" s="459"/>
      <c r="AU102" s="459"/>
      <c r="AV102" s="459"/>
      <c r="AW102" s="459"/>
      <c r="AX102" s="459"/>
      <c r="AY102" s="459"/>
      <c r="AZ102" s="459"/>
      <c r="BA102" s="459"/>
      <c r="BB102" s="459"/>
      <c r="BC102" s="459"/>
      <c r="BD102" s="459"/>
      <c r="BE102" s="459"/>
      <c r="BF102" s="459"/>
      <c r="BG102" s="459"/>
      <c r="BH102" s="459"/>
      <c r="BI102" s="459"/>
      <c r="BJ102" s="459"/>
      <c r="BK102" s="459"/>
      <c r="BL102" s="459"/>
      <c r="BM102" s="459"/>
      <c r="BN102" s="459"/>
      <c r="BO102" s="459"/>
      <c r="BP102" s="459"/>
      <c r="BQ102" s="176"/>
      <c r="BR102" s="459"/>
      <c r="BS102" s="465"/>
      <c r="BT102" s="463"/>
      <c r="BU102" s="459"/>
      <c r="BV102" s="459"/>
      <c r="BW102" s="459"/>
      <c r="BX102" s="459"/>
      <c r="BY102" s="459"/>
      <c r="BZ102" s="459"/>
      <c r="CA102" s="459"/>
      <c r="CB102" s="459"/>
      <c r="CC102" s="459"/>
      <c r="CD102" s="459"/>
      <c r="CE102" s="459"/>
      <c r="CF102" s="459"/>
      <c r="CG102" s="459"/>
      <c r="CH102" s="459"/>
      <c r="CI102" s="459"/>
      <c r="CJ102" s="459"/>
      <c r="CK102" s="459"/>
      <c r="CL102" s="459"/>
      <c r="CM102" s="459"/>
      <c r="CN102" s="459"/>
      <c r="CO102" s="459"/>
      <c r="CP102" s="459"/>
      <c r="CQ102" s="459"/>
      <c r="CR102" s="459"/>
      <c r="CS102" s="459"/>
      <c r="CT102" s="459"/>
      <c r="CU102" s="459"/>
      <c r="CV102" s="459"/>
      <c r="CW102" s="459"/>
      <c r="CX102" s="459"/>
      <c r="DB102" s="459"/>
      <c r="DC102" s="459"/>
      <c r="DD102" s="459"/>
      <c r="DE102" s="459"/>
      <c r="DF102" s="459"/>
      <c r="DG102" s="459"/>
      <c r="DH102" s="459"/>
      <c r="DI102" s="459"/>
      <c r="DJ102" s="459"/>
      <c r="DK102" s="459"/>
      <c r="DL102" s="459"/>
      <c r="DM102" s="459"/>
      <c r="DN102" s="459"/>
      <c r="DO102" s="459"/>
      <c r="DP102" s="459"/>
      <c r="DQ102" s="459"/>
      <c r="DR102" s="459"/>
      <c r="DS102" s="459"/>
      <c r="DT102" s="463"/>
      <c r="DU102" s="463"/>
      <c r="DV102" s="459"/>
      <c r="DW102" s="459"/>
      <c r="DX102" s="459"/>
      <c r="DY102" s="459"/>
      <c r="DZ102" s="459"/>
      <c r="EA102" s="459"/>
      <c r="EB102" s="459"/>
      <c r="EC102" s="459"/>
      <c r="ED102" s="459"/>
      <c r="EE102" s="459"/>
      <c r="EF102" s="459"/>
      <c r="EJ102" s="459"/>
      <c r="EK102" s="459"/>
      <c r="EL102" s="459"/>
      <c r="EM102" s="459"/>
      <c r="EN102" s="459"/>
      <c r="EO102" s="459"/>
      <c r="EP102" s="459"/>
      <c r="EQ102" s="459"/>
      <c r="ER102" s="459"/>
      <c r="ES102" s="459"/>
      <c r="ET102" s="459"/>
      <c r="EU102" s="459"/>
      <c r="EV102" s="459"/>
      <c r="EW102" s="459"/>
      <c r="EX102" s="459"/>
      <c r="EY102" s="459"/>
      <c r="EZ102" s="459"/>
      <c r="FA102" s="459"/>
      <c r="FB102" s="459"/>
      <c r="FC102" s="459"/>
      <c r="FD102" s="459"/>
      <c r="FE102" s="459"/>
      <c r="FF102" s="459"/>
      <c r="FG102" s="459"/>
      <c r="FH102" s="459"/>
      <c r="FI102" s="459"/>
      <c r="FJ102" s="459"/>
      <c r="FK102" s="459"/>
      <c r="FL102" s="459"/>
      <c r="FM102" s="459"/>
      <c r="FN102" s="459"/>
      <c r="FO102" s="459"/>
      <c r="FP102" s="459"/>
      <c r="FQ102" s="459"/>
      <c r="FR102" s="459"/>
      <c r="FS102" s="459"/>
      <c r="FT102" s="459"/>
      <c r="FU102" s="459"/>
      <c r="FV102" s="459"/>
      <c r="FW102" s="459"/>
      <c r="FX102" s="459"/>
      <c r="FY102" s="176"/>
      <c r="FZ102" s="459"/>
      <c r="GA102" s="463"/>
      <c r="GB102" s="463"/>
      <c r="GC102" s="459"/>
      <c r="GD102" s="459"/>
      <c r="GE102" s="459"/>
      <c r="GF102" s="459"/>
      <c r="GG102" s="459"/>
      <c r="GH102" s="459"/>
      <c r="GI102" s="459"/>
      <c r="GJ102" s="459"/>
      <c r="GK102" s="459"/>
      <c r="GL102" s="459"/>
      <c r="GM102" s="459"/>
      <c r="GN102" s="459"/>
      <c r="GO102" s="459"/>
      <c r="GP102" s="459"/>
      <c r="HE102" s="22"/>
    </row>
    <row r="103" spans="1:213" ht="15.9" customHeight="1" thickBot="1" x14ac:dyDescent="0.35">
      <c r="A103" s="114"/>
      <c r="B103" s="114"/>
      <c r="C103" s="114"/>
      <c r="D103" s="509"/>
      <c r="E103" s="114"/>
      <c r="F103" s="114"/>
      <c r="G103" s="114"/>
      <c r="H103" s="415" t="s">
        <v>67</v>
      </c>
      <c r="I103" s="416" t="s">
        <v>66</v>
      </c>
      <c r="J103" s="18"/>
      <c r="K103" s="176"/>
      <c r="L103" s="458"/>
      <c r="M103" s="176"/>
      <c r="N103" s="176"/>
      <c r="O103" s="458"/>
      <c r="P103" s="458"/>
      <c r="Q103" s="458"/>
      <c r="R103" s="458"/>
      <c r="S103" s="458"/>
      <c r="T103" s="458"/>
      <c r="U103" s="458"/>
      <c r="V103" s="458"/>
      <c r="W103" s="458"/>
      <c r="X103" s="458"/>
      <c r="Y103" s="458"/>
      <c r="Z103" s="176"/>
      <c r="AA103" s="176"/>
      <c r="AB103" s="176"/>
      <c r="AC103" s="458"/>
      <c r="AD103" s="458"/>
      <c r="AE103" s="458"/>
      <c r="AF103" s="458"/>
      <c r="AG103" s="458"/>
      <c r="AH103" s="176"/>
      <c r="AI103" s="176"/>
      <c r="AJ103" s="458"/>
      <c r="AK103" s="458"/>
      <c r="AL103" s="458"/>
      <c r="AM103" s="176"/>
      <c r="AN103" s="458"/>
      <c r="AO103" s="458"/>
      <c r="AP103" s="458"/>
      <c r="AQ103" s="458"/>
      <c r="AR103" s="458"/>
      <c r="AS103" s="458"/>
      <c r="AT103" s="458"/>
      <c r="AU103" s="458"/>
      <c r="AV103" s="458"/>
      <c r="AW103" s="458"/>
      <c r="AX103" s="458"/>
      <c r="AY103" s="458"/>
      <c r="AZ103" s="458"/>
      <c r="BA103" s="458"/>
      <c r="BB103" s="458"/>
      <c r="BC103" s="458"/>
      <c r="BD103" s="458"/>
      <c r="BE103" s="458"/>
      <c r="BF103" s="458"/>
      <c r="BG103" s="176"/>
      <c r="BH103" s="176"/>
      <c r="BI103" s="176"/>
      <c r="BJ103" s="176"/>
      <c r="BK103" s="176"/>
      <c r="BL103" s="176"/>
      <c r="BM103" s="176"/>
      <c r="BN103" s="458"/>
      <c r="BO103" s="458"/>
      <c r="BP103" s="458"/>
      <c r="BQ103" s="176"/>
      <c r="BR103" s="458"/>
      <c r="BS103" s="465"/>
      <c r="BT103" s="463"/>
      <c r="BU103" s="458"/>
      <c r="BV103" s="176"/>
      <c r="BW103" s="458"/>
      <c r="BX103" s="458"/>
      <c r="BY103" s="458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458"/>
      <c r="CU103" s="458"/>
      <c r="CV103" s="458"/>
      <c r="CW103" s="458"/>
      <c r="CX103" s="176"/>
      <c r="CY103" s="176"/>
      <c r="CZ103" s="176"/>
      <c r="DA103" s="176"/>
      <c r="DB103" s="176"/>
      <c r="DC103" s="176"/>
      <c r="DD103" s="458"/>
      <c r="DE103" s="176"/>
      <c r="DF103" s="176"/>
      <c r="DG103" s="176"/>
      <c r="DH103" s="176"/>
      <c r="DI103" s="176"/>
      <c r="DJ103" s="176"/>
      <c r="DK103" s="176"/>
      <c r="DL103" s="176"/>
      <c r="DM103" s="176"/>
      <c r="DN103" s="176"/>
      <c r="DO103" s="176"/>
      <c r="DP103" s="176"/>
      <c r="DQ103" s="176"/>
      <c r="DR103" s="176"/>
      <c r="DS103" s="176"/>
      <c r="DT103" s="463"/>
      <c r="DU103" s="463"/>
      <c r="DV103" s="176"/>
      <c r="DW103" s="176"/>
      <c r="DX103" s="176"/>
      <c r="DY103" s="176"/>
      <c r="DZ103" s="176"/>
      <c r="EA103" s="176"/>
      <c r="EB103" s="458"/>
      <c r="EC103" s="458"/>
      <c r="ED103" s="176"/>
      <c r="EE103" s="176"/>
      <c r="EF103" s="176"/>
      <c r="EG103" s="176"/>
      <c r="EH103" s="176"/>
      <c r="EI103" s="176"/>
      <c r="EJ103" s="176"/>
      <c r="EK103" s="176"/>
      <c r="EL103" s="176"/>
      <c r="EM103" s="176"/>
      <c r="EN103" s="176"/>
      <c r="EO103" s="176"/>
      <c r="EP103" s="176"/>
      <c r="EQ103" s="176"/>
      <c r="ER103" s="176"/>
      <c r="ES103" s="176"/>
      <c r="ET103" s="176"/>
      <c r="EU103" s="176"/>
      <c r="EV103" s="176"/>
      <c r="EW103" s="458"/>
      <c r="EX103" s="458"/>
      <c r="EY103" s="458"/>
      <c r="EZ103" s="176"/>
      <c r="FA103" s="176"/>
      <c r="FB103" s="176"/>
      <c r="FC103" s="176"/>
      <c r="FD103" s="176"/>
      <c r="FE103" s="176"/>
      <c r="FF103" s="176"/>
      <c r="FG103" s="176"/>
      <c r="FH103" s="176"/>
      <c r="FI103" s="176"/>
      <c r="FJ103" s="176"/>
      <c r="FK103" s="176"/>
      <c r="FL103" s="176"/>
      <c r="FM103" s="176"/>
      <c r="FN103" s="458"/>
      <c r="FO103" s="176"/>
      <c r="FP103" s="176"/>
      <c r="FQ103" s="176"/>
      <c r="FR103" s="458"/>
      <c r="FS103" s="458"/>
      <c r="FT103" s="176"/>
      <c r="FU103" s="458"/>
      <c r="FV103" s="176"/>
      <c r="FW103" s="458"/>
      <c r="FX103" s="458"/>
      <c r="FY103" s="458"/>
      <c r="FZ103" s="458"/>
      <c r="GA103" s="463"/>
      <c r="GB103" s="463"/>
      <c r="GC103" s="176"/>
      <c r="GD103" s="458"/>
      <c r="GE103" s="458"/>
      <c r="GF103" s="458"/>
      <c r="GG103" s="176"/>
      <c r="GH103" s="458"/>
      <c r="GI103" s="458"/>
      <c r="GJ103" s="458"/>
      <c r="GK103" s="458"/>
      <c r="GL103" s="176"/>
      <c r="GM103" s="176"/>
      <c r="GN103" s="176"/>
      <c r="GO103" s="176"/>
      <c r="GP103" s="176"/>
      <c r="GQ103" s="176"/>
      <c r="GR103" s="176"/>
      <c r="GS103" s="176"/>
      <c r="GT103" s="176"/>
      <c r="GU103" s="176"/>
      <c r="GV103" s="315"/>
      <c r="GW103" s="119"/>
      <c r="GX103" s="114"/>
      <c r="GY103" s="220"/>
      <c r="GZ103" s="114"/>
      <c r="HA103" s="120"/>
      <c r="HB103" s="120"/>
      <c r="HC103" s="233"/>
      <c r="HD103" s="22"/>
      <c r="HE103" s="22"/>
    </row>
    <row r="104" spans="1:213" ht="74.25" customHeight="1" thickBot="1" x14ac:dyDescent="0.35">
      <c r="A104" s="1313" t="s">
        <v>65</v>
      </c>
      <c r="B104" s="1314"/>
      <c r="C104" s="568" t="str">
        <f>C6</f>
        <v>среднемесячный расход  за предыдущий квартал</v>
      </c>
      <c r="D104" s="764" t="str">
        <f>D6</f>
        <v>июль</v>
      </c>
      <c r="E104" s="566" t="str">
        <f>E6</f>
        <v>август</v>
      </c>
      <c r="F104" s="567" t="str">
        <f>F6</f>
        <v>сентябрь</v>
      </c>
      <c r="G104" s="651" t="str">
        <f>G5</f>
        <v>СРЕДНЕМЕСЯЧНЫЙ РАСХОД   за текущий квартал</v>
      </c>
      <c r="H104" s="1383" t="s">
        <v>249</v>
      </c>
      <c r="I104" s="1384"/>
      <c r="J104" s="67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122"/>
      <c r="AA104" s="265"/>
      <c r="AB104" s="122"/>
      <c r="AC104" s="265"/>
      <c r="AD104" s="265"/>
      <c r="AE104" s="265"/>
      <c r="AF104" s="265"/>
      <c r="AG104" s="265"/>
      <c r="AH104" s="122"/>
      <c r="AI104" s="265"/>
      <c r="AJ104" s="265"/>
      <c r="AK104" s="265"/>
      <c r="AL104" s="265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65"/>
      <c r="AY104" s="265"/>
      <c r="AZ104" s="265"/>
      <c r="BA104" s="265"/>
      <c r="BB104" s="265"/>
      <c r="BC104" s="265"/>
      <c r="BD104" s="265"/>
      <c r="BE104" s="265"/>
      <c r="BF104" s="265"/>
      <c r="BG104" s="265"/>
      <c r="BH104" s="265"/>
      <c r="BI104" s="265"/>
      <c r="BJ104" s="265"/>
      <c r="BK104" s="265"/>
      <c r="BL104" s="265"/>
      <c r="BM104" s="265"/>
      <c r="BN104" s="265"/>
      <c r="BO104" s="265"/>
      <c r="BP104" s="265"/>
      <c r="BQ104" s="265"/>
      <c r="BR104" s="265"/>
      <c r="BS104" s="670"/>
      <c r="BT104" s="67"/>
      <c r="BU104" s="265"/>
      <c r="BV104" s="265"/>
      <c r="BW104" s="265"/>
      <c r="BX104" s="265"/>
      <c r="BY104" s="265"/>
      <c r="BZ104" s="265"/>
      <c r="CA104" s="265"/>
      <c r="CB104" s="265"/>
      <c r="CC104" s="265"/>
      <c r="CD104" s="265"/>
      <c r="CE104" s="265"/>
      <c r="CF104" s="265"/>
      <c r="CG104" s="265"/>
      <c r="CH104" s="265"/>
      <c r="CI104" s="265"/>
      <c r="CJ104" s="265"/>
      <c r="CK104" s="265"/>
      <c r="CL104" s="265"/>
      <c r="CM104" s="265"/>
      <c r="CN104" s="265"/>
      <c r="CO104" s="265"/>
      <c r="CP104" s="265"/>
      <c r="CQ104" s="265"/>
      <c r="CR104" s="265"/>
      <c r="CS104" s="265"/>
      <c r="CT104" s="265"/>
      <c r="CU104" s="265"/>
      <c r="CV104" s="265"/>
      <c r="CW104" s="265"/>
      <c r="CX104" s="265"/>
      <c r="CY104" s="122"/>
      <c r="CZ104" s="122"/>
      <c r="DA104" s="122"/>
      <c r="DB104" s="265"/>
      <c r="DC104" s="265"/>
      <c r="DD104" s="265"/>
      <c r="DE104" s="265"/>
      <c r="DF104" s="265"/>
      <c r="DG104" s="265"/>
      <c r="DH104" s="265"/>
      <c r="DI104" s="265"/>
      <c r="DJ104" s="265"/>
      <c r="DK104" s="265"/>
      <c r="DL104" s="265"/>
      <c r="DM104" s="265"/>
      <c r="DN104" s="265"/>
      <c r="DO104" s="265"/>
      <c r="DP104" s="265"/>
      <c r="DQ104" s="265"/>
      <c r="DR104" s="265"/>
      <c r="DS104" s="265"/>
      <c r="DT104" s="251"/>
      <c r="DU104" s="67"/>
      <c r="DV104" s="265"/>
      <c r="DW104" s="265"/>
      <c r="DX104" s="265"/>
      <c r="DY104" s="265"/>
      <c r="DZ104" s="265"/>
      <c r="EA104" s="265"/>
      <c r="EB104" s="265"/>
      <c r="EC104" s="265"/>
      <c r="ED104" s="265"/>
      <c r="EE104" s="265"/>
      <c r="EF104" s="265"/>
      <c r="EG104" s="122"/>
      <c r="EH104" s="122"/>
      <c r="EI104" s="122"/>
      <c r="EJ104" s="265"/>
      <c r="EK104" s="265"/>
      <c r="EL104" s="265"/>
      <c r="EM104" s="265"/>
      <c r="EN104" s="265"/>
      <c r="EO104" s="265"/>
      <c r="EP104" s="265"/>
      <c r="EQ104" s="265"/>
      <c r="ER104" s="265"/>
      <c r="ES104" s="265"/>
      <c r="ET104" s="265"/>
      <c r="EU104" s="265"/>
      <c r="EV104" s="265"/>
      <c r="EW104" s="265"/>
      <c r="EX104" s="265"/>
      <c r="EY104" s="265"/>
      <c r="EZ104" s="265"/>
      <c r="FA104" s="265"/>
      <c r="FB104" s="265"/>
      <c r="FC104" s="265"/>
      <c r="FD104" s="265"/>
      <c r="FE104" s="265"/>
      <c r="FF104" s="265"/>
      <c r="FG104" s="265"/>
      <c r="FH104" s="265"/>
      <c r="FI104" s="265"/>
      <c r="FJ104" s="265"/>
      <c r="FK104" s="265"/>
      <c r="FL104" s="265"/>
      <c r="FM104" s="265"/>
      <c r="FN104" s="265"/>
      <c r="FO104" s="265"/>
      <c r="FP104" s="265"/>
      <c r="FQ104" s="265"/>
      <c r="FR104" s="265"/>
      <c r="FS104" s="265"/>
      <c r="FT104" s="265"/>
      <c r="FU104" s="265"/>
      <c r="FV104" s="265"/>
      <c r="FW104" s="265"/>
      <c r="FX104" s="265"/>
      <c r="FY104" s="265"/>
      <c r="FZ104" s="265"/>
      <c r="GA104" s="251"/>
      <c r="GB104" s="425"/>
      <c r="GC104" s="265"/>
      <c r="GD104" s="265"/>
      <c r="GE104" s="265"/>
      <c r="GF104" s="265"/>
      <c r="GG104" s="265"/>
      <c r="GH104" s="265"/>
      <c r="GI104" s="265"/>
      <c r="GJ104" s="265"/>
      <c r="GK104" s="265"/>
      <c r="GL104" s="265"/>
      <c r="GM104" s="265"/>
      <c r="GN104" s="265"/>
      <c r="GO104" s="265"/>
      <c r="GP104" s="265"/>
      <c r="GQ104" s="265"/>
      <c r="GR104" s="152"/>
      <c r="GS104" s="122"/>
      <c r="GT104" s="122"/>
      <c r="GU104" s="261"/>
      <c r="GV104" s="495"/>
      <c r="GW104" s="222" t="s">
        <v>44</v>
      </c>
      <c r="GX104" s="223" t="s">
        <v>68</v>
      </c>
      <c r="GY104" s="442" t="s">
        <v>82</v>
      </c>
      <c r="GZ104" s="612" t="str">
        <f>GZ5</f>
        <v>среднемесячный расход  за предыдущий квартал</v>
      </c>
      <c r="HA104" s="395" t="s">
        <v>89</v>
      </c>
      <c r="HB104" s="289"/>
      <c r="HC104" s="390" t="s">
        <v>145</v>
      </c>
      <c r="HD104" s="22"/>
      <c r="HE104" s="22"/>
    </row>
    <row r="105" spans="1:213" ht="30" customHeight="1" x14ac:dyDescent="0.3">
      <c r="A105" s="405" t="s">
        <v>214</v>
      </c>
      <c r="B105" s="682" t="s">
        <v>71</v>
      </c>
      <c r="C105" s="681">
        <f>'2_квартал'!G89</f>
        <v>302</v>
      </c>
      <c r="D105" s="617">
        <v>200</v>
      </c>
      <c r="E105" s="295">
        <v>472</v>
      </c>
      <c r="F105" s="599">
        <v>352</v>
      </c>
      <c r="G105" s="601">
        <f>ROUND(AVERAGE(D105:F105),3)</f>
        <v>341.33300000000003</v>
      </c>
      <c r="H105" s="653" t="s">
        <v>250</v>
      </c>
      <c r="I105" s="657" t="s">
        <v>324</v>
      </c>
      <c r="J105" s="37"/>
      <c r="K105" s="381"/>
      <c r="L105" s="381"/>
      <c r="M105" s="381">
        <f>M8/0.025</f>
        <v>95.999999999999986</v>
      </c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68"/>
      <c r="Z105" s="68"/>
      <c r="AA105" s="181"/>
      <c r="AB105" s="269"/>
      <c r="AC105" s="381"/>
      <c r="AD105" s="381"/>
      <c r="AE105" s="381"/>
      <c r="AF105" s="381">
        <f>AF8/0.025</f>
        <v>27.999999999999996</v>
      </c>
      <c r="AG105" s="68"/>
      <c r="AH105" s="269"/>
      <c r="AI105" s="68"/>
      <c r="AJ105" s="381"/>
      <c r="AK105" s="381"/>
      <c r="AL105" s="381"/>
      <c r="AM105" s="381"/>
      <c r="AN105" s="381"/>
      <c r="AO105" s="381"/>
      <c r="AP105" s="381"/>
      <c r="AQ105" s="381"/>
      <c r="AR105" s="381"/>
      <c r="AS105" s="381"/>
      <c r="AT105" s="381"/>
      <c r="AU105" s="381"/>
      <c r="AV105" s="381"/>
      <c r="AW105" s="381"/>
      <c r="AX105" s="381"/>
      <c r="AY105" s="381"/>
      <c r="AZ105" s="381">
        <f>AZ8/0.025</f>
        <v>60</v>
      </c>
      <c r="BA105" s="381"/>
      <c r="BB105" s="381"/>
      <c r="BC105" s="381"/>
      <c r="BD105" s="381"/>
      <c r="BE105" s="381"/>
      <c r="BF105" s="381"/>
      <c r="BG105" s="381">
        <f>BG8/0.025</f>
        <v>16</v>
      </c>
      <c r="BH105" s="381"/>
      <c r="BI105" s="381"/>
      <c r="BJ105" s="381"/>
      <c r="BK105" s="381"/>
      <c r="BL105" s="381"/>
      <c r="BM105" s="381"/>
      <c r="BN105" s="381"/>
      <c r="BO105" s="381"/>
      <c r="BP105" s="381"/>
      <c r="BQ105" s="381"/>
      <c r="BR105" s="381"/>
      <c r="BS105" s="251">
        <f>SUM(K105:BR105)</f>
        <v>200</v>
      </c>
      <c r="BT105" s="297"/>
      <c r="BU105" s="381">
        <f>BU8/0.025</f>
        <v>80</v>
      </c>
      <c r="BV105" s="381"/>
      <c r="BW105" s="381"/>
      <c r="BX105" s="381">
        <f>BX8/0.025</f>
        <v>60</v>
      </c>
      <c r="BY105" s="381"/>
      <c r="BZ105" s="381"/>
      <c r="CA105" s="381">
        <f>CA8/0.025</f>
        <v>27.999999999999996</v>
      </c>
      <c r="CB105" s="381"/>
      <c r="CC105" s="381"/>
      <c r="CD105" s="381"/>
      <c r="CE105" s="381"/>
      <c r="CF105" s="381"/>
      <c r="CG105" s="381">
        <f>CG8/0.025</f>
        <v>60</v>
      </c>
      <c r="CH105" s="381"/>
      <c r="CI105" s="381"/>
      <c r="CJ105" s="381"/>
      <c r="CK105" s="381"/>
      <c r="CL105" s="381">
        <f>CL8/0.025</f>
        <v>120</v>
      </c>
      <c r="CM105" s="381"/>
      <c r="CN105" s="381"/>
      <c r="CO105" s="381"/>
      <c r="CP105" s="381"/>
      <c r="CQ105" s="381"/>
      <c r="CR105" s="381"/>
      <c r="CS105" s="381"/>
      <c r="CT105" s="381">
        <f>CT8/0.025</f>
        <v>60</v>
      </c>
      <c r="CU105" s="381"/>
      <c r="CV105" s="381"/>
      <c r="CW105" s="381"/>
      <c r="CX105" s="381"/>
      <c r="CY105" s="269"/>
      <c r="CZ105" s="266"/>
      <c r="DA105" s="266"/>
      <c r="DB105" s="381"/>
      <c r="DC105" s="381"/>
      <c r="DD105" s="381"/>
      <c r="DE105" s="381"/>
      <c r="DF105" s="381"/>
      <c r="DG105" s="381"/>
      <c r="DH105" s="381">
        <f>DH8/0.025</f>
        <v>47.999999999999993</v>
      </c>
      <c r="DI105" s="381"/>
      <c r="DJ105" s="381"/>
      <c r="DK105" s="381"/>
      <c r="DL105" s="381"/>
      <c r="DM105" s="381"/>
      <c r="DN105" s="381"/>
      <c r="DO105" s="381">
        <f>DO8/0.025</f>
        <v>16</v>
      </c>
      <c r="DP105" s="381"/>
      <c r="DQ105" s="381"/>
      <c r="DR105" s="381"/>
      <c r="DS105" s="381"/>
      <c r="DT105" s="185">
        <f>SUM(BU105:DS105)</f>
        <v>472</v>
      </c>
      <c r="DU105" s="37"/>
      <c r="DV105" s="381"/>
      <c r="DW105" s="381">
        <f>DW8/0.025</f>
        <v>80</v>
      </c>
      <c r="DX105" s="381"/>
      <c r="DY105" s="381"/>
      <c r="DZ105" s="381"/>
      <c r="EA105" s="381"/>
      <c r="EB105" s="381"/>
      <c r="EC105" s="381"/>
      <c r="ED105" s="381"/>
      <c r="EE105" s="381"/>
      <c r="EF105" s="381"/>
      <c r="EG105" s="68"/>
      <c r="EH105" s="269"/>
      <c r="EI105" s="269"/>
      <c r="EJ105" s="381">
        <f>EJ8/0.025</f>
        <v>16</v>
      </c>
      <c r="EK105" s="381"/>
      <c r="EL105" s="381"/>
      <c r="EM105" s="381"/>
      <c r="EN105" s="381"/>
      <c r="EO105" s="381"/>
      <c r="EP105" s="381"/>
      <c r="EQ105" s="381"/>
      <c r="ER105" s="381"/>
      <c r="ES105" s="381"/>
      <c r="ET105" s="381"/>
      <c r="EU105" s="381"/>
      <c r="EV105" s="381"/>
      <c r="EW105" s="381"/>
      <c r="EX105" s="381"/>
      <c r="EY105" s="381"/>
      <c r="EZ105" s="381"/>
      <c r="FA105" s="381"/>
      <c r="FB105" s="381"/>
      <c r="FC105" s="381"/>
      <c r="FD105" s="381"/>
      <c r="FE105" s="381">
        <f>FE8/0.025</f>
        <v>120</v>
      </c>
      <c r="FF105" s="381"/>
      <c r="FG105" s="381"/>
      <c r="FH105" s="381"/>
      <c r="FI105" s="381"/>
      <c r="FJ105" s="381"/>
      <c r="FK105" s="381"/>
      <c r="FL105" s="381"/>
      <c r="FM105" s="381"/>
      <c r="FN105" s="381"/>
      <c r="FO105" s="381">
        <f>FO8/0.025</f>
        <v>16</v>
      </c>
      <c r="FP105" s="381"/>
      <c r="FQ105" s="381"/>
      <c r="FR105" s="381"/>
      <c r="FS105" s="381"/>
      <c r="FT105" s="381"/>
      <c r="FU105" s="381">
        <f>FU8/0.025</f>
        <v>120</v>
      </c>
      <c r="FV105" s="381"/>
      <c r="FW105" s="381"/>
      <c r="FX105" s="381"/>
      <c r="FY105" s="381"/>
      <c r="FZ105" s="381"/>
      <c r="GA105" s="158">
        <f>SUM(DV105:FZ105)</f>
        <v>352</v>
      </c>
      <c r="GB105" s="428"/>
      <c r="GC105" s="68"/>
      <c r="GD105" s="381"/>
      <c r="GE105" s="381"/>
      <c r="GF105" s="381"/>
      <c r="GG105" s="381"/>
      <c r="GH105" s="381"/>
      <c r="GI105" s="381"/>
      <c r="GJ105" s="381"/>
      <c r="GK105" s="381"/>
      <c r="GL105" s="381"/>
      <c r="GM105" s="381"/>
      <c r="GN105" s="381"/>
      <c r="GO105" s="381"/>
      <c r="GP105" s="381"/>
      <c r="GQ105" s="381"/>
      <c r="GR105" s="709"/>
      <c r="GS105" s="269"/>
      <c r="GT105" s="181"/>
      <c r="GU105" s="715"/>
      <c r="GV105" s="710"/>
      <c r="GW105" s="221">
        <f>SUM(GB105:GV105)</f>
        <v>0</v>
      </c>
      <c r="GX105" s="163">
        <f>5546-DT105-GW105</f>
        <v>5074</v>
      </c>
      <c r="GY105" s="610" t="str">
        <f>H105</f>
        <v>5000 / 5000</v>
      </c>
      <c r="GZ105" s="603">
        <f>'1_квартал'!G86</f>
        <v>476</v>
      </c>
      <c r="HA105" s="317">
        <f>D105</f>
        <v>200</v>
      </c>
      <c r="HB105" s="562"/>
      <c r="HC105" s="520" t="e">
        <f>'1_квартал'!GV86+'2_квартал'!#REF!+SUM(D105:F105)</f>
        <v>#REF!</v>
      </c>
      <c r="HD105" s="22"/>
      <c r="HE105" s="22"/>
    </row>
    <row r="106" spans="1:213" ht="30" customHeight="1" x14ac:dyDescent="0.3">
      <c r="A106" s="73" t="s">
        <v>215</v>
      </c>
      <c r="B106" s="209" t="s">
        <v>72</v>
      </c>
      <c r="C106" s="685">
        <f>'2_квартал'!G90</f>
        <v>340</v>
      </c>
      <c r="D106" s="123">
        <v>260</v>
      </c>
      <c r="E106" s="241">
        <v>840</v>
      </c>
      <c r="F106" s="311">
        <v>616</v>
      </c>
      <c r="G106" s="600">
        <f t="shared" ref="G106:G107" si="58">ROUND(AVERAGE(D106:F106),3)</f>
        <v>572</v>
      </c>
      <c r="H106" s="654" t="s">
        <v>251</v>
      </c>
      <c r="I106" s="412" t="s">
        <v>325</v>
      </c>
      <c r="J106" s="37"/>
      <c r="K106" s="379"/>
      <c r="L106" s="379"/>
      <c r="M106" s="379"/>
      <c r="N106" s="379"/>
      <c r="O106" s="379"/>
      <c r="P106" s="379">
        <f>P8/0.025</f>
        <v>40</v>
      </c>
      <c r="Q106" s="379"/>
      <c r="R106" s="379"/>
      <c r="S106" s="379"/>
      <c r="T106" s="379">
        <f>T8/0.025</f>
        <v>11.999999999999998</v>
      </c>
      <c r="U106" s="379"/>
      <c r="V106" s="379"/>
      <c r="W106" s="379"/>
      <c r="X106" s="379"/>
      <c r="Y106" s="499"/>
      <c r="Z106" s="29"/>
      <c r="AA106" s="267"/>
      <c r="AB106" s="180"/>
      <c r="AC106" s="379"/>
      <c r="AD106" s="379"/>
      <c r="AE106" s="379">
        <f>AE8/0.025</f>
        <v>23.999999999999996</v>
      </c>
      <c r="AF106" s="379"/>
      <c r="AG106" s="499"/>
      <c r="AH106" s="29">
        <f>AH8/0.025</f>
        <v>40</v>
      </c>
      <c r="AI106" s="29"/>
      <c r="AJ106" s="379"/>
      <c r="AK106" s="379"/>
      <c r="AL106" s="379"/>
      <c r="AM106" s="379"/>
      <c r="AN106" s="379"/>
      <c r="AO106" s="379"/>
      <c r="AP106" s="379"/>
      <c r="AQ106" s="379"/>
      <c r="AR106" s="379"/>
      <c r="AS106" s="379"/>
      <c r="AT106" s="379"/>
      <c r="AU106" s="379"/>
      <c r="AV106" s="379"/>
      <c r="AW106" s="379"/>
      <c r="AX106" s="379">
        <f>AX8/0.025</f>
        <v>40</v>
      </c>
      <c r="AY106" s="379"/>
      <c r="AZ106" s="379"/>
      <c r="BA106" s="379"/>
      <c r="BB106" s="379"/>
      <c r="BC106" s="379"/>
      <c r="BD106" s="379"/>
      <c r="BE106" s="379"/>
      <c r="BF106" s="379"/>
      <c r="BG106" s="379"/>
      <c r="BH106" s="379">
        <f>BH8/0.025</f>
        <v>23.999999999999996</v>
      </c>
      <c r="BI106" s="379"/>
      <c r="BJ106" s="379">
        <f>BJ8/0.025</f>
        <v>80</v>
      </c>
      <c r="BK106" s="379"/>
      <c r="BL106" s="379"/>
      <c r="BM106" s="379"/>
      <c r="BN106" s="379"/>
      <c r="BO106" s="379"/>
      <c r="BP106" s="379"/>
      <c r="BQ106" s="379"/>
      <c r="BR106" s="379"/>
      <c r="BS106" s="185">
        <f>SUM(K106:BR106)</f>
        <v>260</v>
      </c>
      <c r="BT106" s="297"/>
      <c r="BU106" s="379"/>
      <c r="BV106" s="379">
        <f>BV8/0.025</f>
        <v>160</v>
      </c>
      <c r="BW106" s="379"/>
      <c r="BX106" s="379"/>
      <c r="BY106" s="379">
        <f>BY8/0.025</f>
        <v>80</v>
      </c>
      <c r="BZ106" s="379"/>
      <c r="CA106" s="379"/>
      <c r="CB106" s="379"/>
      <c r="CC106" s="379">
        <f>CC8/0.025</f>
        <v>47.999999999999993</v>
      </c>
      <c r="CD106" s="379"/>
      <c r="CE106" s="379">
        <f>CE8/0.025</f>
        <v>23.999999999999996</v>
      </c>
      <c r="CF106" s="379"/>
      <c r="CG106" s="379"/>
      <c r="CH106" s="379">
        <f>CH8/0.025</f>
        <v>16</v>
      </c>
      <c r="CI106" s="379"/>
      <c r="CJ106" s="379"/>
      <c r="CK106" s="379">
        <f>CK8/0.025</f>
        <v>80</v>
      </c>
      <c r="CL106" s="379"/>
      <c r="CM106" s="379">
        <f>CM8/0.025</f>
        <v>20</v>
      </c>
      <c r="CN106" s="379">
        <f>CN8/0.025</f>
        <v>40</v>
      </c>
      <c r="CO106" s="379"/>
      <c r="CP106" s="379"/>
      <c r="CQ106" s="379"/>
      <c r="CR106" s="379"/>
      <c r="CS106" s="379"/>
      <c r="CT106" s="379"/>
      <c r="CU106" s="379"/>
      <c r="CV106" s="379">
        <f>CV8/0.025</f>
        <v>80</v>
      </c>
      <c r="CW106" s="379"/>
      <c r="CX106" s="379"/>
      <c r="CY106" s="29"/>
      <c r="CZ106" s="379">
        <f>CZ8/0.025</f>
        <v>40</v>
      </c>
      <c r="DA106" s="74"/>
      <c r="DB106" s="379"/>
      <c r="DC106" s="379">
        <f>DC8/0.025</f>
        <v>11.999999999999998</v>
      </c>
      <c r="DD106" s="379"/>
      <c r="DE106" s="379"/>
      <c r="DF106" s="379"/>
      <c r="DG106" s="379">
        <f>DG8/0.025</f>
        <v>156</v>
      </c>
      <c r="DH106" s="379"/>
      <c r="DI106" s="379"/>
      <c r="DJ106" s="379"/>
      <c r="DK106" s="379"/>
      <c r="DL106" s="379"/>
      <c r="DM106" s="379">
        <f>DM8/0.025</f>
        <v>60</v>
      </c>
      <c r="DN106" s="379"/>
      <c r="DO106" s="379"/>
      <c r="DP106" s="379"/>
      <c r="DQ106" s="379">
        <f>DQ8/0.025</f>
        <v>23.999999999999996</v>
      </c>
      <c r="DR106" s="379"/>
      <c r="DS106" s="379"/>
      <c r="DT106" s="185">
        <f>SUM(BU106:DS106)</f>
        <v>840</v>
      </c>
      <c r="DU106" s="37"/>
      <c r="DV106" s="379">
        <f>DV8/0.025</f>
        <v>160</v>
      </c>
      <c r="DW106" s="379"/>
      <c r="DX106" s="379"/>
      <c r="DY106" s="379">
        <f>DY8/0.025</f>
        <v>60</v>
      </c>
      <c r="DZ106" s="379"/>
      <c r="EA106" s="379"/>
      <c r="EB106" s="379"/>
      <c r="EC106" s="379"/>
      <c r="ED106" s="379">
        <f>ED8/0.025</f>
        <v>23.999999999999996</v>
      </c>
      <c r="EE106" s="379">
        <f>EE8/0.025</f>
        <v>40</v>
      </c>
      <c r="EF106" s="379"/>
      <c r="EG106" s="25"/>
      <c r="EH106" s="29"/>
      <c r="EI106" s="29"/>
      <c r="EJ106" s="379"/>
      <c r="EK106" s="379">
        <f>EK8/0.025</f>
        <v>23.999999999999996</v>
      </c>
      <c r="EL106" s="379"/>
      <c r="EM106" s="379"/>
      <c r="EN106" s="379">
        <f>EN8/0.025</f>
        <v>80</v>
      </c>
      <c r="EO106" s="379"/>
      <c r="EP106" s="379"/>
      <c r="EQ106" s="379"/>
      <c r="ER106" s="379">
        <f>ER8/0.025</f>
        <v>100</v>
      </c>
      <c r="ES106" s="379">
        <f>ES8/0.025</f>
        <v>23.999999999999996</v>
      </c>
      <c r="ET106" s="379"/>
      <c r="EU106" s="379"/>
      <c r="EV106" s="379"/>
      <c r="EW106" s="379"/>
      <c r="EX106" s="379"/>
      <c r="EY106" s="379"/>
      <c r="EZ106" s="379"/>
      <c r="FA106" s="379">
        <f>FA8/0.025</f>
        <v>40</v>
      </c>
      <c r="FB106" s="379"/>
      <c r="FC106" s="379"/>
      <c r="FD106" s="379">
        <f>FD8/0.025</f>
        <v>40</v>
      </c>
      <c r="FE106" s="379"/>
      <c r="FF106" s="379"/>
      <c r="FG106" s="379"/>
      <c r="FH106" s="379"/>
      <c r="FI106" s="379"/>
      <c r="FJ106" s="379"/>
      <c r="FK106" s="379"/>
      <c r="FL106" s="379"/>
      <c r="FM106" s="379"/>
      <c r="FN106" s="379"/>
      <c r="FO106" s="379"/>
      <c r="FP106" s="379">
        <f>FP8/0.025</f>
        <v>23.999999999999996</v>
      </c>
      <c r="FQ106" s="379"/>
      <c r="FR106" s="379"/>
      <c r="FS106" s="379"/>
      <c r="FT106" s="379"/>
      <c r="FU106" s="379"/>
      <c r="FV106" s="379"/>
      <c r="FW106" s="379"/>
      <c r="FX106" s="379"/>
      <c r="FY106" s="379"/>
      <c r="FZ106" s="379"/>
      <c r="GA106" s="158">
        <f>SUM(DV106:FZ106)</f>
        <v>616</v>
      </c>
      <c r="GB106" s="428"/>
      <c r="GC106" s="499"/>
      <c r="GD106" s="379"/>
      <c r="GE106" s="379"/>
      <c r="GF106" s="379"/>
      <c r="GG106" s="379"/>
      <c r="GH106" s="379"/>
      <c r="GI106" s="379"/>
      <c r="GJ106" s="379"/>
      <c r="GK106" s="379"/>
      <c r="GL106" s="379"/>
      <c r="GM106" s="379"/>
      <c r="GN106" s="379"/>
      <c r="GO106" s="379"/>
      <c r="GP106" s="379"/>
      <c r="GQ106" s="246"/>
      <c r="GR106" s="123"/>
      <c r="GS106" s="29"/>
      <c r="GT106" s="267"/>
      <c r="GU106" s="716"/>
      <c r="GV106" s="439"/>
      <c r="GW106" s="72">
        <f>SUM(GB106:GV106)</f>
        <v>0</v>
      </c>
      <c r="GX106" s="239">
        <f>7224-DT106-GW106</f>
        <v>6384</v>
      </c>
      <c r="GY106" s="611" t="str">
        <f>H106</f>
        <v>0 / 0</v>
      </c>
      <c r="GZ106" s="609">
        <f>'1_квартал'!G87</f>
        <v>785</v>
      </c>
      <c r="HA106" s="318">
        <f>D106</f>
        <v>260</v>
      </c>
      <c r="HB106" s="563"/>
      <c r="HC106" s="520" t="e">
        <f>'1_квартал'!GV87+'2_квартал'!#REF!+SUM(D106:F106)</f>
        <v>#REF!</v>
      </c>
      <c r="HD106" s="22"/>
      <c r="HE106" s="22"/>
    </row>
    <row r="107" spans="1:213" ht="30" customHeight="1" x14ac:dyDescent="0.3">
      <c r="A107" s="71" t="s">
        <v>64</v>
      </c>
      <c r="B107" s="210" t="s">
        <v>73</v>
      </c>
      <c r="C107" s="685">
        <f>'2_квартал'!G91</f>
        <v>1984</v>
      </c>
      <c r="D107" s="618">
        <v>2772</v>
      </c>
      <c r="E107" s="191">
        <v>1008</v>
      </c>
      <c r="F107" s="310">
        <v>2904</v>
      </c>
      <c r="G107" s="600">
        <f t="shared" si="58"/>
        <v>2228</v>
      </c>
      <c r="H107" s="655" t="s">
        <v>322</v>
      </c>
      <c r="I107" s="413" t="s">
        <v>326</v>
      </c>
      <c r="J107" s="37"/>
      <c r="K107" s="246"/>
      <c r="L107" s="246"/>
      <c r="M107" s="246"/>
      <c r="N107" s="246">
        <f>N8/0.025</f>
        <v>120</v>
      </c>
      <c r="O107" s="246">
        <f>O8/0.025</f>
        <v>200</v>
      </c>
      <c r="P107" s="246"/>
      <c r="Q107" s="246">
        <f>Q8/0.025</f>
        <v>280</v>
      </c>
      <c r="R107" s="246">
        <f>R8/0.025</f>
        <v>416</v>
      </c>
      <c r="S107" s="246">
        <f>S8/0.025</f>
        <v>104</v>
      </c>
      <c r="T107" s="246"/>
      <c r="U107" s="246">
        <f>U8/0.025</f>
        <v>360</v>
      </c>
      <c r="V107" s="246"/>
      <c r="W107" s="246"/>
      <c r="X107" s="246"/>
      <c r="Y107" s="255"/>
      <c r="Z107" s="29"/>
      <c r="AA107" s="75">
        <f>AA8/0.025</f>
        <v>200</v>
      </c>
      <c r="AB107" s="29"/>
      <c r="AC107" s="246"/>
      <c r="AD107" s="246"/>
      <c r="AE107" s="246"/>
      <c r="AF107" s="246"/>
      <c r="AG107" s="246">
        <f>AG8/0.025</f>
        <v>11.999999999999998</v>
      </c>
      <c r="AH107" s="29"/>
      <c r="AI107" s="29"/>
      <c r="AJ107" s="246"/>
      <c r="AK107" s="246">
        <f>AK8/0.025</f>
        <v>60</v>
      </c>
      <c r="AL107" s="246"/>
      <c r="AM107" s="246">
        <f>AM8/0.025</f>
        <v>120</v>
      </c>
      <c r="AN107" s="246"/>
      <c r="AO107" s="246">
        <f>AO8/0.025</f>
        <v>400</v>
      </c>
      <c r="AP107" s="246">
        <f>AP8/0.025</f>
        <v>200</v>
      </c>
      <c r="AQ107" s="246"/>
      <c r="AR107" s="246"/>
      <c r="AS107" s="246"/>
      <c r="AT107" s="246"/>
      <c r="AU107" s="246"/>
      <c r="AV107" s="246">
        <f>AV8/0.025</f>
        <v>80</v>
      </c>
      <c r="AW107" s="246"/>
      <c r="AX107" s="246"/>
      <c r="AY107" s="246">
        <f>AY8/0.025</f>
        <v>80</v>
      </c>
      <c r="AZ107" s="246"/>
      <c r="BA107" s="246"/>
      <c r="BB107" s="246"/>
      <c r="BC107" s="246"/>
      <c r="BD107" s="246"/>
      <c r="BE107" s="246"/>
      <c r="BF107" s="246"/>
      <c r="BG107" s="246"/>
      <c r="BH107" s="246"/>
      <c r="BI107" s="246"/>
      <c r="BJ107" s="246"/>
      <c r="BK107" s="246"/>
      <c r="BL107" s="246">
        <f>BL8/0.025</f>
        <v>140</v>
      </c>
      <c r="BM107" s="246"/>
      <c r="BN107" s="246"/>
      <c r="BO107" s="246"/>
      <c r="BP107" s="246"/>
      <c r="BQ107" s="246"/>
      <c r="BR107" s="246"/>
      <c r="BS107" s="185">
        <f>SUM(K107:BR107)</f>
        <v>2772</v>
      </c>
      <c r="BT107" s="297"/>
      <c r="BU107" s="246"/>
      <c r="BV107" s="246"/>
      <c r="BW107" s="246"/>
      <c r="BX107" s="246"/>
      <c r="BY107" s="246"/>
      <c r="BZ107" s="246">
        <f>BZ8/0.025</f>
        <v>120</v>
      </c>
      <c r="CA107" s="246"/>
      <c r="CB107" s="246"/>
      <c r="CC107" s="246"/>
      <c r="CD107" s="246"/>
      <c r="CE107" s="246"/>
      <c r="CF107" s="246"/>
      <c r="CG107" s="246"/>
      <c r="CH107" s="246"/>
      <c r="CI107" s="246"/>
      <c r="CJ107" s="246">
        <f>CJ8/0.025</f>
        <v>240</v>
      </c>
      <c r="CK107" s="246"/>
      <c r="CL107" s="246"/>
      <c r="CM107" s="246"/>
      <c r="CN107" s="246"/>
      <c r="CO107" s="246">
        <f>CO8/0.025</f>
        <v>120</v>
      </c>
      <c r="CP107" s="246">
        <f>CP8/0.025</f>
        <v>80</v>
      </c>
      <c r="CQ107" s="246"/>
      <c r="CR107" s="246"/>
      <c r="CS107" s="246">
        <f>CS8/0.025</f>
        <v>80</v>
      </c>
      <c r="CT107" s="246"/>
      <c r="CU107" s="246"/>
      <c r="CV107" s="246"/>
      <c r="CW107" s="246"/>
      <c r="CX107" s="246">
        <f>CX8/0.025</f>
        <v>168</v>
      </c>
      <c r="CY107" s="29"/>
      <c r="CZ107" s="75"/>
      <c r="DA107" s="75"/>
      <c r="DB107" s="246"/>
      <c r="DC107" s="246"/>
      <c r="DD107" s="246"/>
      <c r="DE107" s="246"/>
      <c r="DF107" s="246"/>
      <c r="DG107" s="246"/>
      <c r="DH107" s="246"/>
      <c r="DI107" s="246">
        <f>DI8/0.025</f>
        <v>200</v>
      </c>
      <c r="DJ107" s="246"/>
      <c r="DK107" s="246"/>
      <c r="DL107" s="246"/>
      <c r="DM107" s="246"/>
      <c r="DN107" s="246"/>
      <c r="DO107" s="246"/>
      <c r="DP107" s="246"/>
      <c r="DQ107" s="246"/>
      <c r="DR107" s="246"/>
      <c r="DS107" s="246"/>
      <c r="DT107" s="185">
        <f>SUM(BU107:DS107)</f>
        <v>1008</v>
      </c>
      <c r="DU107" s="37"/>
      <c r="DV107" s="246"/>
      <c r="DW107" s="246"/>
      <c r="DX107" s="246"/>
      <c r="DY107" s="246"/>
      <c r="DZ107" s="246">
        <f>DZ8/0.025</f>
        <v>120</v>
      </c>
      <c r="EA107" s="246"/>
      <c r="EB107" s="246">
        <f>EB8/0.025</f>
        <v>400</v>
      </c>
      <c r="EC107" s="246">
        <f>EC8/0.025</f>
        <v>400</v>
      </c>
      <c r="ED107" s="246"/>
      <c r="EE107" s="246"/>
      <c r="EF107" s="246"/>
      <c r="EG107" s="29"/>
      <c r="EH107" s="29">
        <f>EH8/0.025</f>
        <v>320</v>
      </c>
      <c r="EI107" s="29">
        <f>EI8/0.025</f>
        <v>160</v>
      </c>
      <c r="EJ107" s="246"/>
      <c r="EK107" s="246"/>
      <c r="EL107" s="246"/>
      <c r="EM107" s="246">
        <f>EM8/0.025</f>
        <v>40</v>
      </c>
      <c r="EN107" s="246"/>
      <c r="EO107" s="246"/>
      <c r="EP107" s="246"/>
      <c r="EQ107" s="246">
        <f>EQ8/0.025</f>
        <v>11.999999999999998</v>
      </c>
      <c r="ER107" s="246"/>
      <c r="ES107" s="246"/>
      <c r="ET107" s="246"/>
      <c r="EU107" s="246">
        <f>EU8/0.025</f>
        <v>160</v>
      </c>
      <c r="EV107" s="246">
        <f>EV8/0.025</f>
        <v>120</v>
      </c>
      <c r="EW107" s="246"/>
      <c r="EX107" s="246">
        <f>EX8/0.025</f>
        <v>80</v>
      </c>
      <c r="EY107" s="246">
        <f>EY8/0.025</f>
        <v>120</v>
      </c>
      <c r="EZ107" s="246">
        <f>EZ8/0.025</f>
        <v>200</v>
      </c>
      <c r="FA107" s="246"/>
      <c r="FB107" s="246"/>
      <c r="FC107" s="246">
        <f>FC8/0.025</f>
        <v>60</v>
      </c>
      <c r="FD107" s="246"/>
      <c r="FE107" s="246"/>
      <c r="FF107" s="246">
        <f>FF8/0.025</f>
        <v>11.999999999999998</v>
      </c>
      <c r="FG107" s="246"/>
      <c r="FH107" s="246"/>
      <c r="FI107" s="246"/>
      <c r="FJ107" s="246">
        <f>FJ8/0.025</f>
        <v>200</v>
      </c>
      <c r="FK107" s="246"/>
      <c r="FL107" s="246">
        <f>FL8/0.025</f>
        <v>84</v>
      </c>
      <c r="FM107" s="246">
        <f>FM8/0.025</f>
        <v>200</v>
      </c>
      <c r="FN107" s="246"/>
      <c r="FO107" s="246"/>
      <c r="FP107" s="246"/>
      <c r="FQ107" s="246"/>
      <c r="FR107" s="246">
        <f>FR8/0.025</f>
        <v>20</v>
      </c>
      <c r="FS107" s="246">
        <f>FS8/0.025</f>
        <v>120</v>
      </c>
      <c r="FT107" s="246">
        <f>FT8/0.025</f>
        <v>75.999999999999986</v>
      </c>
      <c r="FU107" s="246"/>
      <c r="FV107" s="246"/>
      <c r="FW107" s="246"/>
      <c r="FX107" s="246"/>
      <c r="FY107" s="246"/>
      <c r="FZ107" s="246"/>
      <c r="GA107" s="158">
        <f>SUM(DV107:FZ107)</f>
        <v>2904</v>
      </c>
      <c r="GB107" s="428"/>
      <c r="GC107" s="255"/>
      <c r="GD107" s="246"/>
      <c r="GE107" s="246"/>
      <c r="GF107" s="246"/>
      <c r="GG107" s="246"/>
      <c r="GH107" s="246"/>
      <c r="GI107" s="246"/>
      <c r="GJ107" s="246"/>
      <c r="GK107" s="246"/>
      <c r="GL107" s="246"/>
      <c r="GM107" s="246"/>
      <c r="GN107" s="246"/>
      <c r="GO107" s="246"/>
      <c r="GP107" s="246"/>
      <c r="GQ107" s="246"/>
      <c r="GR107" s="123"/>
      <c r="GS107" s="29"/>
      <c r="GT107" s="75"/>
      <c r="GU107" s="716"/>
      <c r="GV107" s="438"/>
      <c r="GW107" s="65">
        <f>SUM(GB107:GV107)</f>
        <v>0</v>
      </c>
      <c r="GX107" s="239">
        <f>4140-DT107-GW107</f>
        <v>3132</v>
      </c>
      <c r="GY107" s="611" t="str">
        <f>H107</f>
        <v>7100 / 2100</v>
      </c>
      <c r="GZ107" s="609">
        <f>'1_квартал'!G88</f>
        <v>2153</v>
      </c>
      <c r="HA107" s="318">
        <f>D107</f>
        <v>2772</v>
      </c>
      <c r="HB107" s="562"/>
      <c r="HC107" s="520" t="e">
        <f>'1_квартал'!GV88+'2_квартал'!#REF!+SUM(D107:F107)</f>
        <v>#REF!</v>
      </c>
      <c r="HD107" s="22"/>
      <c r="HE107" s="22"/>
    </row>
    <row r="108" spans="1:213" ht="44.25" customHeight="1" x14ac:dyDescent="0.3">
      <c r="A108" s="643" t="s">
        <v>85</v>
      </c>
      <c r="B108" s="683" t="s">
        <v>84</v>
      </c>
      <c r="C108" s="685">
        <f>'2_квартал'!G92</f>
        <v>794</v>
      </c>
      <c r="D108" s="618">
        <v>1844</v>
      </c>
      <c r="E108" s="197">
        <v>576</v>
      </c>
      <c r="F108" s="310">
        <v>820</v>
      </c>
      <c r="G108" s="600">
        <f>ROUND(AVERAGE(D108:F108),3)</f>
        <v>1080</v>
      </c>
      <c r="H108" s="733" t="s">
        <v>323</v>
      </c>
      <c r="I108" s="412" t="s">
        <v>327</v>
      </c>
      <c r="J108" s="37"/>
      <c r="K108" s="636">
        <f>K8/0.025</f>
        <v>23.999999999999996</v>
      </c>
      <c r="L108" s="636">
        <f>L8/0.025</f>
        <v>400</v>
      </c>
      <c r="M108" s="636"/>
      <c r="N108" s="636"/>
      <c r="O108" s="640"/>
      <c r="P108" s="640"/>
      <c r="Q108" s="640"/>
      <c r="R108" s="640"/>
      <c r="S108" s="640"/>
      <c r="T108" s="640"/>
      <c r="U108" s="636"/>
      <c r="V108" s="636"/>
      <c r="W108" s="636">
        <f>W8/0.025</f>
        <v>80</v>
      </c>
      <c r="X108" s="636">
        <f>X8/0.025</f>
        <v>40</v>
      </c>
      <c r="Y108" s="635">
        <f>Y8/0.025</f>
        <v>11.999999999999998</v>
      </c>
      <c r="Z108" s="635"/>
      <c r="AA108" s="636"/>
      <c r="AB108" s="636">
        <f>AB8/0.025</f>
        <v>11.999999999999998</v>
      </c>
      <c r="AC108" s="636">
        <f>AC8/0.025</f>
        <v>11.999999999999998</v>
      </c>
      <c r="AD108" s="636"/>
      <c r="AE108" s="636"/>
      <c r="AF108" s="636"/>
      <c r="AG108" s="635"/>
      <c r="AH108" s="635"/>
      <c r="AI108" s="29">
        <f>AI8/0.025</f>
        <v>200</v>
      </c>
      <c r="AJ108" s="636"/>
      <c r="AK108" s="636"/>
      <c r="AL108" s="636"/>
      <c r="AM108" s="636"/>
      <c r="AN108" s="636">
        <f>AN8/0.025</f>
        <v>36</v>
      </c>
      <c r="AO108" s="636"/>
      <c r="AP108" s="636"/>
      <c r="AQ108" s="636">
        <f>AQ8/0.025</f>
        <v>200</v>
      </c>
      <c r="AR108" s="636">
        <f>AR8/0.025</f>
        <v>40</v>
      </c>
      <c r="AS108" s="636">
        <f>AS8/0.025</f>
        <v>120</v>
      </c>
      <c r="AT108" s="636"/>
      <c r="AU108" s="636">
        <f>AU8/0.025</f>
        <v>40</v>
      </c>
      <c r="AV108" s="636"/>
      <c r="AW108" s="636">
        <f>AW8/0.025</f>
        <v>200</v>
      </c>
      <c r="AX108" s="636"/>
      <c r="AY108" s="636"/>
      <c r="AZ108" s="636"/>
      <c r="BA108" s="636">
        <f>BA8/0.025</f>
        <v>47.999999999999993</v>
      </c>
      <c r="BB108" s="636">
        <f>BB8/0.025</f>
        <v>40</v>
      </c>
      <c r="BC108" s="636">
        <f>BC8/0.025</f>
        <v>95.999999999999986</v>
      </c>
      <c r="BD108" s="636"/>
      <c r="BE108" s="636">
        <f>BE8/0.025</f>
        <v>163.99999999999997</v>
      </c>
      <c r="BF108" s="636">
        <f>BF8/0.025</f>
        <v>80</v>
      </c>
      <c r="BG108" s="636"/>
      <c r="BH108" s="636"/>
      <c r="BI108" s="636"/>
      <c r="BJ108" s="636"/>
      <c r="BK108" s="636"/>
      <c r="BL108" s="636"/>
      <c r="BM108" s="636"/>
      <c r="BN108" s="636"/>
      <c r="BO108" s="636"/>
      <c r="BP108" s="636"/>
      <c r="BQ108" s="636"/>
      <c r="BR108" s="636"/>
      <c r="BS108" s="185">
        <f>SUM(K108:BR108)</f>
        <v>1844</v>
      </c>
      <c r="BT108" s="297"/>
      <c r="BU108" s="636"/>
      <c r="BV108" s="636"/>
      <c r="BW108" s="636"/>
      <c r="BX108" s="636"/>
      <c r="BY108" s="636"/>
      <c r="BZ108" s="636"/>
      <c r="CA108" s="636"/>
      <c r="CB108" s="636"/>
      <c r="CC108" s="636"/>
      <c r="CD108" s="636"/>
      <c r="CE108" s="636"/>
      <c r="CF108" s="636"/>
      <c r="CG108" s="636"/>
      <c r="CH108" s="636"/>
      <c r="CI108" s="636">
        <f>CI8/0.025</f>
        <v>23.999999999999996</v>
      </c>
      <c r="CJ108" s="636"/>
      <c r="CK108" s="636"/>
      <c r="CL108" s="636"/>
      <c r="CM108" s="636"/>
      <c r="CN108" s="636"/>
      <c r="CO108" s="636"/>
      <c r="CP108" s="636"/>
      <c r="CQ108" s="636">
        <f>CQ8/0.025</f>
        <v>80</v>
      </c>
      <c r="CR108" s="636">
        <f>CR8/0.025</f>
        <v>36</v>
      </c>
      <c r="CS108" s="636"/>
      <c r="CT108" s="636"/>
      <c r="CU108" s="636"/>
      <c r="CV108" s="636"/>
      <c r="CW108" s="636">
        <f>CW8/0.025</f>
        <v>11.999999999999998</v>
      </c>
      <c r="CX108" s="636"/>
      <c r="CY108" s="636">
        <f>CY8/0.025</f>
        <v>8</v>
      </c>
      <c r="CZ108" s="636"/>
      <c r="DA108" s="636"/>
      <c r="DB108" s="636"/>
      <c r="DC108" s="636"/>
      <c r="DD108" s="636">
        <f>DD8/0.025</f>
        <v>120</v>
      </c>
      <c r="DE108" s="636">
        <f>DE8/0.025</f>
        <v>95.999999999999986</v>
      </c>
      <c r="DF108" s="636"/>
      <c r="DG108" s="636"/>
      <c r="DH108" s="636"/>
      <c r="DI108" s="636"/>
      <c r="DJ108" s="636">
        <f>DJ8/0.025</f>
        <v>100</v>
      </c>
      <c r="DK108" s="636">
        <f>DK8/0.025</f>
        <v>60</v>
      </c>
      <c r="DL108" s="636">
        <f>DL8/0.025</f>
        <v>40</v>
      </c>
      <c r="DM108" s="636"/>
      <c r="DN108" s="636"/>
      <c r="DO108" s="636"/>
      <c r="DP108" s="636"/>
      <c r="DQ108" s="636"/>
      <c r="DR108" s="636"/>
      <c r="DS108" s="636"/>
      <c r="DT108" s="763">
        <f>SUM(BU108:DS108)</f>
        <v>576</v>
      </c>
      <c r="DU108" s="37"/>
      <c r="DV108" s="636"/>
      <c r="DW108" s="636"/>
      <c r="DX108" s="636">
        <f>DX8/0.025</f>
        <v>47.999999999999993</v>
      </c>
      <c r="DY108" s="636"/>
      <c r="DZ108" s="636"/>
      <c r="EA108" s="636">
        <f>EA8/0.025</f>
        <v>200</v>
      </c>
      <c r="EB108" s="640"/>
      <c r="EC108" s="640"/>
      <c r="ED108" s="636"/>
      <c r="EE108" s="636"/>
      <c r="EF108" s="636"/>
      <c r="EG108" s="635"/>
      <c r="EH108" s="635"/>
      <c r="EI108" s="635"/>
      <c r="EJ108" s="636"/>
      <c r="EK108" s="636"/>
      <c r="EL108" s="636"/>
      <c r="EM108" s="636"/>
      <c r="EN108" s="636"/>
      <c r="EO108" s="636"/>
      <c r="EP108" s="636">
        <f>EP8/0.025</f>
        <v>200</v>
      </c>
      <c r="EQ108" s="636"/>
      <c r="ER108" s="636"/>
      <c r="ES108" s="636"/>
      <c r="ET108" s="636"/>
      <c r="EU108" s="636"/>
      <c r="EV108" s="636"/>
      <c r="EW108" s="636">
        <f>EW8/0.025</f>
        <v>11.999999999999998</v>
      </c>
      <c r="EX108" s="636"/>
      <c r="EY108" s="636"/>
      <c r="EZ108" s="636"/>
      <c r="FA108" s="636"/>
      <c r="FB108" s="636">
        <f>FB8/0.025</f>
        <v>40</v>
      </c>
      <c r="FC108" s="636"/>
      <c r="FD108" s="636"/>
      <c r="FE108" s="636"/>
      <c r="FF108" s="636"/>
      <c r="FG108" s="636">
        <f>FG8/0.025</f>
        <v>120</v>
      </c>
      <c r="FH108" s="636">
        <f>FH8/0.025</f>
        <v>68</v>
      </c>
      <c r="FI108" s="636">
        <f>FI8/0.025</f>
        <v>120</v>
      </c>
      <c r="FJ108" s="636"/>
      <c r="FK108" s="636"/>
      <c r="FL108" s="636"/>
      <c r="FM108" s="636"/>
      <c r="FN108" s="636">
        <f>FN8/0.025</f>
        <v>11.999999999999998</v>
      </c>
      <c r="FO108" s="636"/>
      <c r="FP108" s="636"/>
      <c r="FQ108" s="636"/>
      <c r="FR108" s="636"/>
      <c r="FS108" s="636"/>
      <c r="FT108" s="636"/>
      <c r="FU108" s="636"/>
      <c r="FV108" s="636"/>
      <c r="FW108" s="636"/>
      <c r="FX108" s="636"/>
      <c r="FY108" s="636"/>
      <c r="FZ108" s="636"/>
      <c r="GA108" s="185">
        <f>SUM(DV108:FZ108)</f>
        <v>820</v>
      </c>
      <c r="GB108" s="428"/>
      <c r="GC108" s="635"/>
      <c r="GD108" s="636"/>
      <c r="GE108" s="636"/>
      <c r="GF108" s="636"/>
      <c r="GG108" s="636"/>
      <c r="GH108" s="636"/>
      <c r="GI108" s="636"/>
      <c r="GJ108" s="636"/>
      <c r="GK108" s="636"/>
      <c r="GL108" s="636"/>
      <c r="GM108" s="636"/>
      <c r="GN108" s="636"/>
      <c r="GO108" s="636"/>
      <c r="GP108" s="636"/>
      <c r="GQ108" s="633"/>
      <c r="GR108" s="123"/>
      <c r="GS108" s="635"/>
      <c r="GT108" s="636"/>
      <c r="GU108" s="717"/>
      <c r="GV108" s="641"/>
      <c r="GW108" s="72">
        <f>SUM(GB108:GV108)</f>
        <v>0</v>
      </c>
      <c r="GX108" s="734">
        <f>4628-DT108-GW108</f>
        <v>4052</v>
      </c>
      <c r="GY108" s="637" t="str">
        <f>H108</f>
        <v>15850 / 15850</v>
      </c>
      <c r="GZ108" s="638">
        <f>'1_квартал'!G90</f>
        <v>1004</v>
      </c>
      <c r="HA108" s="639">
        <f>D108</f>
        <v>1844</v>
      </c>
      <c r="HB108" s="563"/>
      <c r="HC108" s="520" t="e">
        <f>'1_квартал'!GV90+'2_квартал'!#REF!+SUM(D108:F108)</f>
        <v>#REF!</v>
      </c>
      <c r="HD108" s="22"/>
      <c r="HE108" s="22"/>
    </row>
    <row r="109" spans="1:213" ht="30" customHeight="1" thickBot="1" x14ac:dyDescent="0.35">
      <c r="A109" s="644" t="s">
        <v>196</v>
      </c>
      <c r="B109" s="684" t="s">
        <v>213</v>
      </c>
      <c r="C109" s="686">
        <f>'2_квартал'!G93</f>
        <v>1306</v>
      </c>
      <c r="D109" s="765">
        <v>1000</v>
      </c>
      <c r="E109" s="193">
        <v>1000</v>
      </c>
      <c r="F109" s="646">
        <v>584</v>
      </c>
      <c r="G109" s="652">
        <f>ROUND(AVERAGE(D109:F109),3)</f>
        <v>861.33299999999997</v>
      </c>
      <c r="H109" s="656" t="s">
        <v>251</v>
      </c>
      <c r="I109" s="414" t="s">
        <v>328</v>
      </c>
      <c r="J109" s="60"/>
      <c r="K109" s="29"/>
      <c r="L109" s="29"/>
      <c r="M109" s="29"/>
      <c r="N109" s="29"/>
      <c r="O109" s="642"/>
      <c r="P109" s="642"/>
      <c r="Q109" s="642"/>
      <c r="R109" s="642"/>
      <c r="S109" s="642"/>
      <c r="T109" s="642"/>
      <c r="U109" s="29"/>
      <c r="V109" s="29">
        <f>V8/0.025</f>
        <v>40</v>
      </c>
      <c r="W109" s="642"/>
      <c r="X109" s="29"/>
      <c r="Y109" s="29"/>
      <c r="Z109" s="29">
        <f>Z8/0.025</f>
        <v>240</v>
      </c>
      <c r="AA109" s="75"/>
      <c r="AB109" s="29"/>
      <c r="AC109" s="642"/>
      <c r="AD109" s="29">
        <f>AD8/0.025</f>
        <v>60</v>
      </c>
      <c r="AE109" s="29"/>
      <c r="AF109" s="29"/>
      <c r="AG109" s="29"/>
      <c r="AH109" s="29"/>
      <c r="AI109" s="29"/>
      <c r="AJ109" s="29">
        <f>AJ8/0.025</f>
        <v>32</v>
      </c>
      <c r="AK109" s="29"/>
      <c r="AL109" s="29">
        <f>AL8/0.025</f>
        <v>23.999999999999996</v>
      </c>
      <c r="AM109" s="29"/>
      <c r="AN109" s="29"/>
      <c r="AO109" s="29"/>
      <c r="AP109" s="29"/>
      <c r="AQ109" s="29"/>
      <c r="AR109" s="29"/>
      <c r="AS109" s="29"/>
      <c r="AT109" s="29">
        <f>AT8/0.025</f>
        <v>160</v>
      </c>
      <c r="AU109" s="29"/>
      <c r="AV109" s="29"/>
      <c r="AW109" s="29"/>
      <c r="AX109" s="29"/>
      <c r="AY109" s="29"/>
      <c r="AZ109" s="29"/>
      <c r="BA109" s="29"/>
      <c r="BB109" s="29"/>
      <c r="BC109" s="29"/>
      <c r="BD109" s="29">
        <f>BD8/0.025</f>
        <v>80</v>
      </c>
      <c r="BE109" s="29"/>
      <c r="BF109" s="29"/>
      <c r="BG109" s="29"/>
      <c r="BH109" s="29"/>
      <c r="BI109" s="29">
        <f>BI8/0.025</f>
        <v>23.999999999999996</v>
      </c>
      <c r="BJ109" s="29"/>
      <c r="BK109" s="29">
        <f>BK8/0.025</f>
        <v>60</v>
      </c>
      <c r="BL109" s="29"/>
      <c r="BM109" s="29">
        <f>BM8/0.025</f>
        <v>280</v>
      </c>
      <c r="BN109" s="29"/>
      <c r="BO109" s="29"/>
      <c r="BP109" s="29"/>
      <c r="BQ109" s="29"/>
      <c r="BR109" s="75"/>
      <c r="BS109" s="186">
        <f>SUM(K109:BR109)</f>
        <v>1000</v>
      </c>
      <c r="BT109" s="298"/>
      <c r="BU109" s="29"/>
      <c r="BV109" s="29"/>
      <c r="BW109" s="29">
        <f>BW8/0.025</f>
        <v>60</v>
      </c>
      <c r="BX109" s="29"/>
      <c r="BY109" s="29"/>
      <c r="BZ109" s="29"/>
      <c r="CA109" s="29"/>
      <c r="CB109" s="29">
        <f>CB8/0.025</f>
        <v>72</v>
      </c>
      <c r="CC109" s="29"/>
      <c r="CD109" s="29">
        <f>CD8/0.025</f>
        <v>60</v>
      </c>
      <c r="CE109" s="29"/>
      <c r="CF109" s="29">
        <f>CF8/0.025</f>
        <v>44</v>
      </c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>
        <f>CU8/0.025</f>
        <v>60</v>
      </c>
      <c r="CV109" s="29"/>
      <c r="CW109" s="29"/>
      <c r="CX109" s="29"/>
      <c r="CY109" s="29"/>
      <c r="CZ109" s="29"/>
      <c r="DA109" s="29">
        <f>DA8/0.025</f>
        <v>40</v>
      </c>
      <c r="DB109" s="29">
        <f>DB8/0.025</f>
        <v>23.999999999999996</v>
      </c>
      <c r="DC109" s="29"/>
      <c r="DD109" s="29"/>
      <c r="DE109" s="29"/>
      <c r="DF109" s="29">
        <f>DF8/0.025</f>
        <v>124</v>
      </c>
      <c r="DG109" s="29"/>
      <c r="DH109" s="29"/>
      <c r="DI109" s="29"/>
      <c r="DJ109" s="29"/>
      <c r="DK109" s="29"/>
      <c r="DL109" s="29"/>
      <c r="DM109" s="29"/>
      <c r="DN109" s="29">
        <f>DN8/0.025</f>
        <v>120</v>
      </c>
      <c r="DO109" s="29"/>
      <c r="DP109" s="29">
        <f>DP8/0.025</f>
        <v>36</v>
      </c>
      <c r="DQ109" s="29"/>
      <c r="DR109" s="29">
        <f>DR8/0.025</f>
        <v>80</v>
      </c>
      <c r="DS109" s="29">
        <f>DS8/0.025</f>
        <v>280</v>
      </c>
      <c r="DT109" s="186">
        <f>SUM(BU109:DS109)</f>
        <v>1000</v>
      </c>
      <c r="DU109" s="60"/>
      <c r="DV109" s="29"/>
      <c r="DW109" s="29"/>
      <c r="DX109" s="29"/>
      <c r="DY109" s="29"/>
      <c r="DZ109" s="29"/>
      <c r="EA109" s="29"/>
      <c r="EB109" s="642"/>
      <c r="EC109" s="642"/>
      <c r="ED109" s="29"/>
      <c r="EE109" s="29"/>
      <c r="EF109" s="29">
        <f>EF8/0.025</f>
        <v>60</v>
      </c>
      <c r="EG109" s="29">
        <f>EG8/0.025</f>
        <v>320</v>
      </c>
      <c r="EH109" s="29"/>
      <c r="EI109" s="29"/>
      <c r="EJ109" s="29"/>
      <c r="EK109" s="29"/>
      <c r="EL109" s="29">
        <f>EL8/0.025</f>
        <v>36</v>
      </c>
      <c r="EM109" s="29"/>
      <c r="EN109" s="29"/>
      <c r="EO109" s="29">
        <f>EO8/0.025</f>
        <v>40</v>
      </c>
      <c r="EP109" s="29"/>
      <c r="EQ109" s="29"/>
      <c r="ER109" s="29"/>
      <c r="ES109" s="29"/>
      <c r="ET109" s="29">
        <f>ET8/0.025</f>
        <v>60</v>
      </c>
      <c r="EU109" s="29"/>
      <c r="EV109" s="29"/>
      <c r="EW109" s="642"/>
      <c r="EX109" s="786"/>
      <c r="EY109" s="786"/>
      <c r="EZ109" s="29"/>
      <c r="FA109" s="29"/>
      <c r="FB109" s="75"/>
      <c r="FC109" s="29"/>
      <c r="FD109" s="29"/>
      <c r="FE109" s="29"/>
      <c r="FF109" s="29"/>
      <c r="FG109" s="29"/>
      <c r="FH109" s="29"/>
      <c r="FI109" s="29"/>
      <c r="FJ109" s="29"/>
      <c r="FK109" s="29">
        <f>FK8/0.025</f>
        <v>23.999999999999996</v>
      </c>
      <c r="FL109" s="29"/>
      <c r="FM109" s="75"/>
      <c r="FN109" s="29"/>
      <c r="FO109" s="75"/>
      <c r="FP109" s="75"/>
      <c r="FQ109" s="75">
        <f>FQ8/0.025</f>
        <v>23.999999999999996</v>
      </c>
      <c r="FR109" s="786"/>
      <c r="FS109" s="786"/>
      <c r="FT109" s="29"/>
      <c r="FU109" s="75"/>
      <c r="FV109" s="29">
        <f>FV8/0.025</f>
        <v>20</v>
      </c>
      <c r="FW109" s="29"/>
      <c r="FX109" s="29"/>
      <c r="FY109" s="29"/>
      <c r="FZ109" s="75"/>
      <c r="GA109" s="160">
        <f>SUM(DV109:FZ109)</f>
        <v>584</v>
      </c>
      <c r="GB109" s="426"/>
      <c r="GC109" s="29"/>
      <c r="GD109" s="75"/>
      <c r="GE109" s="75"/>
      <c r="GF109" s="786"/>
      <c r="GG109" s="29"/>
      <c r="GH109" s="786"/>
      <c r="GI109" s="75"/>
      <c r="GJ109" s="75"/>
      <c r="GK109" s="75"/>
      <c r="GL109" s="29"/>
      <c r="GM109" s="29"/>
      <c r="GN109" s="29"/>
      <c r="GO109" s="29"/>
      <c r="GP109" s="29"/>
      <c r="GQ109" s="246"/>
      <c r="GR109" s="183"/>
      <c r="GS109" s="63"/>
      <c r="GT109" s="62"/>
      <c r="GU109" s="211"/>
      <c r="GV109" s="440"/>
      <c r="GW109" s="66">
        <f>SUM(GB109:GV109)</f>
        <v>0</v>
      </c>
      <c r="GX109" s="240">
        <f>3504-DT109-GW109</f>
        <v>2504</v>
      </c>
      <c r="GY109" s="660" t="str">
        <f>H109</f>
        <v>0 / 0</v>
      </c>
      <c r="GZ109" s="661">
        <f>'1_квартал'!G91</f>
        <v>0</v>
      </c>
      <c r="HA109" s="662">
        <f>D109</f>
        <v>1000</v>
      </c>
      <c r="HB109" s="390"/>
      <c r="HC109" s="520" t="e">
        <f>'2_квартал'!#REF!+SUM(D109:F109)</f>
        <v>#REF!</v>
      </c>
      <c r="HD109" s="22"/>
      <c r="HE109" s="22"/>
    </row>
    <row r="110" spans="1:213" ht="15.9" customHeight="1" thickBot="1" x14ac:dyDescent="0.35">
      <c r="A110" s="1315" t="s">
        <v>75</v>
      </c>
      <c r="B110" s="1315"/>
      <c r="C110" s="647"/>
      <c r="D110" s="814">
        <f>SUM(D105:D109)</f>
        <v>6076</v>
      </c>
      <c r="E110" s="815">
        <f>SUM(E105:E109)</f>
        <v>3896</v>
      </c>
      <c r="F110" s="814">
        <f>SUM(F105:F109)</f>
        <v>5276</v>
      </c>
      <c r="G110" s="650"/>
      <c r="H110" s="322"/>
      <c r="I110" s="124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97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735">
        <f>SUM(GX105:GX108)</f>
        <v>18642</v>
      </c>
      <c r="GY110" s="216">
        <f>SUM(GY105:GY108)</f>
        <v>0</v>
      </c>
      <c r="GZ110" s="31"/>
      <c r="HA110" s="31"/>
      <c r="HB110" s="227"/>
      <c r="HC110" s="619" t="e">
        <f>SUM(HC105:HC108)</f>
        <v>#REF!</v>
      </c>
      <c r="HD110" s="22"/>
      <c r="HE110" s="22"/>
    </row>
    <row r="111" spans="1:213" ht="15.9" customHeight="1" thickBot="1" x14ac:dyDescent="0.35">
      <c r="A111" s="46"/>
      <c r="B111" s="409" t="s">
        <v>76</v>
      </c>
      <c r="C111" s="665"/>
      <c r="D111" s="510">
        <v>55</v>
      </c>
      <c r="E111" s="312">
        <v>31.5</v>
      </c>
      <c r="F111" s="666">
        <v>40</v>
      </c>
      <c r="G111" s="667"/>
      <c r="H111" s="668"/>
      <c r="I111" s="125" t="s">
        <v>298</v>
      </c>
      <c r="J111" s="6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59"/>
      <c r="Z111" s="43"/>
      <c r="AA111" s="45"/>
      <c r="AB111" s="43"/>
      <c r="AC111" s="247"/>
      <c r="AD111" s="247"/>
      <c r="AE111" s="247"/>
      <c r="AF111" s="247"/>
      <c r="AG111" s="247"/>
      <c r="AH111" s="43"/>
      <c r="AI111" s="43"/>
      <c r="AJ111" s="247"/>
      <c r="AK111" s="247"/>
      <c r="AL111" s="247"/>
      <c r="AM111" s="247"/>
      <c r="AN111" s="247"/>
      <c r="AO111" s="247"/>
      <c r="AP111" s="247"/>
      <c r="AQ111" s="247"/>
      <c r="AR111" s="247"/>
      <c r="AS111" s="247"/>
      <c r="AT111" s="247"/>
      <c r="AU111" s="247"/>
      <c r="AV111" s="247"/>
      <c r="AW111" s="247"/>
      <c r="AX111" s="247"/>
      <c r="AY111" s="247"/>
      <c r="AZ111" s="247"/>
      <c r="BA111" s="247"/>
      <c r="BB111" s="247"/>
      <c r="BC111" s="247"/>
      <c r="BD111" s="247"/>
      <c r="BE111" s="247"/>
      <c r="BF111" s="247"/>
      <c r="BG111" s="247"/>
      <c r="BH111" s="247"/>
      <c r="BI111" s="247"/>
      <c r="BJ111" s="247"/>
      <c r="BK111" s="247"/>
      <c r="BL111" s="247"/>
      <c r="BM111" s="247"/>
      <c r="BN111" s="247"/>
      <c r="BO111" s="247"/>
      <c r="BP111" s="247"/>
      <c r="BQ111" s="247"/>
      <c r="BR111" s="247"/>
      <c r="BS111" s="161"/>
      <c r="BT111" s="67"/>
      <c r="BU111" s="247"/>
      <c r="BV111" s="247"/>
      <c r="BW111" s="247"/>
      <c r="BX111" s="247"/>
      <c r="BY111" s="247"/>
      <c r="BZ111" s="247"/>
      <c r="CA111" s="247"/>
      <c r="CB111" s="247"/>
      <c r="CC111" s="247"/>
      <c r="CD111" s="247"/>
      <c r="CE111" s="247"/>
      <c r="CF111" s="247"/>
      <c r="CG111" s="247"/>
      <c r="CH111" s="247"/>
      <c r="CI111" s="247"/>
      <c r="CJ111" s="247"/>
      <c r="CK111" s="247"/>
      <c r="CL111" s="247"/>
      <c r="CM111" s="247"/>
      <c r="CN111" s="247"/>
      <c r="CO111" s="247"/>
      <c r="CP111" s="247"/>
      <c r="CQ111" s="247"/>
      <c r="CR111" s="247"/>
      <c r="CS111" s="247"/>
      <c r="CT111" s="247"/>
      <c r="CU111" s="247"/>
      <c r="CV111" s="247"/>
      <c r="CW111" s="247"/>
      <c r="CX111" s="247"/>
      <c r="CY111" s="43"/>
      <c r="CZ111" s="45"/>
      <c r="DA111" s="45"/>
      <c r="DB111" s="247"/>
      <c r="DC111" s="247"/>
      <c r="DD111" s="247"/>
      <c r="DE111" s="247"/>
      <c r="DF111" s="247"/>
      <c r="DG111" s="247"/>
      <c r="DH111" s="247"/>
      <c r="DI111" s="247"/>
      <c r="DJ111" s="247"/>
      <c r="DK111" s="247"/>
      <c r="DL111" s="247"/>
      <c r="DM111" s="247"/>
      <c r="DN111" s="247"/>
      <c r="DO111" s="247"/>
      <c r="DP111" s="247"/>
      <c r="DQ111" s="247"/>
      <c r="DR111" s="247"/>
      <c r="DS111" s="247"/>
      <c r="DT111" s="521"/>
      <c r="DU111" s="421"/>
      <c r="DV111" s="247"/>
      <c r="DW111" s="247"/>
      <c r="DX111" s="247"/>
      <c r="DY111" s="247"/>
      <c r="DZ111" s="247"/>
      <c r="EA111" s="247"/>
      <c r="EB111" s="247"/>
      <c r="EC111" s="247"/>
      <c r="ED111" s="247"/>
      <c r="EE111" s="247"/>
      <c r="EF111" s="247"/>
      <c r="EG111" s="43"/>
      <c r="EH111" s="43"/>
      <c r="EI111" s="43"/>
      <c r="EJ111" s="247"/>
      <c r="EK111" s="247"/>
      <c r="EL111" s="247"/>
      <c r="EM111" s="247"/>
      <c r="EN111" s="247"/>
      <c r="EO111" s="247"/>
      <c r="EP111" s="247"/>
      <c r="EQ111" s="247"/>
      <c r="ER111" s="247"/>
      <c r="ES111" s="247"/>
      <c r="ET111" s="247"/>
      <c r="EU111" s="247"/>
      <c r="EV111" s="247"/>
      <c r="EW111" s="247"/>
      <c r="EX111" s="247"/>
      <c r="EY111" s="247"/>
      <c r="EZ111" s="247"/>
      <c r="FA111" s="247"/>
      <c r="FB111" s="247"/>
      <c r="FC111" s="247"/>
      <c r="FD111" s="247"/>
      <c r="FE111" s="247"/>
      <c r="FF111" s="247"/>
      <c r="FG111" s="247"/>
      <c r="FH111" s="247"/>
      <c r="FI111" s="247"/>
      <c r="FJ111" s="247"/>
      <c r="FK111" s="247"/>
      <c r="FL111" s="247"/>
      <c r="FM111" s="247"/>
      <c r="FN111" s="247"/>
      <c r="FO111" s="247"/>
      <c r="FP111" s="247"/>
      <c r="FQ111" s="247"/>
      <c r="FR111" s="247"/>
      <c r="FS111" s="247"/>
      <c r="FT111" s="247"/>
      <c r="FU111" s="247"/>
      <c r="FV111" s="247"/>
      <c r="FW111" s="247"/>
      <c r="FX111" s="247"/>
      <c r="FY111" s="259"/>
      <c r="FZ111" s="247"/>
      <c r="GA111" s="423"/>
      <c r="GB111" s="425"/>
      <c r="GC111" s="259"/>
      <c r="GD111" s="247"/>
      <c r="GE111" s="247"/>
      <c r="GF111" s="247"/>
      <c r="GG111" s="247"/>
      <c r="GH111" s="247"/>
      <c r="GI111" s="247"/>
      <c r="GJ111" s="247"/>
      <c r="GK111" s="247"/>
      <c r="GL111" s="247"/>
      <c r="GM111" s="247"/>
      <c r="GN111" s="247"/>
      <c r="GO111" s="247"/>
      <c r="GP111" s="247"/>
      <c r="GQ111" s="247"/>
      <c r="GR111" s="78"/>
      <c r="GS111" s="43"/>
      <c r="GT111" s="45"/>
      <c r="GU111" s="44"/>
      <c r="GV111" s="441"/>
      <c r="GW111" s="350">
        <f>SUM(GB111:GV111)</f>
        <v>0</v>
      </c>
      <c r="GX111" s="349"/>
      <c r="GY111" s="217"/>
      <c r="GZ111" s="80"/>
      <c r="HA111" s="163"/>
      <c r="HB111" s="35"/>
      <c r="HC111" s="227"/>
      <c r="HD111" s="22"/>
      <c r="HE111" s="22"/>
    </row>
    <row r="112" spans="1:213" ht="15.9" customHeight="1" thickBot="1" x14ac:dyDescent="0.35">
      <c r="A112" s="46"/>
      <c r="B112" s="409" t="s">
        <v>77</v>
      </c>
      <c r="C112" s="596"/>
      <c r="D112" s="597"/>
      <c r="E112" s="577"/>
      <c r="F112" s="598"/>
      <c r="G112" s="133"/>
      <c r="H112" s="669"/>
      <c r="I112" s="125">
        <v>0</v>
      </c>
      <c r="J112" s="60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313"/>
      <c r="Z112" s="43"/>
      <c r="AA112" s="45"/>
      <c r="AB112" s="43"/>
      <c r="AC112" s="248"/>
      <c r="AD112" s="248"/>
      <c r="AE112" s="248"/>
      <c r="AF112" s="248"/>
      <c r="AG112" s="248"/>
      <c r="AH112" s="43"/>
      <c r="AI112" s="43"/>
      <c r="AJ112" s="248"/>
      <c r="AK112" s="248"/>
      <c r="AL112" s="248"/>
      <c r="AM112" s="248"/>
      <c r="AN112" s="248"/>
      <c r="AO112" s="248"/>
      <c r="AP112" s="248"/>
      <c r="AQ112" s="248"/>
      <c r="AR112" s="248"/>
      <c r="AS112" s="248"/>
      <c r="AT112" s="248"/>
      <c r="AU112" s="248"/>
      <c r="AV112" s="248"/>
      <c r="AW112" s="248"/>
      <c r="AX112" s="248"/>
      <c r="AY112" s="248"/>
      <c r="AZ112" s="248"/>
      <c r="BA112" s="248"/>
      <c r="BB112" s="248"/>
      <c r="BC112" s="248"/>
      <c r="BD112" s="248"/>
      <c r="BE112" s="248"/>
      <c r="BF112" s="248"/>
      <c r="BG112" s="248"/>
      <c r="BH112" s="248"/>
      <c r="BI112" s="248"/>
      <c r="BJ112" s="248"/>
      <c r="BK112" s="248"/>
      <c r="BL112" s="248"/>
      <c r="BM112" s="248"/>
      <c r="BN112" s="248"/>
      <c r="BO112" s="248"/>
      <c r="BP112" s="248"/>
      <c r="BQ112" s="248"/>
      <c r="BR112" s="248"/>
      <c r="BS112" s="161"/>
      <c r="BT112" s="60"/>
      <c r="BU112" s="248"/>
      <c r="BV112" s="248"/>
      <c r="BW112" s="248"/>
      <c r="BX112" s="248"/>
      <c r="BY112" s="248"/>
      <c r="BZ112" s="248"/>
      <c r="CA112" s="248"/>
      <c r="CB112" s="248"/>
      <c r="CC112" s="248"/>
      <c r="CD112" s="248"/>
      <c r="CE112" s="248"/>
      <c r="CF112" s="248"/>
      <c r="CG112" s="248"/>
      <c r="CH112" s="248"/>
      <c r="CI112" s="248"/>
      <c r="CJ112" s="248"/>
      <c r="CK112" s="248"/>
      <c r="CL112" s="248"/>
      <c r="CM112" s="248"/>
      <c r="CN112" s="248"/>
      <c r="CO112" s="248"/>
      <c r="CP112" s="248"/>
      <c r="CQ112" s="248"/>
      <c r="CR112" s="248"/>
      <c r="CS112" s="248"/>
      <c r="CT112" s="248"/>
      <c r="CU112" s="248"/>
      <c r="CV112" s="248"/>
      <c r="CW112" s="248"/>
      <c r="CX112" s="248"/>
      <c r="CY112" s="43"/>
      <c r="CZ112" s="45"/>
      <c r="DA112" s="45"/>
      <c r="DB112" s="248"/>
      <c r="DC112" s="248"/>
      <c r="DD112" s="248"/>
      <c r="DE112" s="248"/>
      <c r="DF112" s="248"/>
      <c r="DG112" s="248"/>
      <c r="DH112" s="248"/>
      <c r="DI112" s="248"/>
      <c r="DJ112" s="248"/>
      <c r="DK112" s="248"/>
      <c r="DL112" s="248"/>
      <c r="DM112" s="248"/>
      <c r="DN112" s="248"/>
      <c r="DO112" s="248"/>
      <c r="DP112" s="248"/>
      <c r="DQ112" s="248"/>
      <c r="DR112" s="248"/>
      <c r="DS112" s="248"/>
      <c r="DT112" s="522"/>
      <c r="DU112" s="422"/>
      <c r="DV112" s="248"/>
      <c r="DW112" s="248"/>
      <c r="DX112" s="248"/>
      <c r="DY112" s="248"/>
      <c r="DZ112" s="248"/>
      <c r="EA112" s="248"/>
      <c r="EB112" s="248"/>
      <c r="EC112" s="248"/>
      <c r="ED112" s="248"/>
      <c r="EE112" s="248"/>
      <c r="EF112" s="248"/>
      <c r="EG112" s="43"/>
      <c r="EH112" s="43"/>
      <c r="EI112" s="43"/>
      <c r="EJ112" s="248"/>
      <c r="EK112" s="248"/>
      <c r="EL112" s="248"/>
      <c r="EM112" s="248"/>
      <c r="EN112" s="248"/>
      <c r="EO112" s="248"/>
      <c r="EP112" s="248"/>
      <c r="EQ112" s="248"/>
      <c r="ER112" s="248"/>
      <c r="ES112" s="248"/>
      <c r="ET112" s="248"/>
      <c r="EU112" s="248"/>
      <c r="EV112" s="248"/>
      <c r="EW112" s="248"/>
      <c r="EX112" s="248"/>
      <c r="EY112" s="248"/>
      <c r="EZ112" s="248"/>
      <c r="FA112" s="248"/>
      <c r="FB112" s="248"/>
      <c r="FC112" s="248"/>
      <c r="FD112" s="248"/>
      <c r="FE112" s="248"/>
      <c r="FF112" s="248"/>
      <c r="FG112" s="248"/>
      <c r="FH112" s="248"/>
      <c r="FI112" s="248"/>
      <c r="FJ112" s="248"/>
      <c r="FK112" s="248"/>
      <c r="FL112" s="248"/>
      <c r="FM112" s="248"/>
      <c r="FN112" s="248"/>
      <c r="FO112" s="248"/>
      <c r="FP112" s="248"/>
      <c r="FQ112" s="248"/>
      <c r="FR112" s="248"/>
      <c r="FS112" s="248"/>
      <c r="FT112" s="248"/>
      <c r="FU112" s="248"/>
      <c r="FV112" s="248"/>
      <c r="FW112" s="248"/>
      <c r="FX112" s="248"/>
      <c r="FY112" s="257"/>
      <c r="FZ112" s="248"/>
      <c r="GA112" s="424"/>
      <c r="GB112" s="426"/>
      <c r="GC112" s="248"/>
      <c r="GD112" s="248"/>
      <c r="GE112" s="248"/>
      <c r="GF112" s="248"/>
      <c r="GG112" s="248"/>
      <c r="GH112" s="248"/>
      <c r="GI112" s="248"/>
      <c r="GJ112" s="248"/>
      <c r="GK112" s="248"/>
      <c r="GL112" s="248"/>
      <c r="GM112" s="248"/>
      <c r="GN112" s="248"/>
      <c r="GO112" s="248"/>
      <c r="GP112" s="248"/>
      <c r="GQ112" s="248"/>
      <c r="GR112" s="78"/>
      <c r="GS112" s="43"/>
      <c r="GT112" s="45"/>
      <c r="GU112" s="44"/>
      <c r="GV112" s="441"/>
      <c r="GW112" s="350">
        <f>SUM(GB112:GV112)</f>
        <v>0</v>
      </c>
      <c r="GX112" s="349"/>
      <c r="GY112" s="217"/>
      <c r="GZ112" s="80"/>
      <c r="HA112" s="79"/>
      <c r="HB112" s="35"/>
      <c r="HC112" s="227"/>
      <c r="HD112" s="22"/>
      <c r="HE112" s="22"/>
    </row>
    <row r="113" spans="1:180" ht="15.9" customHeight="1" x14ac:dyDescent="0.3">
      <c r="A113" s="22"/>
      <c r="B113" s="20"/>
      <c r="C113" s="300"/>
      <c r="D113" s="506"/>
      <c r="E113" s="188"/>
      <c r="F113" s="307"/>
      <c r="G113" s="17"/>
      <c r="H113"/>
      <c r="FX113"/>
    </row>
    <row r="114" spans="1:180" ht="15.9" customHeight="1" x14ac:dyDescent="0.3">
      <c r="A114" s="22"/>
      <c r="B114" s="20"/>
      <c r="C114" s="300"/>
      <c r="D114" s="506"/>
      <c r="E114" s="188"/>
      <c r="F114" s="307"/>
      <c r="G114" s="17"/>
      <c r="H114"/>
      <c r="FX114"/>
    </row>
    <row r="115" spans="1:180" ht="15.9" customHeight="1" x14ac:dyDescent="0.3">
      <c r="A115" s="22"/>
      <c r="B115" s="20"/>
      <c r="C115" s="300"/>
      <c r="D115" s="506"/>
      <c r="E115" s="188"/>
      <c r="F115" s="307"/>
      <c r="G115" s="17"/>
      <c r="H115"/>
      <c r="FX115"/>
    </row>
    <row r="116" spans="1:180" ht="15.9" customHeight="1" x14ac:dyDescent="0.3">
      <c r="A116" s="22"/>
      <c r="B116" s="20"/>
      <c r="C116" s="300"/>
      <c r="D116" s="506"/>
      <c r="E116" s="188"/>
      <c r="F116" s="307"/>
      <c r="G116" s="17"/>
      <c r="H116"/>
      <c r="FX116"/>
    </row>
    <row r="117" spans="1:180" ht="15.9" customHeight="1" x14ac:dyDescent="0.3">
      <c r="A117" s="22"/>
      <c r="B117" s="20"/>
      <c r="C117" s="300"/>
      <c r="D117" s="506"/>
      <c r="E117" s="188"/>
      <c r="F117" s="307"/>
      <c r="G117" s="17"/>
      <c r="H117"/>
      <c r="FX117"/>
    </row>
    <row r="118" spans="1:180" ht="15.9" customHeight="1" x14ac:dyDescent="0.3">
      <c r="A118" s="22"/>
      <c r="B118" s="20"/>
      <c r="C118" s="300"/>
      <c r="D118" s="506"/>
      <c r="E118" s="188"/>
      <c r="F118" s="307"/>
      <c r="G118" s="17"/>
      <c r="H118"/>
      <c r="FX118"/>
    </row>
    <row r="119" spans="1:180" ht="15.9" customHeight="1" x14ac:dyDescent="0.3">
      <c r="A119" s="22"/>
      <c r="B119" s="20"/>
      <c r="C119" s="300"/>
      <c r="D119" s="506"/>
      <c r="E119" s="188"/>
      <c r="F119" s="307"/>
      <c r="G119" s="17"/>
      <c r="H119"/>
      <c r="FX119"/>
    </row>
    <row r="120" spans="1:180" ht="15.9" customHeight="1" x14ac:dyDescent="0.3">
      <c r="A120" s="22"/>
      <c r="B120" s="20"/>
      <c r="C120" s="300"/>
      <c r="D120" s="506"/>
      <c r="E120" s="188"/>
      <c r="F120" s="307"/>
      <c r="G120" s="17"/>
      <c r="H120"/>
      <c r="FX120"/>
    </row>
    <row r="121" spans="1:180" ht="15.9" customHeight="1" x14ac:dyDescent="0.3">
      <c r="A121" s="22"/>
      <c r="B121" s="20"/>
      <c r="C121" s="300"/>
      <c r="D121" s="506"/>
      <c r="E121" s="188"/>
      <c r="F121" s="307"/>
      <c r="G121" s="17"/>
      <c r="H121"/>
      <c r="FX121"/>
    </row>
    <row r="122" spans="1:180" ht="15.9" customHeight="1" x14ac:dyDescent="0.3">
      <c r="A122" s="22"/>
      <c r="B122" s="20"/>
      <c r="C122" s="300"/>
      <c r="D122" s="506"/>
      <c r="E122" s="188"/>
      <c r="F122" s="307"/>
      <c r="G122" s="17"/>
      <c r="H122"/>
      <c r="FX122"/>
    </row>
    <row r="123" spans="1:180" ht="15.9" customHeight="1" x14ac:dyDescent="0.3">
      <c r="A123" s="22"/>
      <c r="B123" s="20"/>
      <c r="C123" s="300"/>
      <c r="D123" s="506"/>
      <c r="E123" s="188"/>
      <c r="F123" s="307"/>
      <c r="G123" s="17"/>
      <c r="H123"/>
      <c r="FX123"/>
    </row>
    <row r="124" spans="1:180" ht="15.9" customHeight="1" x14ac:dyDescent="0.3">
      <c r="A124" s="22"/>
      <c r="B124" s="20"/>
      <c r="C124" s="300"/>
      <c r="D124" s="506"/>
      <c r="E124" s="188"/>
      <c r="F124" s="307"/>
      <c r="G124" s="17"/>
      <c r="H124"/>
      <c r="FX124"/>
    </row>
    <row r="125" spans="1:180" ht="15.9" customHeight="1" x14ac:dyDescent="0.3">
      <c r="A125" s="22"/>
      <c r="B125" s="20"/>
      <c r="C125" s="300"/>
      <c r="D125" s="506"/>
      <c r="E125" s="188"/>
      <c r="F125" s="307"/>
      <c r="G125" s="17"/>
      <c r="H125"/>
      <c r="FX125"/>
    </row>
    <row r="126" spans="1:180" ht="15.9" customHeight="1" x14ac:dyDescent="0.3">
      <c r="A126" s="22"/>
      <c r="B126" s="20"/>
      <c r="C126" s="300"/>
      <c r="D126" s="506"/>
      <c r="E126" s="188"/>
      <c r="F126" s="307"/>
      <c r="G126" s="17"/>
      <c r="H126"/>
      <c r="FX126"/>
    </row>
    <row r="127" spans="1:180" ht="15.9" customHeight="1" x14ac:dyDescent="0.3">
      <c r="A127" s="22"/>
      <c r="B127" s="20"/>
      <c r="C127" s="300"/>
      <c r="D127" s="506"/>
      <c r="E127" s="188"/>
      <c r="F127" s="307"/>
      <c r="G127" s="17"/>
      <c r="H127"/>
      <c r="FX127"/>
    </row>
    <row r="128" spans="1:180" ht="15.9" customHeight="1" x14ac:dyDescent="0.3">
      <c r="A128" s="22"/>
      <c r="B128" s="20"/>
      <c r="C128" s="300"/>
      <c r="D128" s="506"/>
      <c r="E128" s="188"/>
      <c r="F128" s="307"/>
      <c r="G128" s="17"/>
      <c r="H128"/>
      <c r="FX128"/>
    </row>
    <row r="129" spans="1:180" ht="15.9" customHeight="1" x14ac:dyDescent="0.3">
      <c r="A129" s="22"/>
      <c r="B129" s="20"/>
      <c r="C129" s="300"/>
      <c r="D129" s="506"/>
      <c r="E129" s="188"/>
      <c r="F129" s="307"/>
      <c r="G129" s="17"/>
      <c r="H129"/>
      <c r="FX129"/>
    </row>
    <row r="130" spans="1:180" ht="15.9" customHeight="1" x14ac:dyDescent="0.3">
      <c r="A130" s="22"/>
      <c r="B130" s="20"/>
      <c r="C130" s="300"/>
      <c r="D130" s="506"/>
      <c r="E130" s="188"/>
      <c r="F130" s="307"/>
      <c r="G130" s="17"/>
      <c r="H130"/>
      <c r="FX130"/>
    </row>
    <row r="131" spans="1:180" ht="15.9" customHeight="1" x14ac:dyDescent="0.3">
      <c r="A131" s="22"/>
      <c r="B131" s="20"/>
      <c r="C131" s="300"/>
      <c r="D131" s="506"/>
      <c r="E131" s="188"/>
      <c r="F131" s="307"/>
      <c r="G131" s="17"/>
      <c r="H131"/>
      <c r="FX131"/>
    </row>
    <row r="132" spans="1:180" ht="15" customHeight="1" x14ac:dyDescent="0.3">
      <c r="A132" s="22"/>
      <c r="B132" s="20"/>
      <c r="C132" s="300"/>
      <c r="D132" s="506"/>
      <c r="E132" s="188"/>
      <c r="F132" s="307"/>
      <c r="G132" s="17"/>
      <c r="H132"/>
      <c r="FX132"/>
    </row>
    <row r="133" spans="1:180" ht="15" customHeight="1" x14ac:dyDescent="0.3">
      <c r="A133" s="22"/>
      <c r="B133" s="20"/>
      <c r="C133" s="300"/>
      <c r="D133" s="506"/>
      <c r="E133" s="188"/>
      <c r="F133" s="307"/>
      <c r="G133" s="17"/>
      <c r="H133"/>
      <c r="FX133"/>
    </row>
    <row r="134" spans="1:180" ht="15" customHeight="1" x14ac:dyDescent="0.3">
      <c r="A134" s="22"/>
      <c r="B134" s="20"/>
      <c r="C134" s="300"/>
      <c r="D134" s="506"/>
      <c r="E134" s="188"/>
      <c r="F134" s="307"/>
      <c r="G134" s="17"/>
      <c r="H134"/>
      <c r="FX134"/>
    </row>
    <row r="135" spans="1:180" ht="66" customHeight="1" x14ac:dyDescent="0.3">
      <c r="A135" s="22"/>
      <c r="B135" s="20"/>
      <c r="C135" s="300"/>
      <c r="D135" s="506"/>
      <c r="E135" s="188"/>
      <c r="F135" s="307"/>
      <c r="G135" s="17"/>
      <c r="H135"/>
      <c r="FX135"/>
    </row>
    <row r="136" spans="1:180" ht="45" customHeight="1" x14ac:dyDescent="0.3">
      <c r="A136" s="22"/>
      <c r="B136" s="20"/>
      <c r="C136" s="300"/>
      <c r="D136" s="506"/>
      <c r="E136" s="188"/>
      <c r="F136" s="307"/>
      <c r="G136" s="17"/>
      <c r="H136"/>
      <c r="FX136"/>
    </row>
    <row r="137" spans="1:180" ht="45" customHeight="1" x14ac:dyDescent="0.3">
      <c r="A137" s="22"/>
      <c r="B137" s="20"/>
      <c r="C137" s="300"/>
      <c r="D137" s="506"/>
      <c r="E137" s="188"/>
      <c r="F137" s="307"/>
      <c r="G137" s="17"/>
      <c r="H137"/>
      <c r="FX137"/>
    </row>
    <row r="138" spans="1:180" ht="45" customHeight="1" x14ac:dyDescent="0.3">
      <c r="A138" s="22"/>
      <c r="B138" s="20"/>
      <c r="C138" s="300"/>
      <c r="D138" s="506"/>
      <c r="E138" s="188"/>
      <c r="F138" s="307"/>
      <c r="G138" s="17"/>
      <c r="H138"/>
      <c r="FX138"/>
    </row>
    <row r="139" spans="1:180" ht="65.099999999999994" customHeight="1" x14ac:dyDescent="0.3">
      <c r="A139" s="22"/>
      <c r="B139" s="20"/>
      <c r="C139" s="300"/>
      <c r="D139" s="506"/>
      <c r="E139" s="188"/>
      <c r="F139" s="307"/>
      <c r="G139" s="17"/>
      <c r="H139"/>
      <c r="FX139"/>
    </row>
    <row r="140" spans="1:180" ht="15.9" customHeight="1" x14ac:dyDescent="0.3">
      <c r="A140" s="22"/>
      <c r="B140" s="20"/>
      <c r="C140" s="300"/>
      <c r="D140" s="506"/>
      <c r="E140" s="188"/>
      <c r="F140" s="307"/>
      <c r="G140" s="17"/>
      <c r="H140"/>
      <c r="FX140"/>
    </row>
    <row r="141" spans="1:180" ht="15.9" customHeight="1" x14ac:dyDescent="0.3">
      <c r="A141" s="22"/>
      <c r="B141" s="20"/>
      <c r="C141" s="300"/>
      <c r="D141" s="506"/>
      <c r="E141" s="188"/>
      <c r="F141" s="307"/>
      <c r="G141" s="17"/>
      <c r="H141"/>
      <c r="FX141"/>
    </row>
    <row r="142" spans="1:180" ht="15.9" customHeight="1" x14ac:dyDescent="0.3">
      <c r="A142" s="22"/>
      <c r="B142" s="20"/>
      <c r="C142" s="300"/>
      <c r="D142" s="506"/>
      <c r="E142" s="188"/>
      <c r="F142" s="307"/>
      <c r="G142" s="17"/>
      <c r="H142"/>
      <c r="FX142"/>
    </row>
    <row r="143" spans="1:180" x14ac:dyDescent="0.3">
      <c r="A143" s="22"/>
      <c r="B143" s="20"/>
      <c r="C143" s="300"/>
      <c r="D143" s="506"/>
      <c r="E143" s="188"/>
      <c r="F143" s="307"/>
      <c r="G143" s="17"/>
      <c r="H143"/>
      <c r="FX143"/>
    </row>
    <row r="144" spans="1:180" x14ac:dyDescent="0.3">
      <c r="A144" s="22"/>
      <c r="B144" s="20"/>
      <c r="C144" s="300"/>
      <c r="D144" s="506"/>
      <c r="E144" s="188"/>
      <c r="F144" s="307"/>
      <c r="G144" s="17"/>
      <c r="H144"/>
      <c r="FX144"/>
    </row>
    <row r="145" spans="1:180" x14ac:dyDescent="0.3">
      <c r="A145" s="22"/>
      <c r="B145" s="20"/>
      <c r="C145" s="300"/>
      <c r="D145" s="506"/>
      <c r="E145" s="188"/>
      <c r="F145" s="307"/>
      <c r="G145" s="17"/>
      <c r="H145"/>
      <c r="FX145"/>
    </row>
    <row r="146" spans="1:180" x14ac:dyDescent="0.3">
      <c r="A146" s="22"/>
      <c r="B146" s="20"/>
      <c r="C146" s="300"/>
      <c r="D146" s="506"/>
      <c r="E146" s="188"/>
      <c r="F146" s="307"/>
      <c r="G146" s="17"/>
      <c r="H146"/>
      <c r="FX146"/>
    </row>
    <row r="147" spans="1:180" x14ac:dyDescent="0.3">
      <c r="A147" s="22"/>
      <c r="B147" s="20"/>
      <c r="C147" s="300"/>
      <c r="D147" s="506"/>
      <c r="E147" s="188"/>
      <c r="F147" s="307"/>
      <c r="G147" s="17"/>
      <c r="H147"/>
      <c r="FX147"/>
    </row>
    <row r="148" spans="1:180" x14ac:dyDescent="0.3">
      <c r="A148" s="22"/>
      <c r="B148" s="20"/>
      <c r="C148" s="300"/>
      <c r="D148" s="506"/>
      <c r="E148" s="188"/>
      <c r="F148" s="307"/>
      <c r="G148" s="17"/>
      <c r="H148"/>
      <c r="FX148"/>
    </row>
    <row r="149" spans="1:180" x14ac:dyDescent="0.3">
      <c r="A149" s="22"/>
      <c r="B149" s="20"/>
      <c r="C149" s="300"/>
      <c r="D149" s="506"/>
      <c r="E149" s="188"/>
      <c r="F149" s="307"/>
      <c r="G149" s="17"/>
      <c r="H149"/>
      <c r="FX149"/>
    </row>
    <row r="150" spans="1:180" x14ac:dyDescent="0.3">
      <c r="A150" s="22"/>
      <c r="B150" s="20"/>
      <c r="C150" s="300"/>
      <c r="D150" s="506"/>
      <c r="E150" s="188"/>
      <c r="F150" s="307"/>
      <c r="G150" s="17"/>
      <c r="H150"/>
      <c r="FX150"/>
    </row>
    <row r="151" spans="1:180" x14ac:dyDescent="0.3">
      <c r="A151" s="22"/>
      <c r="B151" s="20"/>
      <c r="C151" s="300"/>
      <c r="D151" s="506"/>
      <c r="E151" s="188"/>
      <c r="F151" s="307"/>
      <c r="G151" s="17"/>
      <c r="H151"/>
      <c r="FX151"/>
    </row>
    <row r="152" spans="1:180" x14ac:dyDescent="0.3">
      <c r="A152" s="22"/>
      <c r="B152" s="20"/>
      <c r="C152" s="300"/>
      <c r="D152" s="506"/>
      <c r="E152" s="188"/>
      <c r="F152" s="307"/>
      <c r="G152" s="17"/>
      <c r="H152"/>
      <c r="FX152"/>
    </row>
    <row r="153" spans="1:180" x14ac:dyDescent="0.3">
      <c r="A153" s="22"/>
      <c r="B153" s="20"/>
      <c r="C153" s="300"/>
      <c r="D153" s="506"/>
      <c r="E153" s="188"/>
      <c r="F153" s="307"/>
      <c r="G153" s="17"/>
      <c r="H153"/>
      <c r="FX153"/>
    </row>
    <row r="154" spans="1:180" x14ac:dyDescent="0.3">
      <c r="A154" s="22"/>
      <c r="B154" s="20"/>
      <c r="C154" s="300"/>
      <c r="D154" s="506"/>
      <c r="E154" s="188"/>
      <c r="F154" s="307"/>
      <c r="G154" s="17"/>
      <c r="H154"/>
      <c r="FX154"/>
    </row>
    <row r="155" spans="1:180" x14ac:dyDescent="0.3">
      <c r="A155" s="22"/>
      <c r="B155" s="20"/>
      <c r="C155" s="300"/>
      <c r="D155" s="506"/>
      <c r="E155" s="188"/>
      <c r="F155" s="307"/>
      <c r="G155" s="17"/>
      <c r="H155"/>
      <c r="FX155"/>
    </row>
    <row r="156" spans="1:180" x14ac:dyDescent="0.3">
      <c r="A156" s="22"/>
      <c r="B156" s="20"/>
      <c r="C156" s="300"/>
      <c r="D156" s="506"/>
      <c r="E156" s="188"/>
      <c r="F156" s="307"/>
      <c r="G156" s="17"/>
      <c r="H156"/>
      <c r="FX156"/>
    </row>
    <row r="157" spans="1:180" x14ac:dyDescent="0.3">
      <c r="A157" s="22"/>
      <c r="B157" s="20"/>
      <c r="C157" s="300"/>
      <c r="D157" s="506"/>
      <c r="E157" s="188"/>
      <c r="F157" s="307"/>
      <c r="G157" s="17"/>
      <c r="H157"/>
      <c r="FX157"/>
    </row>
    <row r="158" spans="1:180" x14ac:dyDescent="0.3">
      <c r="A158" s="22"/>
      <c r="B158" s="20"/>
      <c r="C158" s="300"/>
      <c r="D158" s="506"/>
      <c r="E158" s="188"/>
      <c r="F158" s="307"/>
      <c r="G158" s="17"/>
      <c r="H158"/>
      <c r="FX158"/>
    </row>
    <row r="159" spans="1:180" x14ac:dyDescent="0.3">
      <c r="A159" s="22"/>
      <c r="B159" s="20"/>
      <c r="C159" s="300"/>
      <c r="D159" s="506"/>
      <c r="E159" s="188"/>
      <c r="F159" s="307"/>
      <c r="G159" s="17"/>
      <c r="H159"/>
      <c r="FX159"/>
    </row>
    <row r="160" spans="1:180" x14ac:dyDescent="0.3">
      <c r="A160" s="22"/>
      <c r="B160" s="20"/>
      <c r="C160" s="300"/>
      <c r="D160" s="506"/>
      <c r="E160" s="188"/>
      <c r="F160" s="307"/>
      <c r="G160" s="17"/>
      <c r="H160"/>
      <c r="FX160"/>
    </row>
    <row r="161" spans="1:206" x14ac:dyDescent="0.3">
      <c r="A161" s="22"/>
      <c r="B161" s="20"/>
      <c r="C161" s="300"/>
      <c r="D161" s="506"/>
      <c r="E161" s="188"/>
      <c r="F161" s="307"/>
      <c r="G161" s="17"/>
      <c r="H161"/>
      <c r="FX161"/>
    </row>
    <row r="162" spans="1:206" x14ac:dyDescent="0.3">
      <c r="C162" s="306"/>
      <c r="D162" s="595"/>
      <c r="F162" s="167"/>
      <c r="H162"/>
      <c r="FX162"/>
    </row>
    <row r="163" spans="1:206" x14ac:dyDescent="0.3">
      <c r="C163" s="306"/>
      <c r="D163" s="595"/>
      <c r="F163" s="167"/>
      <c r="H163"/>
      <c r="FX163"/>
    </row>
    <row r="164" spans="1:206" x14ac:dyDescent="0.3">
      <c r="C164" s="306"/>
      <c r="D164" s="595"/>
      <c r="F164" s="167"/>
      <c r="H164"/>
      <c r="FX164"/>
    </row>
    <row r="165" spans="1:206" x14ac:dyDescent="0.3">
      <c r="C165" s="306"/>
      <c r="D165" s="595"/>
      <c r="F165" s="167"/>
      <c r="H165"/>
      <c r="FX165"/>
      <c r="GL165" s="14"/>
    </row>
    <row r="166" spans="1:206" x14ac:dyDescent="0.3">
      <c r="A166" s="22"/>
      <c r="B166" s="20"/>
      <c r="C166" s="14"/>
      <c r="D166" s="14"/>
      <c r="E166" s="188"/>
      <c r="F166" s="188"/>
      <c r="G166" s="188"/>
      <c r="H166" s="188"/>
      <c r="I166" s="188"/>
      <c r="J166" s="188"/>
      <c r="Z166" s="188"/>
      <c r="AA166" s="188"/>
      <c r="AB166" s="188"/>
      <c r="AD166" s="188"/>
      <c r="AH166" s="188"/>
      <c r="AI166" s="188"/>
      <c r="BC166" s="188"/>
      <c r="BF166" s="188"/>
      <c r="BG166" s="188"/>
      <c r="BH166" s="188"/>
      <c r="BI166" s="188"/>
      <c r="BJ166" s="188"/>
      <c r="BK166" s="188"/>
      <c r="BL166" s="188"/>
      <c r="BM166" s="188"/>
      <c r="BN166" s="188"/>
      <c r="BO166" s="188"/>
      <c r="BP166" s="188"/>
      <c r="BQ166" s="188"/>
      <c r="BR166" s="188"/>
      <c r="BS166" s="188"/>
      <c r="BT166" s="188"/>
      <c r="BU166" s="188"/>
      <c r="BV166" s="188"/>
      <c r="BZ166" s="188"/>
      <c r="CA166" s="188"/>
      <c r="CB166" s="188"/>
      <c r="CC166" s="188"/>
      <c r="CD166" s="188"/>
      <c r="CE166" s="188"/>
      <c r="CF166" s="188"/>
      <c r="CG166" s="188"/>
      <c r="CH166" s="188"/>
      <c r="CI166" s="188"/>
      <c r="CJ166" s="188"/>
      <c r="CK166" s="188"/>
      <c r="CL166" s="188"/>
      <c r="CM166" s="188"/>
      <c r="CN166" s="188"/>
      <c r="CO166" s="188"/>
      <c r="CP166" s="188"/>
      <c r="CQ166" s="188"/>
      <c r="CR166" s="188"/>
      <c r="CS166" s="188"/>
      <c r="CT166" s="188"/>
      <c r="CU166" s="188"/>
      <c r="CV166" s="188"/>
      <c r="CW166" s="188"/>
      <c r="CX166" s="188"/>
      <c r="CY166" s="188"/>
      <c r="CZ166" s="188"/>
      <c r="DA166" s="188"/>
      <c r="DB166" s="188"/>
      <c r="DC166" s="188"/>
      <c r="DD166" s="188"/>
      <c r="DE166" s="188"/>
      <c r="DF166" s="188"/>
      <c r="DG166" s="188"/>
      <c r="DH166" s="188"/>
      <c r="DI166" s="188"/>
      <c r="DJ166" s="188"/>
      <c r="DK166" s="188"/>
      <c r="DL166" s="188"/>
      <c r="DM166" s="188"/>
      <c r="DN166" s="188"/>
      <c r="DO166" s="188"/>
      <c r="DP166" s="188"/>
      <c r="DQ166" s="188"/>
      <c r="DR166" s="188"/>
      <c r="DS166" s="188"/>
      <c r="DT166" s="188"/>
      <c r="DU166" s="188"/>
      <c r="DV166" s="188"/>
      <c r="DW166" s="188"/>
      <c r="DX166" s="188"/>
      <c r="DY166" s="188"/>
      <c r="DZ166" s="188"/>
      <c r="EA166" s="188"/>
      <c r="EB166" s="188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S166" s="188"/>
      <c r="ET166" s="188"/>
      <c r="EV166" s="188"/>
      <c r="EW166" s="188"/>
      <c r="EZ166" s="188"/>
      <c r="FA166" s="188"/>
      <c r="FB166" s="188"/>
      <c r="FD166" s="188"/>
      <c r="FE166" s="188"/>
      <c r="FF166" s="188"/>
      <c r="FG166" s="188"/>
      <c r="FH166" s="188"/>
      <c r="FI166" s="188"/>
      <c r="FJ166" s="188"/>
      <c r="FK166" s="188"/>
      <c r="FL166" s="188"/>
      <c r="FM166" s="188"/>
      <c r="FN166" s="188"/>
      <c r="FO166" s="188"/>
      <c r="FP166" s="188"/>
      <c r="FQ166" s="188"/>
      <c r="FR166" s="188"/>
      <c r="FS166" s="188"/>
      <c r="FT166" s="188"/>
      <c r="FU166" s="188"/>
      <c r="FV166" s="188"/>
      <c r="FW166" s="188"/>
      <c r="FX166" s="188"/>
      <c r="FY166" s="188"/>
      <c r="FZ166" s="188"/>
      <c r="GA166" s="188"/>
      <c r="GB166" s="188"/>
      <c r="GC166" s="188"/>
      <c r="GD166" s="188"/>
      <c r="GE166" s="188"/>
      <c r="GF166" s="188"/>
      <c r="GH166" s="188"/>
      <c r="GI166" s="188"/>
      <c r="GJ166" s="188"/>
      <c r="GK166" s="188"/>
      <c r="GL166" s="14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</row>
    <row r="167" spans="1:206" x14ac:dyDescent="0.3">
      <c r="A167" s="22"/>
      <c r="B167" s="20"/>
      <c r="C167" s="14"/>
      <c r="D167" s="14"/>
      <c r="E167" s="188"/>
      <c r="F167" s="188"/>
      <c r="G167" s="188"/>
      <c r="H167" s="188"/>
      <c r="I167" s="188"/>
      <c r="J167" s="188"/>
      <c r="Z167" s="188"/>
      <c r="AA167" s="188"/>
      <c r="AB167" s="188"/>
      <c r="AD167" s="188"/>
      <c r="AH167" s="188"/>
      <c r="AI167" s="188"/>
      <c r="AJ167" s="188"/>
      <c r="AP167" s="188"/>
      <c r="AQ167" s="188"/>
      <c r="AR167" s="188"/>
      <c r="BC167" s="188"/>
      <c r="BF167" s="188"/>
      <c r="BG167" s="188"/>
      <c r="BH167" s="188"/>
      <c r="BI167" s="188"/>
      <c r="BJ167" s="188"/>
      <c r="BK167" s="188"/>
      <c r="BL167" s="188"/>
      <c r="BM167" s="188"/>
      <c r="BN167" s="188"/>
      <c r="BO167" s="188"/>
      <c r="BP167" s="188"/>
      <c r="BQ167" s="188"/>
      <c r="BR167" s="188"/>
      <c r="BS167" s="188"/>
      <c r="BT167" s="188"/>
      <c r="BU167" s="188"/>
      <c r="BV167" s="188"/>
      <c r="BZ167" s="188"/>
      <c r="CA167" s="188"/>
      <c r="CB167" s="188"/>
      <c r="CC167" s="188"/>
      <c r="CD167" s="188"/>
      <c r="CE167" s="188"/>
      <c r="CF167" s="188"/>
      <c r="CG167" s="188"/>
      <c r="CH167" s="188"/>
      <c r="CI167" s="188"/>
      <c r="CJ167" s="188"/>
      <c r="CK167" s="188"/>
      <c r="CL167" s="188"/>
      <c r="CM167" s="188"/>
      <c r="CN167" s="188"/>
      <c r="CO167" s="188"/>
      <c r="CP167" s="188"/>
      <c r="CQ167" s="188"/>
      <c r="CR167" s="188"/>
      <c r="CS167" s="188"/>
      <c r="CT167" s="188"/>
      <c r="CU167" s="188"/>
      <c r="CV167" s="188"/>
      <c r="CW167" s="188"/>
      <c r="CX167" s="188"/>
      <c r="DB167" s="188"/>
      <c r="DC167" s="188"/>
      <c r="DD167" s="188"/>
      <c r="DE167" s="188"/>
      <c r="DF167" s="188"/>
      <c r="DG167" s="188"/>
      <c r="DH167" s="188"/>
      <c r="DI167" s="188"/>
      <c r="DJ167" s="188"/>
      <c r="DK167" s="188"/>
      <c r="DL167" s="188"/>
      <c r="DM167" s="188"/>
      <c r="DN167" s="188"/>
      <c r="DO167" s="188"/>
      <c r="DP167" s="188"/>
      <c r="DQ167" s="188"/>
      <c r="DR167" s="188"/>
      <c r="DS167" s="188"/>
      <c r="DT167" s="188"/>
      <c r="DU167" s="188"/>
      <c r="DV167" s="188"/>
      <c r="DW167" s="188"/>
      <c r="DX167" s="188"/>
      <c r="DY167" s="188"/>
      <c r="DZ167" s="188"/>
      <c r="EA167" s="188"/>
      <c r="EB167" s="188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S167" s="188"/>
      <c r="ET167" s="188"/>
      <c r="EV167" s="188"/>
      <c r="EZ167" s="188"/>
      <c r="FA167" s="188"/>
      <c r="FB167" s="188"/>
      <c r="FD167" s="188"/>
      <c r="FE167" s="188"/>
      <c r="FF167" s="188"/>
      <c r="FG167" s="188"/>
      <c r="FH167" s="188"/>
      <c r="FI167" s="188"/>
      <c r="FJ167" s="188"/>
      <c r="FK167" s="188"/>
      <c r="FL167" s="188"/>
      <c r="FM167" s="188"/>
      <c r="FN167" s="188"/>
      <c r="FO167" s="188"/>
      <c r="FP167" s="188"/>
      <c r="FQ167" s="188"/>
      <c r="FR167" s="188"/>
      <c r="FS167" s="188"/>
      <c r="FT167" s="188"/>
      <c r="FU167" s="188"/>
      <c r="FV167" s="188"/>
      <c r="FW167" s="188"/>
      <c r="FX167" s="188"/>
      <c r="FY167" s="188"/>
      <c r="FZ167" s="188"/>
      <c r="GA167" s="188"/>
      <c r="GB167" s="188"/>
      <c r="GC167" s="188"/>
      <c r="GD167" s="188"/>
      <c r="GE167" s="188"/>
      <c r="GF167" s="188"/>
      <c r="GH167" s="188"/>
      <c r="GI167" s="188"/>
      <c r="GJ167" s="188"/>
      <c r="GK167" s="188"/>
      <c r="GL167" s="14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</row>
    <row r="168" spans="1:206" x14ac:dyDescent="0.3">
      <c r="A168" s="22"/>
      <c r="B168" s="20"/>
      <c r="C168" s="14"/>
      <c r="D168" s="14"/>
      <c r="E168" s="188"/>
      <c r="F168" s="188"/>
      <c r="G168" s="188"/>
      <c r="H168" s="188"/>
      <c r="I168" s="188"/>
      <c r="J168" s="188"/>
      <c r="Z168" s="188"/>
      <c r="AA168" s="188"/>
      <c r="AB168" s="188"/>
      <c r="AD168" s="188"/>
      <c r="AH168" s="188"/>
      <c r="AI168" s="188"/>
      <c r="AJ168" s="188"/>
      <c r="AP168" s="188"/>
      <c r="AQ168" s="188"/>
      <c r="AR168" s="188"/>
      <c r="BC168" s="188"/>
      <c r="BF168" s="188"/>
      <c r="BG168" s="188"/>
      <c r="BH168" s="188"/>
      <c r="BI168" s="188"/>
      <c r="BJ168" s="188"/>
      <c r="BK168" s="188"/>
      <c r="BL168" s="188"/>
      <c r="BM168" s="188"/>
      <c r="BN168" s="188"/>
      <c r="BO168" s="188"/>
      <c r="BP168" s="188"/>
      <c r="BQ168" s="188"/>
      <c r="BR168" s="188"/>
      <c r="BS168" s="188"/>
      <c r="BT168" s="188"/>
      <c r="BU168" s="188"/>
      <c r="BV168" s="188"/>
      <c r="BZ168" s="188"/>
      <c r="CA168" s="188"/>
      <c r="CB168" s="188"/>
      <c r="CC168" s="188"/>
      <c r="CD168" s="188"/>
      <c r="CE168" s="188"/>
      <c r="CF168" s="188"/>
      <c r="CG168" s="188"/>
      <c r="CH168" s="188"/>
      <c r="CI168" s="188"/>
      <c r="CJ168" s="188"/>
      <c r="CK168" s="188"/>
      <c r="CL168" s="188"/>
      <c r="CM168" s="188"/>
      <c r="CN168" s="188"/>
      <c r="CO168" s="188"/>
      <c r="CP168" s="188"/>
      <c r="CQ168" s="188"/>
      <c r="CR168" s="188"/>
      <c r="CS168" s="188"/>
      <c r="CT168" s="188"/>
      <c r="CU168" s="188"/>
      <c r="CV168" s="188"/>
      <c r="CW168" s="188"/>
      <c r="CX168" s="188"/>
      <c r="DB168" s="188"/>
      <c r="DC168" s="188"/>
      <c r="DD168" s="188"/>
      <c r="DE168" s="188"/>
      <c r="DF168" s="188"/>
      <c r="DG168" s="188"/>
      <c r="DH168" s="188"/>
      <c r="DI168" s="188"/>
      <c r="DJ168" s="188"/>
      <c r="DK168" s="188"/>
      <c r="DL168" s="188"/>
      <c r="DM168" s="188"/>
      <c r="DN168" s="188"/>
      <c r="DO168" s="188"/>
      <c r="DP168" s="188"/>
      <c r="DQ168" s="188"/>
      <c r="DR168" s="188"/>
      <c r="DS168" s="188"/>
      <c r="DT168" s="188"/>
      <c r="DU168" s="188"/>
      <c r="DV168" s="188"/>
      <c r="DW168" s="188"/>
      <c r="DX168" s="188"/>
      <c r="DY168" s="188"/>
      <c r="DZ168" s="188"/>
      <c r="EA168" s="188"/>
      <c r="EB168" s="188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S168" s="188"/>
      <c r="ET168" s="188"/>
      <c r="EV168" s="188"/>
      <c r="EZ168" s="188"/>
      <c r="FA168" s="188"/>
      <c r="FB168" s="188"/>
      <c r="FD168" s="188"/>
      <c r="FE168" s="188"/>
      <c r="FF168" s="188"/>
      <c r="FG168" s="188"/>
      <c r="FH168" s="188"/>
      <c r="FI168" s="188"/>
      <c r="FJ168" s="188"/>
      <c r="FK168" s="188"/>
      <c r="FL168" s="188"/>
      <c r="FM168" s="188"/>
      <c r="FN168" s="188"/>
      <c r="FO168" s="188"/>
      <c r="FP168" s="188"/>
      <c r="FQ168" s="188"/>
      <c r="FR168" s="188"/>
      <c r="FS168" s="188"/>
      <c r="FT168" s="188"/>
      <c r="FU168" s="188"/>
      <c r="FV168" s="188"/>
      <c r="FW168" s="188"/>
      <c r="FX168" s="188"/>
      <c r="FY168" s="188"/>
      <c r="FZ168" s="188"/>
      <c r="GA168" s="188"/>
      <c r="GB168" s="188"/>
      <c r="GC168" s="188"/>
      <c r="GD168" s="188"/>
      <c r="GE168" s="188"/>
      <c r="GF168" s="188"/>
      <c r="GH168" s="188"/>
      <c r="GI168" s="188"/>
      <c r="GJ168" s="188"/>
      <c r="GK168" s="188"/>
      <c r="GL168" s="14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</row>
    <row r="169" spans="1:206" x14ac:dyDescent="0.3">
      <c r="A169" s="22"/>
      <c r="B169" s="20"/>
      <c r="C169" s="14"/>
      <c r="D169" s="14"/>
      <c r="E169" s="188"/>
      <c r="F169" s="188"/>
      <c r="G169" s="188"/>
      <c r="H169" s="188"/>
      <c r="I169" s="188"/>
      <c r="J169" s="188"/>
      <c r="Z169" s="188"/>
      <c r="AA169" s="188"/>
      <c r="AB169" s="188"/>
      <c r="AD169" s="188"/>
      <c r="AH169" s="188"/>
      <c r="AI169" s="188"/>
      <c r="AJ169" s="188"/>
      <c r="AP169" s="188"/>
      <c r="AQ169" s="188"/>
      <c r="AR169" s="188"/>
      <c r="BC169" s="188"/>
      <c r="BF169" s="188"/>
      <c r="BG169" s="188"/>
      <c r="BH169" s="188"/>
      <c r="BI169" s="188"/>
      <c r="BJ169" s="188"/>
      <c r="BK169" s="188"/>
      <c r="BL169" s="188"/>
      <c r="BM169" s="188"/>
      <c r="BN169" s="188"/>
      <c r="BO169" s="188"/>
      <c r="BP169" s="188"/>
      <c r="BQ169" s="188"/>
      <c r="BR169" s="188"/>
      <c r="BS169" s="188"/>
      <c r="BT169" s="188"/>
      <c r="BU169" s="188"/>
      <c r="BV169" s="188"/>
      <c r="BZ169" s="188"/>
      <c r="CA169" s="188"/>
      <c r="CB169" s="188"/>
      <c r="CC169" s="188"/>
      <c r="CD169" s="188"/>
      <c r="CE169" s="188"/>
      <c r="CF169" s="188"/>
      <c r="CG169" s="188"/>
      <c r="CH169" s="188"/>
      <c r="CI169" s="188"/>
      <c r="CJ169" s="188"/>
      <c r="CK169" s="188"/>
      <c r="CL169" s="188"/>
      <c r="CM169" s="188"/>
      <c r="CN169" s="188"/>
      <c r="CO169" s="188"/>
      <c r="CP169" s="188"/>
      <c r="CQ169" s="188"/>
      <c r="CR169" s="188"/>
      <c r="CS169" s="188"/>
      <c r="CT169" s="188"/>
      <c r="CU169" s="188"/>
      <c r="CV169" s="188"/>
      <c r="CW169" s="188"/>
      <c r="CX169" s="188"/>
      <c r="DB169" s="188"/>
      <c r="DC169" s="188"/>
      <c r="DD169" s="188"/>
      <c r="DE169" s="188"/>
      <c r="DF169" s="188"/>
      <c r="DG169" s="188"/>
      <c r="DH169" s="188"/>
      <c r="DI169" s="188"/>
      <c r="DJ169" s="188"/>
      <c r="DK169" s="188"/>
      <c r="DL169" s="188"/>
      <c r="DM169" s="188"/>
      <c r="DN169" s="188"/>
      <c r="DO169" s="188"/>
      <c r="DP169" s="188"/>
      <c r="DQ169" s="188"/>
      <c r="DR169" s="188"/>
      <c r="DS169" s="188"/>
      <c r="DT169" s="188"/>
      <c r="DU169" s="188"/>
      <c r="DV169" s="188"/>
      <c r="DW169" s="188"/>
      <c r="DX169" s="188"/>
      <c r="DY169" s="188"/>
      <c r="DZ169" s="188"/>
      <c r="EA169" s="188"/>
      <c r="EB169" s="188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S169" s="188"/>
      <c r="ET169" s="188"/>
      <c r="EV169" s="188"/>
      <c r="EZ169" s="188"/>
      <c r="FA169" s="188"/>
      <c r="FB169" s="188"/>
      <c r="FD169" s="188"/>
      <c r="FE169" s="188"/>
      <c r="FF169" s="188"/>
      <c r="FG169" s="188"/>
      <c r="FH169" s="188"/>
      <c r="FI169" s="188"/>
      <c r="FJ169" s="188"/>
      <c r="FK169" s="188"/>
      <c r="FL169" s="188"/>
      <c r="FM169" s="188"/>
      <c r="FN169" s="188"/>
      <c r="FO169" s="188"/>
      <c r="FP169" s="188"/>
      <c r="FQ169" s="188"/>
      <c r="FR169" s="188"/>
      <c r="FS169" s="188"/>
      <c r="FT169" s="188"/>
      <c r="FU169" s="188"/>
      <c r="FV169" s="188"/>
      <c r="FW169" s="188"/>
      <c r="FX169" s="188"/>
      <c r="FY169" s="188"/>
      <c r="FZ169" s="188"/>
      <c r="GA169" s="188"/>
      <c r="GB169" s="188"/>
      <c r="GC169" s="188"/>
      <c r="GD169" s="188"/>
      <c r="GE169" s="188"/>
      <c r="GF169" s="188"/>
      <c r="GH169" s="188"/>
      <c r="GI169" s="188"/>
      <c r="GJ169" s="188"/>
      <c r="GK169" s="188"/>
      <c r="GL169" s="14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</row>
    <row r="170" spans="1:206" x14ac:dyDescent="0.3">
      <c r="A170" s="22"/>
      <c r="B170" s="20"/>
      <c r="C170" s="14"/>
      <c r="D170" s="14"/>
      <c r="E170" s="188"/>
      <c r="F170" s="188"/>
      <c r="G170" s="188"/>
      <c r="H170" s="188"/>
      <c r="I170" s="188"/>
      <c r="J170" s="188"/>
      <c r="Z170" s="188"/>
      <c r="AA170" s="188"/>
      <c r="AB170" s="188"/>
      <c r="AD170" s="188"/>
      <c r="AH170" s="188"/>
      <c r="AI170" s="188"/>
      <c r="AJ170" s="188"/>
      <c r="AP170" s="188"/>
      <c r="AQ170" s="188"/>
      <c r="AR170" s="188"/>
      <c r="BC170" s="188"/>
      <c r="BF170" s="188"/>
      <c r="BG170" s="188"/>
      <c r="BH170" s="188"/>
      <c r="BI170" s="188"/>
      <c r="BJ170" s="188"/>
      <c r="BK170" s="188"/>
      <c r="BL170" s="188"/>
      <c r="BM170" s="188"/>
      <c r="BN170" s="188"/>
      <c r="BO170" s="188"/>
      <c r="BP170" s="188"/>
      <c r="BQ170" s="188"/>
      <c r="BR170" s="188"/>
      <c r="BS170" s="188"/>
      <c r="BT170" s="188"/>
      <c r="BU170" s="188"/>
      <c r="BV170" s="188"/>
      <c r="BZ170" s="188"/>
      <c r="CA170" s="188"/>
      <c r="CB170" s="188"/>
      <c r="CC170" s="188"/>
      <c r="CD170" s="188"/>
      <c r="CE170" s="188"/>
      <c r="CF170" s="188"/>
      <c r="CG170" s="188"/>
      <c r="CH170" s="188"/>
      <c r="CI170" s="188"/>
      <c r="CJ170" s="188"/>
      <c r="CK170" s="188"/>
      <c r="CL170" s="188"/>
      <c r="CM170" s="188"/>
      <c r="CN170" s="188"/>
      <c r="CO170" s="188"/>
      <c r="CP170" s="188"/>
      <c r="CQ170" s="188"/>
      <c r="CR170" s="188"/>
      <c r="CS170" s="188"/>
      <c r="CT170" s="188"/>
      <c r="CU170" s="188"/>
      <c r="CV170" s="188"/>
      <c r="CW170" s="188"/>
      <c r="CX170" s="188"/>
      <c r="DB170" s="188"/>
      <c r="DC170" s="188"/>
      <c r="DD170" s="188"/>
      <c r="DE170" s="188"/>
      <c r="DF170" s="188"/>
      <c r="DG170" s="188"/>
      <c r="DH170" s="188"/>
      <c r="DI170" s="188"/>
      <c r="DJ170" s="188"/>
      <c r="DK170" s="188"/>
      <c r="DL170" s="188"/>
      <c r="DM170" s="188"/>
      <c r="DN170" s="188"/>
      <c r="DO170" s="188"/>
      <c r="DP170" s="188"/>
      <c r="DQ170" s="188"/>
      <c r="DR170" s="188"/>
      <c r="DS170" s="188"/>
      <c r="DT170" s="188"/>
      <c r="DU170" s="188"/>
      <c r="DV170" s="188"/>
      <c r="DW170" s="188"/>
      <c r="DX170" s="188"/>
      <c r="DY170" s="188"/>
      <c r="DZ170" s="188"/>
      <c r="EA170" s="188"/>
      <c r="EB170" s="188"/>
      <c r="EC170" s="188"/>
      <c r="ED170" s="188"/>
      <c r="EE170" s="188"/>
      <c r="EF170" s="188"/>
      <c r="EG170" s="188"/>
      <c r="EH170" s="188"/>
      <c r="EI170" s="188"/>
      <c r="EJ170" s="188"/>
      <c r="EK170" s="188"/>
      <c r="EL170" s="188"/>
      <c r="EM170" s="188"/>
      <c r="EN170" s="188"/>
      <c r="EO170" s="188"/>
      <c r="EP170" s="188"/>
      <c r="EQ170" s="188"/>
      <c r="ES170" s="188"/>
      <c r="ET170" s="188"/>
      <c r="EU170" s="188"/>
      <c r="EV170" s="188"/>
      <c r="EW170" s="188"/>
      <c r="EX170" s="188"/>
      <c r="EY170" s="188"/>
      <c r="EZ170" s="188"/>
      <c r="FA170" s="188"/>
      <c r="FB170" s="188"/>
      <c r="FD170" s="188"/>
      <c r="FE170" s="188"/>
      <c r="FF170" s="188"/>
      <c r="FG170" s="188"/>
      <c r="FH170" s="188"/>
      <c r="FI170" s="188"/>
      <c r="FJ170" s="188"/>
      <c r="FK170" s="188"/>
      <c r="FL170" s="188"/>
      <c r="FM170" s="188"/>
      <c r="FN170" s="188"/>
      <c r="FO170" s="188"/>
      <c r="FP170" s="188"/>
      <c r="FQ170" s="188"/>
      <c r="FR170" s="188"/>
      <c r="FS170" s="188"/>
      <c r="FT170" s="188"/>
      <c r="FU170" s="188"/>
      <c r="FV170" s="188"/>
      <c r="FW170" s="188"/>
      <c r="FX170" s="188"/>
      <c r="FY170" s="188"/>
      <c r="FZ170" s="188"/>
      <c r="GA170" s="188"/>
      <c r="GB170" s="188"/>
      <c r="GC170" s="188"/>
      <c r="GD170" s="188"/>
      <c r="GE170" s="188"/>
      <c r="GF170" s="188"/>
      <c r="GH170" s="188"/>
      <c r="GI170" s="188"/>
      <c r="GJ170" s="188"/>
      <c r="GK170" s="188"/>
      <c r="GL170" s="14"/>
      <c r="GM170" s="188"/>
      <c r="GN170" s="188"/>
      <c r="GO170" s="188"/>
      <c r="GP170" s="188"/>
      <c r="GQ170" s="188"/>
      <c r="GR170" s="188"/>
      <c r="GS170" s="188"/>
      <c r="GT170" s="188"/>
      <c r="GU170" s="188"/>
      <c r="GV170" s="188"/>
      <c r="GW170" s="188"/>
      <c r="GX170" s="188"/>
    </row>
    <row r="171" spans="1:206" x14ac:dyDescent="0.3">
      <c r="A171" s="22"/>
      <c r="B171" s="20"/>
      <c r="C171" s="14"/>
      <c r="D171" s="14"/>
      <c r="E171" s="188"/>
      <c r="F171" s="188"/>
      <c r="G171" s="188"/>
      <c r="H171" s="188"/>
      <c r="I171" s="188"/>
      <c r="J171" s="188"/>
      <c r="Z171" s="188"/>
      <c r="AA171" s="188"/>
      <c r="AB171" s="188"/>
      <c r="AD171" s="188"/>
      <c r="AH171" s="188"/>
      <c r="AI171" s="188"/>
      <c r="AJ171" s="188"/>
      <c r="AP171" s="188"/>
      <c r="AQ171" s="188"/>
      <c r="AR171" s="188"/>
      <c r="BC171" s="188"/>
      <c r="BF171" s="188"/>
      <c r="BG171" s="188"/>
      <c r="BH171" s="188"/>
      <c r="BI171" s="188"/>
      <c r="BJ171" s="188"/>
      <c r="BK171" s="188"/>
      <c r="BL171" s="188"/>
      <c r="BM171" s="188"/>
      <c r="BN171" s="188"/>
      <c r="BO171" s="188"/>
      <c r="BP171" s="188"/>
      <c r="BQ171" s="188"/>
      <c r="BR171" s="188"/>
      <c r="BS171" s="188"/>
      <c r="BT171" s="188"/>
      <c r="BU171" s="188"/>
      <c r="BV171" s="188"/>
      <c r="BW171" s="188"/>
      <c r="BX171" s="188"/>
      <c r="BY171" s="188"/>
      <c r="BZ171" s="188"/>
      <c r="CA171" s="188"/>
      <c r="CB171" s="188"/>
      <c r="CC171" s="188"/>
      <c r="CD171" s="188"/>
      <c r="CE171" s="188"/>
      <c r="CF171" s="188"/>
      <c r="CG171" s="188"/>
      <c r="CH171" s="188"/>
      <c r="CI171" s="188"/>
      <c r="CJ171" s="188"/>
      <c r="CK171" s="188"/>
      <c r="CL171" s="188"/>
      <c r="CM171" s="188"/>
      <c r="CN171" s="188"/>
      <c r="CO171" s="188"/>
      <c r="CP171" s="188"/>
      <c r="CQ171" s="188"/>
      <c r="CR171" s="188"/>
      <c r="CS171" s="188"/>
      <c r="CT171" s="188"/>
      <c r="CU171" s="188"/>
      <c r="CV171" s="188"/>
      <c r="CW171" s="188"/>
      <c r="CX171" s="188"/>
      <c r="DB171" s="188"/>
      <c r="DC171" s="188"/>
      <c r="DD171" s="188"/>
      <c r="DE171" s="188"/>
      <c r="DF171" s="188"/>
      <c r="DG171" s="188"/>
      <c r="DH171" s="188"/>
      <c r="DI171" s="188"/>
      <c r="DJ171" s="188"/>
      <c r="DK171" s="188"/>
      <c r="DL171" s="188"/>
      <c r="DM171" s="188"/>
      <c r="DN171" s="188"/>
      <c r="DO171" s="188"/>
      <c r="DP171" s="188"/>
      <c r="DQ171" s="188"/>
      <c r="DR171" s="188"/>
      <c r="DS171" s="188"/>
      <c r="DT171" s="188"/>
      <c r="DU171" s="188"/>
      <c r="DV171" s="188"/>
      <c r="DW171" s="188"/>
      <c r="DX171" s="188"/>
      <c r="DY171" s="188"/>
      <c r="DZ171" s="188"/>
      <c r="EA171" s="188"/>
      <c r="EB171" s="188"/>
      <c r="EC171" s="188"/>
      <c r="ED171" s="188"/>
      <c r="EE171" s="188"/>
      <c r="EF171" s="188"/>
      <c r="EG171" s="188"/>
      <c r="EH171" s="188"/>
      <c r="EI171" s="188"/>
      <c r="EK171" s="188"/>
      <c r="EL171" s="188"/>
      <c r="EM171" s="188"/>
      <c r="EN171" s="188"/>
      <c r="EO171" s="188"/>
      <c r="EP171" s="188"/>
      <c r="EQ171" s="188"/>
      <c r="ES171" s="188"/>
      <c r="ET171" s="188"/>
      <c r="EU171" s="188"/>
      <c r="EV171" s="188"/>
      <c r="EW171" s="188"/>
      <c r="EX171" s="188"/>
      <c r="EY171" s="188"/>
      <c r="EZ171" s="188"/>
      <c r="FA171" s="188"/>
      <c r="FB171" s="188"/>
      <c r="FD171" s="188"/>
      <c r="FE171" s="188"/>
      <c r="FF171" s="188"/>
      <c r="FG171" s="188"/>
      <c r="FH171" s="188"/>
      <c r="FI171" s="188"/>
      <c r="FJ171" s="188"/>
      <c r="FK171" s="188"/>
      <c r="FL171" s="188"/>
      <c r="FM171" s="188"/>
      <c r="FN171" s="188"/>
      <c r="FO171" s="188"/>
      <c r="FP171" s="188"/>
      <c r="FQ171" s="188"/>
      <c r="FR171" s="188"/>
      <c r="FS171" s="188"/>
      <c r="FT171" s="188"/>
      <c r="FU171" s="188"/>
      <c r="FV171" s="188"/>
      <c r="FW171" s="188"/>
      <c r="FX171" s="188"/>
      <c r="FY171" s="188"/>
      <c r="FZ171" s="188"/>
      <c r="GA171" s="188"/>
      <c r="GB171" s="188"/>
      <c r="GC171" s="188"/>
      <c r="GD171" s="188"/>
      <c r="GE171" s="188"/>
      <c r="GF171" s="188"/>
      <c r="GH171" s="188"/>
      <c r="GI171" s="188"/>
      <c r="GJ171" s="188"/>
      <c r="GK171" s="188"/>
      <c r="GL171" s="14"/>
      <c r="GM171" s="188"/>
      <c r="GO171" s="188"/>
      <c r="GP171" s="188"/>
      <c r="GQ171" s="188"/>
      <c r="GR171" s="188"/>
      <c r="GS171" s="188"/>
      <c r="GT171" s="188"/>
      <c r="GU171" s="188"/>
      <c r="GV171" s="188"/>
      <c r="GW171" s="188"/>
      <c r="GX171" s="188"/>
    </row>
    <row r="172" spans="1:206" x14ac:dyDescent="0.3">
      <c r="A172" s="22"/>
      <c r="B172" s="20"/>
      <c r="C172" s="14"/>
      <c r="D172" s="14"/>
      <c r="E172" s="188"/>
      <c r="F172" s="188"/>
      <c r="G172" s="188"/>
      <c r="H172" s="188"/>
      <c r="I172" s="188"/>
      <c r="J172" s="188"/>
      <c r="Z172" s="188"/>
      <c r="AA172" s="188"/>
      <c r="AB172" s="188"/>
      <c r="AD172" s="188"/>
      <c r="AH172" s="188"/>
      <c r="AI172" s="188"/>
      <c r="AJ172" s="188"/>
      <c r="AP172" s="188"/>
      <c r="AQ172" s="188"/>
      <c r="AR172" s="188"/>
      <c r="BC172" s="188"/>
      <c r="BF172" s="188"/>
      <c r="BG172" s="188"/>
      <c r="BH172" s="188"/>
      <c r="BI172" s="188"/>
      <c r="BJ172" s="188"/>
      <c r="BK172" s="188"/>
      <c r="BL172" s="188"/>
      <c r="BM172" s="188"/>
      <c r="BN172" s="188"/>
      <c r="BO172" s="188"/>
      <c r="BP172" s="188"/>
      <c r="BQ172" s="188"/>
      <c r="BR172" s="188"/>
      <c r="BS172" s="188"/>
      <c r="BT172" s="188"/>
      <c r="BU172" s="188"/>
      <c r="BV172" s="188"/>
      <c r="BW172" s="188"/>
      <c r="BX172" s="188"/>
      <c r="BY172" s="188"/>
      <c r="BZ172" s="188"/>
      <c r="CA172" s="188"/>
      <c r="CB172" s="188"/>
      <c r="CC172" s="188"/>
      <c r="CD172" s="188"/>
      <c r="CE172" s="188"/>
      <c r="CF172" s="188"/>
      <c r="CG172" s="188"/>
      <c r="CH172" s="188"/>
      <c r="CI172" s="188"/>
      <c r="CJ172" s="188"/>
      <c r="CK172" s="188"/>
      <c r="CL172" s="188"/>
      <c r="CM172" s="188"/>
      <c r="CN172" s="188"/>
      <c r="CO172" s="188"/>
      <c r="CP172" s="188"/>
      <c r="CQ172" s="188"/>
      <c r="CR172" s="188"/>
      <c r="CS172" s="188"/>
      <c r="CT172" s="188"/>
      <c r="CU172" s="188"/>
      <c r="CV172" s="188"/>
      <c r="CW172" s="188"/>
      <c r="CX172" s="188"/>
      <c r="DB172" s="188"/>
      <c r="DC172" s="188"/>
      <c r="DD172" s="188"/>
      <c r="DE172" s="188"/>
      <c r="DF172" s="188"/>
      <c r="DG172" s="188"/>
      <c r="DH172" s="188"/>
      <c r="DI172" s="188"/>
      <c r="DJ172" s="188"/>
      <c r="DK172" s="188"/>
      <c r="DL172" s="188"/>
      <c r="DM172" s="188"/>
      <c r="DN172" s="188"/>
      <c r="DO172" s="188"/>
      <c r="DP172" s="188"/>
      <c r="DQ172" s="188"/>
      <c r="DR172" s="188"/>
      <c r="DS172" s="188"/>
      <c r="DT172" s="188"/>
      <c r="DU172" s="188"/>
      <c r="DV172" s="188"/>
      <c r="DW172" s="188"/>
      <c r="DX172" s="188"/>
      <c r="DY172" s="188"/>
      <c r="DZ172" s="188"/>
      <c r="EA172" s="188"/>
      <c r="EB172" s="188"/>
      <c r="EC172" s="188"/>
      <c r="ED172" s="188"/>
      <c r="EE172" s="188"/>
      <c r="EF172" s="188"/>
      <c r="EG172" s="188"/>
      <c r="EH172" s="188"/>
      <c r="EI172" s="188"/>
      <c r="EK172" s="188"/>
      <c r="EL172" s="188"/>
      <c r="EM172" s="188"/>
      <c r="EN172" s="188"/>
      <c r="EO172" s="188"/>
      <c r="EP172" s="188"/>
      <c r="EQ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8"/>
      <c r="FD172" s="188"/>
      <c r="FE172" s="188"/>
      <c r="FF172" s="188"/>
      <c r="FG172" s="188"/>
      <c r="FH172" s="188"/>
      <c r="FI172" s="188"/>
      <c r="FJ172" s="188"/>
      <c r="FK172" s="188"/>
      <c r="FL172" s="188"/>
      <c r="FM172" s="188"/>
      <c r="FN172" s="188"/>
      <c r="FO172" s="188"/>
      <c r="FP172" s="188"/>
      <c r="FQ172" s="188"/>
      <c r="FR172" s="188"/>
      <c r="FS172" s="188"/>
      <c r="FT172" s="188"/>
      <c r="FU172" s="188"/>
      <c r="FV172" s="188"/>
      <c r="FW172" s="188"/>
      <c r="FX172" s="188"/>
      <c r="FY172" s="188"/>
      <c r="FZ172" s="188"/>
      <c r="GA172" s="188"/>
      <c r="GB172" s="188"/>
      <c r="GC172" s="188"/>
      <c r="GD172" s="188"/>
      <c r="GE172" s="188"/>
      <c r="GF172" s="188"/>
      <c r="GH172" s="188"/>
      <c r="GI172" s="188"/>
      <c r="GJ172" s="188"/>
      <c r="GK172" s="188"/>
      <c r="GM172" s="188"/>
      <c r="GO172" s="188"/>
      <c r="GP172" s="188"/>
      <c r="GQ172" s="188"/>
      <c r="GR172" s="188"/>
      <c r="GS172" s="188"/>
      <c r="GT172" s="188"/>
      <c r="GU172" s="188"/>
      <c r="GV172" s="188"/>
      <c r="GW172" s="188"/>
      <c r="GX172" s="188"/>
    </row>
    <row r="173" spans="1:206" x14ac:dyDescent="0.3">
      <c r="H173"/>
      <c r="FX173"/>
    </row>
    <row r="174" spans="1:206" x14ac:dyDescent="0.3">
      <c r="H174"/>
      <c r="FX174"/>
    </row>
    <row r="175" spans="1:206" x14ac:dyDescent="0.3">
      <c r="H175"/>
      <c r="FX175"/>
    </row>
    <row r="176" spans="1:206" x14ac:dyDescent="0.3">
      <c r="H176"/>
      <c r="FX176"/>
    </row>
    <row r="177" spans="8:180" x14ac:dyDescent="0.3">
      <c r="H177"/>
      <c r="FX177"/>
    </row>
    <row r="178" spans="8:180" x14ac:dyDescent="0.3">
      <c r="H178"/>
      <c r="FX178"/>
    </row>
    <row r="179" spans="8:180" x14ac:dyDescent="0.3">
      <c r="H179"/>
      <c r="FX179"/>
    </row>
    <row r="180" spans="8:180" x14ac:dyDescent="0.3">
      <c r="H180"/>
      <c r="FX180"/>
    </row>
    <row r="181" spans="8:180" x14ac:dyDescent="0.3">
      <c r="H181"/>
      <c r="FX181"/>
    </row>
    <row r="182" spans="8:180" x14ac:dyDescent="0.3">
      <c r="H182"/>
      <c r="FX182"/>
    </row>
    <row r="183" spans="8:180" x14ac:dyDescent="0.3">
      <c r="H183"/>
      <c r="FX183"/>
    </row>
    <row r="184" spans="8:180" x14ac:dyDescent="0.3">
      <c r="H184"/>
      <c r="FX184"/>
    </row>
    <row r="185" spans="8:180" x14ac:dyDescent="0.3">
      <c r="H185"/>
      <c r="FX185"/>
    </row>
    <row r="186" spans="8:180" x14ac:dyDescent="0.3">
      <c r="H186"/>
      <c r="FX186"/>
    </row>
    <row r="187" spans="8:180" x14ac:dyDescent="0.3">
      <c r="H187"/>
      <c r="FX187"/>
    </row>
    <row r="188" spans="8:180" x14ac:dyDescent="0.3">
      <c r="H188"/>
      <c r="FX188"/>
    </row>
    <row r="189" spans="8:180" x14ac:dyDescent="0.3">
      <c r="H189"/>
      <c r="FX189"/>
    </row>
    <row r="190" spans="8:180" x14ac:dyDescent="0.3">
      <c r="H190"/>
      <c r="FX190"/>
    </row>
    <row r="191" spans="8:180" x14ac:dyDescent="0.3">
      <c r="H191"/>
      <c r="FX191"/>
    </row>
    <row r="192" spans="8:180" x14ac:dyDescent="0.3">
      <c r="H192"/>
      <c r="FX192"/>
    </row>
    <row r="193" spans="8:180" x14ac:dyDescent="0.3">
      <c r="H193"/>
      <c r="FX193"/>
    </row>
    <row r="194" spans="8:180" x14ac:dyDescent="0.3">
      <c r="H194"/>
      <c r="FX194"/>
    </row>
    <row r="195" spans="8:180" x14ac:dyDescent="0.3">
      <c r="H195"/>
      <c r="FX195"/>
    </row>
    <row r="196" spans="8:180" x14ac:dyDescent="0.3">
      <c r="H196"/>
      <c r="FX196"/>
    </row>
    <row r="197" spans="8:180" x14ac:dyDescent="0.3">
      <c r="H197"/>
      <c r="FX197"/>
    </row>
    <row r="198" spans="8:180" x14ac:dyDescent="0.3">
      <c r="H198"/>
      <c r="FX198"/>
    </row>
    <row r="199" spans="8:180" x14ac:dyDescent="0.3">
      <c r="H199"/>
      <c r="FX199"/>
    </row>
    <row r="200" spans="8:180" x14ac:dyDescent="0.3">
      <c r="H200"/>
      <c r="FX200"/>
    </row>
    <row r="201" spans="8:180" x14ac:dyDescent="0.3">
      <c r="H201"/>
      <c r="FX201"/>
    </row>
    <row r="202" spans="8:180" x14ac:dyDescent="0.3">
      <c r="H202"/>
      <c r="FX202"/>
    </row>
    <row r="203" spans="8:180" x14ac:dyDescent="0.3">
      <c r="H203"/>
      <c r="FX203"/>
    </row>
    <row r="204" spans="8:180" x14ac:dyDescent="0.3">
      <c r="H204"/>
      <c r="FX204"/>
    </row>
    <row r="205" spans="8:180" x14ac:dyDescent="0.3">
      <c r="H205"/>
      <c r="FX205"/>
    </row>
    <row r="206" spans="8:180" x14ac:dyDescent="0.3">
      <c r="H206"/>
      <c r="FX206"/>
    </row>
    <row r="207" spans="8:180" x14ac:dyDescent="0.3">
      <c r="H207"/>
      <c r="FX207"/>
    </row>
    <row r="208" spans="8:180" x14ac:dyDescent="0.3">
      <c r="H208"/>
      <c r="FX208"/>
    </row>
    <row r="209" spans="8:180" x14ac:dyDescent="0.3">
      <c r="H209"/>
      <c r="FX209"/>
    </row>
    <row r="210" spans="8:180" x14ac:dyDescent="0.3">
      <c r="H210"/>
      <c r="FX210"/>
    </row>
    <row r="211" spans="8:180" x14ac:dyDescent="0.3">
      <c r="H211"/>
      <c r="FX211"/>
    </row>
    <row r="212" spans="8:180" x14ac:dyDescent="0.3">
      <c r="H212"/>
      <c r="FX212"/>
    </row>
    <row r="213" spans="8:180" x14ac:dyDescent="0.3">
      <c r="H213"/>
      <c r="FX213"/>
    </row>
    <row r="214" spans="8:180" x14ac:dyDescent="0.3">
      <c r="H214"/>
      <c r="FX214"/>
    </row>
    <row r="215" spans="8:180" x14ac:dyDescent="0.3">
      <c r="H215"/>
      <c r="FX215"/>
    </row>
    <row r="216" spans="8:180" x14ac:dyDescent="0.3">
      <c r="H216"/>
      <c r="FX216"/>
    </row>
    <row r="217" spans="8:180" x14ac:dyDescent="0.3">
      <c r="H217"/>
      <c r="FX217"/>
    </row>
    <row r="218" spans="8:180" x14ac:dyDescent="0.3">
      <c r="H218"/>
      <c r="FX218"/>
    </row>
    <row r="219" spans="8:180" x14ac:dyDescent="0.3">
      <c r="H219"/>
      <c r="FX219"/>
    </row>
    <row r="220" spans="8:180" x14ac:dyDescent="0.3">
      <c r="H220"/>
      <c r="FX220"/>
    </row>
    <row r="221" spans="8:180" x14ac:dyDescent="0.3">
      <c r="H221"/>
      <c r="FX221"/>
    </row>
    <row r="222" spans="8:180" x14ac:dyDescent="0.3">
      <c r="H222"/>
      <c r="FX222"/>
    </row>
    <row r="223" spans="8:180" x14ac:dyDescent="0.3">
      <c r="H223"/>
      <c r="FX223"/>
    </row>
    <row r="224" spans="8:180" x14ac:dyDescent="0.3">
      <c r="H224"/>
      <c r="FX224"/>
    </row>
    <row r="225" spans="8:180" x14ac:dyDescent="0.3">
      <c r="H225"/>
      <c r="FX225"/>
    </row>
    <row r="226" spans="8:180" x14ac:dyDescent="0.3">
      <c r="H226"/>
      <c r="FX226"/>
    </row>
    <row r="227" spans="8:180" x14ac:dyDescent="0.3">
      <c r="H227"/>
      <c r="FX227"/>
    </row>
    <row r="228" spans="8:180" x14ac:dyDescent="0.3">
      <c r="H228"/>
      <c r="FX228"/>
    </row>
    <row r="229" spans="8:180" x14ac:dyDescent="0.3">
      <c r="H229"/>
      <c r="FX229"/>
    </row>
    <row r="230" spans="8:180" x14ac:dyDescent="0.3">
      <c r="H230"/>
      <c r="FX230"/>
    </row>
    <row r="231" spans="8:180" x14ac:dyDescent="0.3">
      <c r="H231"/>
      <c r="FX231"/>
    </row>
    <row r="232" spans="8:180" x14ac:dyDescent="0.3">
      <c r="H232"/>
      <c r="FX232"/>
    </row>
    <row r="233" spans="8:180" x14ac:dyDescent="0.3">
      <c r="H233"/>
      <c r="FX233"/>
    </row>
    <row r="234" spans="8:180" x14ac:dyDescent="0.3">
      <c r="H234"/>
      <c r="FX234"/>
    </row>
    <row r="235" spans="8:180" x14ac:dyDescent="0.3">
      <c r="H235"/>
      <c r="FX235"/>
    </row>
    <row r="236" spans="8:180" x14ac:dyDescent="0.3">
      <c r="H236"/>
      <c r="FX236"/>
    </row>
    <row r="237" spans="8:180" x14ac:dyDescent="0.3">
      <c r="H237"/>
      <c r="FX237"/>
    </row>
    <row r="238" spans="8:180" x14ac:dyDescent="0.3">
      <c r="H238"/>
      <c r="FX238"/>
    </row>
    <row r="239" spans="8:180" x14ac:dyDescent="0.3">
      <c r="H239"/>
      <c r="FX239"/>
    </row>
    <row r="240" spans="8:180" x14ac:dyDescent="0.3">
      <c r="H240"/>
      <c r="FX240"/>
    </row>
    <row r="241" spans="8:180" x14ac:dyDescent="0.3">
      <c r="H241"/>
      <c r="FX241"/>
    </row>
    <row r="242" spans="8:180" x14ac:dyDescent="0.3">
      <c r="H242"/>
      <c r="FX242"/>
    </row>
    <row r="243" spans="8:180" x14ac:dyDescent="0.3">
      <c r="H243"/>
      <c r="FX243"/>
    </row>
    <row r="244" spans="8:180" x14ac:dyDescent="0.3">
      <c r="H244"/>
      <c r="FX244"/>
    </row>
    <row r="245" spans="8:180" x14ac:dyDescent="0.3">
      <c r="H245"/>
      <c r="FX245"/>
    </row>
    <row r="246" spans="8:180" x14ac:dyDescent="0.3">
      <c r="H246"/>
      <c r="FX246"/>
    </row>
    <row r="247" spans="8:180" x14ac:dyDescent="0.3">
      <c r="H247"/>
      <c r="FX247"/>
    </row>
    <row r="248" spans="8:180" x14ac:dyDescent="0.3">
      <c r="H248"/>
      <c r="FX248"/>
    </row>
    <row r="249" spans="8:180" x14ac:dyDescent="0.3">
      <c r="H249"/>
      <c r="FX249"/>
    </row>
    <row r="250" spans="8:180" x14ac:dyDescent="0.3">
      <c r="H250"/>
      <c r="FX250"/>
    </row>
    <row r="251" spans="8:180" x14ac:dyDescent="0.3">
      <c r="H251"/>
      <c r="FX251"/>
    </row>
    <row r="252" spans="8:180" x14ac:dyDescent="0.3">
      <c r="H252"/>
      <c r="FX252"/>
    </row>
    <row r="253" spans="8:180" x14ac:dyDescent="0.3">
      <c r="H253"/>
      <c r="FX253"/>
    </row>
    <row r="254" spans="8:180" x14ac:dyDescent="0.3">
      <c r="H254"/>
      <c r="FX254"/>
    </row>
    <row r="255" spans="8:180" x14ac:dyDescent="0.3">
      <c r="H255"/>
      <c r="FX255"/>
    </row>
    <row r="256" spans="8:180" x14ac:dyDescent="0.3">
      <c r="H256"/>
      <c r="FX256"/>
    </row>
    <row r="257" spans="8:180" x14ac:dyDescent="0.3">
      <c r="H257"/>
      <c r="FX257"/>
    </row>
    <row r="258" spans="8:180" x14ac:dyDescent="0.3">
      <c r="H258"/>
      <c r="FX258"/>
    </row>
    <row r="259" spans="8:180" x14ac:dyDescent="0.3">
      <c r="H259"/>
      <c r="FX259"/>
    </row>
    <row r="260" spans="8:180" x14ac:dyDescent="0.3">
      <c r="H260"/>
      <c r="FX260"/>
    </row>
    <row r="261" spans="8:180" x14ac:dyDescent="0.3">
      <c r="H261"/>
      <c r="FX261"/>
    </row>
    <row r="262" spans="8:180" x14ac:dyDescent="0.3">
      <c r="H262"/>
      <c r="FX262"/>
    </row>
    <row r="263" spans="8:180" x14ac:dyDescent="0.3">
      <c r="H263"/>
      <c r="FX263"/>
    </row>
    <row r="264" spans="8:180" x14ac:dyDescent="0.3">
      <c r="H264"/>
      <c r="FX264"/>
    </row>
    <row r="265" spans="8:180" x14ac:dyDescent="0.3">
      <c r="H265"/>
      <c r="FX265"/>
    </row>
    <row r="266" spans="8:180" x14ac:dyDescent="0.3">
      <c r="H266"/>
      <c r="FX266"/>
    </row>
    <row r="267" spans="8:180" x14ac:dyDescent="0.3">
      <c r="H267"/>
      <c r="FX267"/>
    </row>
    <row r="268" spans="8:180" x14ac:dyDescent="0.3">
      <c r="H268"/>
      <c r="FX268"/>
    </row>
    <row r="269" spans="8:180" x14ac:dyDescent="0.3">
      <c r="H269"/>
      <c r="FX269"/>
    </row>
    <row r="270" spans="8:180" x14ac:dyDescent="0.3">
      <c r="H270"/>
      <c r="FX270"/>
    </row>
    <row r="271" spans="8:180" x14ac:dyDescent="0.3">
      <c r="H271"/>
      <c r="FX271"/>
    </row>
    <row r="272" spans="8:180" x14ac:dyDescent="0.3">
      <c r="H272"/>
      <c r="FX272"/>
    </row>
    <row r="273" spans="8:180" x14ac:dyDescent="0.3">
      <c r="H273"/>
      <c r="FX273"/>
    </row>
    <row r="274" spans="8:180" x14ac:dyDescent="0.3">
      <c r="H274"/>
      <c r="FX274"/>
    </row>
    <row r="275" spans="8:180" x14ac:dyDescent="0.3">
      <c r="H275"/>
      <c r="FX275"/>
    </row>
    <row r="276" spans="8:180" x14ac:dyDescent="0.3">
      <c r="H276"/>
      <c r="FX276"/>
    </row>
    <row r="277" spans="8:180" x14ac:dyDescent="0.3">
      <c r="H277"/>
      <c r="FX277"/>
    </row>
    <row r="278" spans="8:180" x14ac:dyDescent="0.3">
      <c r="H278"/>
      <c r="FX278"/>
    </row>
    <row r="279" spans="8:180" x14ac:dyDescent="0.3">
      <c r="H279"/>
      <c r="FX279"/>
    </row>
    <row r="280" spans="8:180" x14ac:dyDescent="0.3">
      <c r="H280"/>
      <c r="FX280"/>
    </row>
    <row r="281" spans="8:180" x14ac:dyDescent="0.3">
      <c r="H281"/>
      <c r="FX281"/>
    </row>
    <row r="282" spans="8:180" x14ac:dyDescent="0.3">
      <c r="H282"/>
      <c r="FX282"/>
    </row>
    <row r="283" spans="8:180" x14ac:dyDescent="0.3">
      <c r="H283"/>
      <c r="FX283"/>
    </row>
    <row r="284" spans="8:180" x14ac:dyDescent="0.3">
      <c r="H284"/>
      <c r="FX284"/>
    </row>
    <row r="285" spans="8:180" x14ac:dyDescent="0.3">
      <c r="H285"/>
      <c r="FX285"/>
    </row>
    <row r="286" spans="8:180" x14ac:dyDescent="0.3">
      <c r="H286"/>
      <c r="FX286"/>
    </row>
    <row r="287" spans="8:180" x14ac:dyDescent="0.3">
      <c r="H287"/>
      <c r="FX287"/>
    </row>
    <row r="288" spans="8:180" x14ac:dyDescent="0.3">
      <c r="H288"/>
      <c r="FX288"/>
    </row>
    <row r="289" spans="8:180" x14ac:dyDescent="0.3">
      <c r="H289"/>
      <c r="FX289"/>
    </row>
    <row r="290" spans="8:180" x14ac:dyDescent="0.3">
      <c r="H290"/>
      <c r="FX290"/>
    </row>
    <row r="291" spans="8:180" x14ac:dyDescent="0.3">
      <c r="H291"/>
      <c r="FX291"/>
    </row>
    <row r="292" spans="8:180" x14ac:dyDescent="0.3">
      <c r="H292"/>
      <c r="FX292"/>
    </row>
    <row r="293" spans="8:180" x14ac:dyDescent="0.3">
      <c r="H293"/>
      <c r="FX293"/>
    </row>
    <row r="294" spans="8:180" x14ac:dyDescent="0.3">
      <c r="H294"/>
      <c r="FX294"/>
    </row>
    <row r="295" spans="8:180" x14ac:dyDescent="0.3">
      <c r="H295"/>
      <c r="FX295"/>
    </row>
    <row r="296" spans="8:180" x14ac:dyDescent="0.3">
      <c r="H296"/>
      <c r="FX296"/>
    </row>
    <row r="297" spans="8:180" x14ac:dyDescent="0.3">
      <c r="H297"/>
      <c r="FX297"/>
    </row>
    <row r="298" spans="8:180" x14ac:dyDescent="0.3">
      <c r="H298"/>
      <c r="FX298"/>
    </row>
  </sheetData>
  <mergeCells count="27">
    <mergeCell ref="A9:A10"/>
    <mergeCell ref="A11:A12"/>
    <mergeCell ref="GR4:GU4"/>
    <mergeCell ref="BS5:BS6"/>
    <mergeCell ref="BT5:BT7"/>
    <mergeCell ref="DT5:DT6"/>
    <mergeCell ref="DU5:DU7"/>
    <mergeCell ref="GA5:GA6"/>
    <mergeCell ref="J4:GA4"/>
    <mergeCell ref="GC4:GQ4"/>
    <mergeCell ref="J5:J7"/>
    <mergeCell ref="HB5:HB8"/>
    <mergeCell ref="HC5:HC8"/>
    <mergeCell ref="A104:B104"/>
    <mergeCell ref="H104:I104"/>
    <mergeCell ref="A110:B110"/>
    <mergeCell ref="GW5:GW7"/>
    <mergeCell ref="GX5:GX7"/>
    <mergeCell ref="GY5:GY6"/>
    <mergeCell ref="GZ5:GZ7"/>
    <mergeCell ref="HA5:HA7"/>
    <mergeCell ref="A5:A8"/>
    <mergeCell ref="B5:B6"/>
    <mergeCell ref="C5:F5"/>
    <mergeCell ref="G5:G6"/>
    <mergeCell ref="H5:I5"/>
    <mergeCell ref="D7:F7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5024-F1D4-4D38-A2EF-6E836F1B3180}">
  <dimension ref="A1:GT181"/>
  <sheetViews>
    <sheetView zoomScale="88" zoomScaleNormal="88" workbookViewId="0">
      <pane xSplit="2" ySplit="8" topLeftCell="J99" activePane="bottomRight" state="frozen"/>
      <selection pane="topRight" activeCell="C1" sqref="C1"/>
      <selection pane="bottomLeft" activeCell="A9" sqref="A9"/>
      <selection pane="bottomRight" activeCell="EF8" sqref="EF8"/>
    </sheetView>
  </sheetViews>
  <sheetFormatPr defaultRowHeight="14.4" x14ac:dyDescent="0.3"/>
  <cols>
    <col min="1" max="1" width="9.44140625" customWidth="1"/>
    <col min="2" max="2" width="38.88671875" customWidth="1"/>
    <col min="3" max="3" width="14" customWidth="1"/>
    <col min="4" max="4" width="13.109375" customWidth="1"/>
    <col min="5" max="5" width="13.109375" style="394" customWidth="1"/>
    <col min="6" max="6" width="13.109375" customWidth="1"/>
    <col min="7" max="7" width="14.109375" customWidth="1"/>
    <col min="8" max="8" width="12.88671875" customWidth="1"/>
    <col min="9" max="9" width="13.88671875" customWidth="1"/>
    <col min="10" max="10" width="5.33203125" customWidth="1"/>
    <col min="11" max="58" width="12.6640625" hidden="1" customWidth="1"/>
    <col min="59" max="59" width="14.6640625" hidden="1" customWidth="1"/>
    <col min="60" max="60" width="5.33203125" customWidth="1"/>
    <col min="61" max="95" width="12.6640625" hidden="1" customWidth="1"/>
    <col min="96" max="96" width="14.44140625" hidden="1" customWidth="1"/>
    <col min="97" max="97" width="5.33203125" customWidth="1"/>
    <col min="98" max="135" width="12.6640625" hidden="1" customWidth="1"/>
    <col min="136" max="164" width="12.6640625" customWidth="1"/>
    <col min="165" max="165" width="15.109375" customWidth="1"/>
    <col min="166" max="167" width="5.33203125" customWidth="1"/>
    <col min="168" max="180" width="12.6640625" hidden="1" customWidth="1"/>
    <col min="181" max="181" width="5.33203125" customWidth="1"/>
    <col min="182" max="182" width="4.5546875" hidden="1" customWidth="1"/>
    <col min="183" max="185" width="12.6640625" hidden="1" customWidth="1"/>
    <col min="186" max="186" width="12.6640625" style="315" hidden="1" customWidth="1"/>
    <col min="187" max="187" width="5.5546875" hidden="1" customWidth="1"/>
    <col min="188" max="188" width="5.33203125" customWidth="1"/>
    <col min="189" max="189" width="13.109375" customWidth="1"/>
    <col min="190" max="190" width="15" customWidth="1"/>
    <col min="191" max="191" width="14.88671875" customWidth="1"/>
    <col min="192" max="192" width="14.33203125" customWidth="1"/>
    <col min="193" max="193" width="13" customWidth="1"/>
    <col min="194" max="194" width="34.5546875" customWidth="1"/>
    <col min="195" max="195" width="15.88671875" customWidth="1"/>
    <col min="196" max="196" width="11.6640625" customWidth="1"/>
    <col min="197" max="197" width="13" customWidth="1"/>
    <col min="198" max="198" width="12.6640625" customWidth="1"/>
    <col min="199" max="199" width="10.6640625" customWidth="1"/>
    <col min="200" max="200" width="14.33203125" customWidth="1"/>
    <col min="201" max="201" width="11.6640625" customWidth="1"/>
    <col min="202" max="202" width="10.33203125" customWidth="1"/>
  </cols>
  <sheetData>
    <row r="1" spans="1:202" x14ac:dyDescent="0.3">
      <c r="E1" s="780"/>
      <c r="G1" s="780"/>
      <c r="AR1" s="672"/>
      <c r="BC1" s="672"/>
      <c r="BG1" s="672"/>
      <c r="BM1" s="672"/>
      <c r="BP1" s="672"/>
      <c r="BQ1" s="672"/>
      <c r="BX1" s="672"/>
      <c r="CD1" s="672"/>
      <c r="CG1" s="672"/>
      <c r="CW1" s="672"/>
      <c r="DE1" s="672"/>
      <c r="DG1" s="672"/>
      <c r="DJ1" s="672"/>
      <c r="EN1" s="672"/>
      <c r="FI1" s="672"/>
      <c r="GD1"/>
      <c r="GH1" s="19" t="s">
        <v>51</v>
      </c>
      <c r="GI1" s="20" t="s">
        <v>63</v>
      </c>
    </row>
    <row r="2" spans="1:202" x14ac:dyDescent="0.3">
      <c r="A2" s="316" t="s">
        <v>51</v>
      </c>
      <c r="B2" s="88" t="s">
        <v>96</v>
      </c>
      <c r="C2" s="300"/>
      <c r="D2" s="506"/>
      <c r="E2" s="188"/>
      <c r="F2" s="307"/>
      <c r="G2" s="17"/>
      <c r="H2" s="96"/>
      <c r="I2" s="1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97"/>
      <c r="AF2" s="97"/>
      <c r="AG2" s="18"/>
      <c r="AH2" s="18"/>
      <c r="AI2" s="18"/>
      <c r="AJ2" s="18"/>
      <c r="AN2" s="18"/>
      <c r="AO2" s="18"/>
      <c r="AP2" s="18"/>
      <c r="AQ2" s="18"/>
      <c r="AR2" s="18"/>
      <c r="AS2" s="97"/>
      <c r="AT2" s="243"/>
      <c r="AU2" s="243"/>
      <c r="AV2" s="243"/>
      <c r="AW2" s="243"/>
      <c r="AX2" s="243"/>
      <c r="AY2" s="97"/>
      <c r="AZ2" s="97"/>
      <c r="BA2" s="97"/>
      <c r="BB2" s="97"/>
      <c r="BC2" s="97"/>
      <c r="BD2" s="97"/>
      <c r="BE2" s="18"/>
      <c r="BF2" s="97"/>
      <c r="BG2" s="18"/>
      <c r="BH2" s="18"/>
      <c r="BI2" s="97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97"/>
      <c r="EH2" s="18"/>
      <c r="EI2" s="18"/>
      <c r="EM2" s="20"/>
      <c r="EN2" s="215"/>
      <c r="EO2" s="21"/>
      <c r="EP2" s="227"/>
      <c r="EQ2" s="26"/>
      <c r="FL2" s="780"/>
      <c r="FM2" s="780"/>
      <c r="FN2" s="780"/>
      <c r="FO2" s="780"/>
      <c r="FP2" s="780"/>
      <c r="FQ2" s="780"/>
      <c r="FR2" s="780"/>
      <c r="FS2" s="780"/>
      <c r="FT2" s="780"/>
      <c r="FU2" s="780"/>
      <c r="FV2" s="780"/>
      <c r="FW2" s="780"/>
      <c r="FX2" s="780"/>
      <c r="GD2"/>
      <c r="GH2" s="23" t="s">
        <v>51</v>
      </c>
      <c r="GI2" s="20" t="s">
        <v>53</v>
      </c>
    </row>
    <row r="3" spans="1:202" ht="15" thickBot="1" x14ac:dyDescent="0.35">
      <c r="A3" s="226" t="s">
        <v>51</v>
      </c>
      <c r="B3" s="88" t="s">
        <v>109</v>
      </c>
      <c r="C3" s="300"/>
      <c r="D3" s="506"/>
      <c r="E3" s="188"/>
      <c r="F3" s="307"/>
      <c r="G3" s="17"/>
      <c r="H3" s="96"/>
      <c r="I3" s="16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97"/>
      <c r="AF3" s="97"/>
      <c r="AG3" s="18"/>
      <c r="AH3" s="18"/>
      <c r="AI3" s="18"/>
      <c r="AJ3" s="18"/>
      <c r="AN3" s="18"/>
      <c r="AO3" s="18"/>
      <c r="AP3" s="18"/>
      <c r="AQ3" s="18"/>
      <c r="AR3" s="18"/>
      <c r="AS3" s="97"/>
      <c r="AT3" s="243"/>
      <c r="AU3" s="243"/>
      <c r="AV3" s="243"/>
      <c r="AW3" s="243"/>
      <c r="AX3" s="243"/>
      <c r="AY3" s="97"/>
      <c r="AZ3" s="97"/>
      <c r="BA3" s="97"/>
      <c r="BB3" s="97"/>
      <c r="BC3" s="97"/>
      <c r="BD3" s="97"/>
      <c r="BE3" s="18"/>
      <c r="BF3" s="97"/>
      <c r="BG3" s="18"/>
      <c r="BH3" s="18"/>
      <c r="BI3" s="97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97"/>
      <c r="EH3" s="18"/>
      <c r="EI3" s="18"/>
      <c r="EM3" s="20"/>
      <c r="EN3" s="215"/>
      <c r="EO3" s="21"/>
      <c r="EP3" s="227"/>
      <c r="EQ3" s="26"/>
      <c r="FL3" s="586"/>
      <c r="FM3" s="586"/>
      <c r="FN3" s="586"/>
      <c r="FO3" s="586"/>
      <c r="FP3" s="586"/>
      <c r="FQ3" s="586"/>
      <c r="FR3" s="586"/>
      <c r="FS3" s="586"/>
      <c r="FT3" s="586"/>
      <c r="FU3" s="586"/>
      <c r="FV3" s="586"/>
      <c r="FW3" s="586"/>
      <c r="FX3" s="586"/>
      <c r="GD3"/>
      <c r="GH3" s="48" t="s">
        <v>54</v>
      </c>
      <c r="GI3" s="20" t="s">
        <v>55</v>
      </c>
    </row>
    <row r="4" spans="1:202" ht="15" thickBot="1" x14ac:dyDescent="0.35">
      <c r="A4" s="49"/>
      <c r="B4" s="50"/>
      <c r="C4" s="301"/>
      <c r="D4" s="507"/>
      <c r="E4" s="189"/>
      <c r="F4" s="308"/>
      <c r="G4" s="98"/>
      <c r="H4" s="99"/>
      <c r="I4" s="100"/>
      <c r="J4" s="1319" t="s">
        <v>91</v>
      </c>
      <c r="K4" s="1320"/>
      <c r="L4" s="1320"/>
      <c r="M4" s="1320"/>
      <c r="N4" s="1320"/>
      <c r="O4" s="1320"/>
      <c r="P4" s="1320"/>
      <c r="Q4" s="1320"/>
      <c r="R4" s="1320"/>
      <c r="S4" s="1320"/>
      <c r="T4" s="1320"/>
      <c r="U4" s="1320"/>
      <c r="V4" s="1320"/>
      <c r="W4" s="1320"/>
      <c r="X4" s="1320"/>
      <c r="Y4" s="1320"/>
      <c r="Z4" s="1320"/>
      <c r="AA4" s="1320"/>
      <c r="AB4" s="1320"/>
      <c r="AC4" s="1320"/>
      <c r="AD4" s="1320"/>
      <c r="AE4" s="1320"/>
      <c r="AF4" s="1320"/>
      <c r="AG4" s="1320"/>
      <c r="AH4" s="1320"/>
      <c r="AI4" s="1320"/>
      <c r="AJ4" s="1320"/>
      <c r="AK4" s="1320"/>
      <c r="AL4" s="1320"/>
      <c r="AM4" s="1320"/>
      <c r="AN4" s="1320"/>
      <c r="AO4" s="1320"/>
      <c r="AP4" s="1320"/>
      <c r="AQ4" s="1320"/>
      <c r="AR4" s="1320"/>
      <c r="AS4" s="1320"/>
      <c r="AT4" s="1320"/>
      <c r="AU4" s="1320"/>
      <c r="AV4" s="1320"/>
      <c r="AW4" s="1320"/>
      <c r="AX4" s="1320"/>
      <c r="AY4" s="1320"/>
      <c r="AZ4" s="1320"/>
      <c r="BA4" s="1320"/>
      <c r="BB4" s="1320"/>
      <c r="BC4" s="1320"/>
      <c r="BD4" s="1320"/>
      <c r="BE4" s="1320"/>
      <c r="BF4" s="1320"/>
      <c r="BG4" s="1320"/>
      <c r="BH4" s="1320"/>
      <c r="BI4" s="1320"/>
      <c r="BJ4" s="1320"/>
      <c r="BK4" s="1320"/>
      <c r="BL4" s="1320"/>
      <c r="BM4" s="1320"/>
      <c r="BN4" s="1320"/>
      <c r="BO4" s="1320"/>
      <c r="BP4" s="1320"/>
      <c r="BQ4" s="1320"/>
      <c r="BR4" s="1320"/>
      <c r="BS4" s="1320"/>
      <c r="BT4" s="1320"/>
      <c r="BU4" s="1320"/>
      <c r="BV4" s="1320"/>
      <c r="BW4" s="1320"/>
      <c r="BX4" s="1320"/>
      <c r="BY4" s="1320"/>
      <c r="BZ4" s="1320"/>
      <c r="CA4" s="1320"/>
      <c r="CB4" s="1320"/>
      <c r="CC4" s="1320"/>
      <c r="CD4" s="1320"/>
      <c r="CE4" s="1320"/>
      <c r="CF4" s="1320"/>
      <c r="CG4" s="1320"/>
      <c r="CH4" s="1320"/>
      <c r="CI4" s="1320"/>
      <c r="CJ4" s="1320"/>
      <c r="CK4" s="1320"/>
      <c r="CL4" s="1320"/>
      <c r="CM4" s="1320"/>
      <c r="CN4" s="1320"/>
      <c r="CO4" s="1320"/>
      <c r="CP4" s="1320"/>
      <c r="CQ4" s="1320"/>
      <c r="CR4" s="1320"/>
      <c r="CS4" s="1320"/>
      <c r="CT4" s="1320"/>
      <c r="CU4" s="1320"/>
      <c r="CV4" s="1320"/>
      <c r="CW4" s="1320"/>
      <c r="CX4" s="1320"/>
      <c r="CY4" s="1320"/>
      <c r="CZ4" s="1320"/>
      <c r="DA4" s="1320"/>
      <c r="DB4" s="1320"/>
      <c r="DC4" s="1320"/>
      <c r="DD4" s="1320"/>
      <c r="DE4" s="1320"/>
      <c r="DF4" s="1320"/>
      <c r="DG4" s="1320"/>
      <c r="DH4" s="1320"/>
      <c r="DI4" s="1320"/>
      <c r="DJ4" s="1320"/>
      <c r="DK4" s="1320"/>
      <c r="DL4" s="1320"/>
      <c r="DM4" s="1320"/>
      <c r="DN4" s="1320"/>
      <c r="DO4" s="1320"/>
      <c r="DP4" s="1320"/>
      <c r="DQ4" s="1320"/>
      <c r="DR4" s="1320"/>
      <c r="DS4" s="1320"/>
      <c r="DT4" s="1320"/>
      <c r="DU4" s="1320"/>
      <c r="DV4" s="1320"/>
      <c r="DW4" s="1320"/>
      <c r="DX4" s="1320"/>
      <c r="DY4" s="1320"/>
      <c r="DZ4" s="1320"/>
      <c r="EA4" s="1320"/>
      <c r="EB4" s="1320"/>
      <c r="EC4" s="1320"/>
      <c r="ED4" s="1320"/>
      <c r="EE4" s="1320"/>
      <c r="EF4" s="1320"/>
      <c r="EG4" s="1320"/>
      <c r="EH4" s="1320"/>
      <c r="EI4" s="1320"/>
      <c r="EJ4" s="1320"/>
      <c r="EK4" s="1320"/>
      <c r="EL4" s="1320"/>
      <c r="EM4" s="1320"/>
      <c r="EN4" s="1320"/>
      <c r="EO4" s="1320"/>
      <c r="EP4" s="1320"/>
      <c r="EQ4" s="1320"/>
      <c r="ER4" s="1320"/>
      <c r="ES4" s="1320"/>
      <c r="ET4" s="1320"/>
      <c r="EU4" s="1320"/>
      <c r="EV4" s="1320"/>
      <c r="EW4" s="1320"/>
      <c r="EX4" s="1320"/>
      <c r="EY4" s="1320"/>
      <c r="EZ4" s="1320"/>
      <c r="FA4" s="1320"/>
      <c r="FB4" s="1320"/>
      <c r="FC4" s="1320"/>
      <c r="FD4" s="1320"/>
      <c r="FE4" s="1320"/>
      <c r="FF4" s="1320"/>
      <c r="FG4" s="1320"/>
      <c r="FH4" s="1320"/>
      <c r="FI4" s="1321"/>
      <c r="FJ4" s="101"/>
      <c r="FK4" s="1365"/>
      <c r="FL4" s="1316"/>
      <c r="FM4" s="1316"/>
      <c r="FN4" s="1316"/>
      <c r="FO4" s="1316"/>
      <c r="FP4" s="1316"/>
      <c r="FQ4" s="1316"/>
      <c r="FR4" s="1316"/>
      <c r="FS4" s="1316"/>
      <c r="FT4" s="1316"/>
      <c r="FU4" s="1316"/>
      <c r="FV4" s="1316"/>
      <c r="FW4" s="1316"/>
      <c r="FX4" s="1316"/>
      <c r="FY4" s="1397"/>
      <c r="FZ4" s="1317" t="s">
        <v>230</v>
      </c>
      <c r="GA4" s="1318"/>
      <c r="GB4" s="1318"/>
      <c r="GC4" s="1318"/>
      <c r="GD4" s="1318"/>
      <c r="GE4" s="1394"/>
      <c r="GF4" s="431"/>
      <c r="GG4" s="83"/>
      <c r="GH4" s="84"/>
      <c r="GI4" s="219"/>
      <c r="GJ4" s="84"/>
      <c r="GK4" s="85"/>
      <c r="GL4" s="228"/>
      <c r="GM4" s="229"/>
      <c r="GN4" s="88"/>
      <c r="GO4" s="88"/>
    </row>
    <row r="5" spans="1:202" ht="15" thickBot="1" x14ac:dyDescent="0.35">
      <c r="A5" s="1322" t="s">
        <v>0</v>
      </c>
      <c r="B5" s="1386" t="s">
        <v>1</v>
      </c>
      <c r="C5" s="1388" t="s">
        <v>2</v>
      </c>
      <c r="D5" s="1389"/>
      <c r="E5" s="1389"/>
      <c r="F5" s="1390"/>
      <c r="G5" s="1327" t="s">
        <v>88</v>
      </c>
      <c r="H5" s="1392"/>
      <c r="I5" s="1393"/>
      <c r="J5" s="1344" t="str">
        <f>D6</f>
        <v>октябрь</v>
      </c>
      <c r="K5" s="256">
        <v>4</v>
      </c>
      <c r="L5" s="256">
        <v>3</v>
      </c>
      <c r="M5" s="256">
        <v>1</v>
      </c>
      <c r="N5" s="256">
        <v>6</v>
      </c>
      <c r="O5" s="256">
        <v>2</v>
      </c>
      <c r="P5" s="256">
        <v>3</v>
      </c>
      <c r="Q5" s="256">
        <v>5</v>
      </c>
      <c r="R5" s="256">
        <v>21</v>
      </c>
      <c r="S5" s="256">
        <v>11</v>
      </c>
      <c r="T5" s="256">
        <v>19</v>
      </c>
      <c r="U5" s="256">
        <v>20</v>
      </c>
      <c r="V5" s="256">
        <v>23</v>
      </c>
      <c r="W5" s="256">
        <v>4</v>
      </c>
      <c r="X5" s="256">
        <v>16</v>
      </c>
      <c r="Y5" s="256">
        <v>17</v>
      </c>
      <c r="Z5" s="256">
        <v>27</v>
      </c>
      <c r="AA5" s="256">
        <v>38</v>
      </c>
      <c r="AB5" s="256">
        <v>30</v>
      </c>
      <c r="AC5" s="256">
        <v>38</v>
      </c>
      <c r="AD5" s="256">
        <v>38</v>
      </c>
      <c r="AE5" s="256">
        <v>10</v>
      </c>
      <c r="AF5" s="256">
        <v>49</v>
      </c>
      <c r="AG5" s="256">
        <v>5</v>
      </c>
      <c r="AH5" s="256">
        <v>53</v>
      </c>
      <c r="AI5" s="256">
        <v>14</v>
      </c>
      <c r="AJ5" s="256">
        <v>56</v>
      </c>
      <c r="AK5" s="256">
        <v>63</v>
      </c>
      <c r="AL5" s="256">
        <v>60</v>
      </c>
      <c r="AM5" s="256">
        <v>62</v>
      </c>
      <c r="AN5" s="256">
        <v>61</v>
      </c>
      <c r="AO5" s="256">
        <v>54</v>
      </c>
      <c r="AP5" s="256">
        <v>67</v>
      </c>
      <c r="AQ5" s="256">
        <v>72</v>
      </c>
      <c r="AR5" s="256">
        <v>73</v>
      </c>
      <c r="AS5" s="256">
        <v>66</v>
      </c>
      <c r="AT5" s="256">
        <v>79</v>
      </c>
      <c r="AU5" s="256">
        <v>74</v>
      </c>
      <c r="AV5" s="256">
        <v>75</v>
      </c>
      <c r="AW5" s="256">
        <v>11</v>
      </c>
      <c r="AX5" s="256">
        <v>92</v>
      </c>
      <c r="AY5" s="256">
        <v>92</v>
      </c>
      <c r="AZ5" s="256">
        <v>91</v>
      </c>
      <c r="BA5" s="256">
        <v>96</v>
      </c>
      <c r="BB5" s="256">
        <v>93</v>
      </c>
      <c r="BC5" s="256">
        <v>86</v>
      </c>
      <c r="BD5" s="256">
        <v>87</v>
      </c>
      <c r="BE5" s="256">
        <v>105</v>
      </c>
      <c r="BF5" s="256">
        <v>86</v>
      </c>
      <c r="BG5" s="1347" t="s">
        <v>94</v>
      </c>
      <c r="BH5" s="1344" t="str">
        <f>E6</f>
        <v>ноябрь</v>
      </c>
      <c r="BI5" s="256">
        <v>13</v>
      </c>
      <c r="BJ5" s="256">
        <v>106</v>
      </c>
      <c r="BK5" s="256">
        <v>107</v>
      </c>
      <c r="BL5" s="256">
        <v>87</v>
      </c>
      <c r="BM5" s="256">
        <v>109</v>
      </c>
      <c r="BN5" s="256">
        <v>108</v>
      </c>
      <c r="BO5" s="256">
        <v>104</v>
      </c>
      <c r="BP5" s="256">
        <v>112</v>
      </c>
      <c r="BQ5" s="256">
        <v>113</v>
      </c>
      <c r="BR5" s="256">
        <v>110</v>
      </c>
      <c r="BS5" s="256">
        <v>117</v>
      </c>
      <c r="BT5" s="256">
        <v>121</v>
      </c>
      <c r="BU5" s="256">
        <v>122</v>
      </c>
      <c r="BV5" s="256">
        <v>117</v>
      </c>
      <c r="BW5" s="256">
        <v>91</v>
      </c>
      <c r="BX5" s="256">
        <v>127</v>
      </c>
      <c r="BY5" s="256">
        <v>128</v>
      </c>
      <c r="BZ5" s="256">
        <v>107</v>
      </c>
      <c r="CA5" s="256">
        <v>135</v>
      </c>
      <c r="CB5" s="256">
        <v>109</v>
      </c>
      <c r="CC5" s="256">
        <v>136</v>
      </c>
      <c r="CD5" s="256">
        <v>139</v>
      </c>
      <c r="CE5" s="256">
        <v>109</v>
      </c>
      <c r="CF5" s="256">
        <v>31</v>
      </c>
      <c r="CG5" s="256">
        <v>140</v>
      </c>
      <c r="CH5" s="256">
        <v>144</v>
      </c>
      <c r="CI5" s="256">
        <v>156</v>
      </c>
      <c r="CJ5" s="256">
        <v>162</v>
      </c>
      <c r="CK5" s="256">
        <v>152</v>
      </c>
      <c r="CL5" s="256">
        <v>154</v>
      </c>
      <c r="CM5" s="256">
        <v>37</v>
      </c>
      <c r="CN5" s="256">
        <v>27</v>
      </c>
      <c r="CO5" s="256">
        <v>155</v>
      </c>
      <c r="CP5" s="256">
        <v>153</v>
      </c>
      <c r="CQ5" s="256">
        <v>151</v>
      </c>
      <c r="CR5" s="1347" t="s">
        <v>95</v>
      </c>
      <c r="CS5" s="1349" t="str">
        <f>F6</f>
        <v>декабрь</v>
      </c>
      <c r="CT5" s="256">
        <v>161</v>
      </c>
      <c r="CU5" s="256">
        <v>161</v>
      </c>
      <c r="CV5" s="256">
        <v>33</v>
      </c>
      <c r="CW5" s="256">
        <v>182</v>
      </c>
      <c r="CX5" s="256">
        <v>188</v>
      </c>
      <c r="CY5" s="256">
        <v>193</v>
      </c>
      <c r="CZ5" s="256">
        <v>186</v>
      </c>
      <c r="DA5" s="256">
        <v>196</v>
      </c>
      <c r="DB5" s="256">
        <v>196</v>
      </c>
      <c r="DC5" s="256">
        <v>198</v>
      </c>
      <c r="DD5" s="256">
        <v>197</v>
      </c>
      <c r="DE5" s="256">
        <v>192</v>
      </c>
      <c r="DF5" s="256">
        <v>199</v>
      </c>
      <c r="DG5" s="256">
        <v>188</v>
      </c>
      <c r="DH5" s="256">
        <v>193</v>
      </c>
      <c r="DI5" s="256">
        <v>186</v>
      </c>
      <c r="DJ5" s="256">
        <v>204</v>
      </c>
      <c r="DK5" s="256">
        <v>207</v>
      </c>
      <c r="DL5" s="256">
        <v>197</v>
      </c>
      <c r="DM5" s="256">
        <v>35</v>
      </c>
      <c r="DN5" s="256">
        <v>53</v>
      </c>
      <c r="DO5" s="256">
        <v>209</v>
      </c>
      <c r="DP5" s="256">
        <v>208</v>
      </c>
      <c r="DQ5" s="256">
        <v>196</v>
      </c>
      <c r="DR5" s="256">
        <v>193</v>
      </c>
      <c r="DS5" s="256">
        <v>36</v>
      </c>
      <c r="DT5" s="244">
        <v>215</v>
      </c>
      <c r="DU5" s="104">
        <v>218</v>
      </c>
      <c r="DV5" s="103">
        <v>203</v>
      </c>
      <c r="DW5" s="103">
        <v>52</v>
      </c>
      <c r="DX5" s="256">
        <v>61</v>
      </c>
      <c r="DY5" s="256">
        <v>228</v>
      </c>
      <c r="DZ5" s="256">
        <v>55</v>
      </c>
      <c r="EA5" s="256">
        <v>214</v>
      </c>
      <c r="EB5" s="256">
        <v>217</v>
      </c>
      <c r="EC5" s="256">
        <v>236</v>
      </c>
      <c r="ED5" s="256">
        <v>235</v>
      </c>
      <c r="EE5" s="256">
        <v>213</v>
      </c>
      <c r="EF5" s="256">
        <v>229</v>
      </c>
      <c r="EG5" s="256">
        <v>234</v>
      </c>
      <c r="EH5" s="256">
        <v>226</v>
      </c>
      <c r="EI5" s="256">
        <v>237</v>
      </c>
      <c r="EJ5" s="256">
        <v>241</v>
      </c>
      <c r="EK5" s="256">
        <v>151</v>
      </c>
      <c r="EL5" s="256">
        <v>219</v>
      </c>
      <c r="EM5" s="256">
        <v>227</v>
      </c>
      <c r="EN5" s="256">
        <v>227</v>
      </c>
      <c r="EO5" s="256">
        <v>242</v>
      </c>
      <c r="EP5" s="256">
        <v>243</v>
      </c>
      <c r="EQ5" s="256">
        <v>254</v>
      </c>
      <c r="ER5" s="256">
        <v>253</v>
      </c>
      <c r="ES5" s="256">
        <v>256</v>
      </c>
      <c r="ET5" s="256">
        <v>255</v>
      </c>
      <c r="EU5" s="256">
        <v>259</v>
      </c>
      <c r="EV5" s="256">
        <v>245</v>
      </c>
      <c r="EW5" s="256">
        <v>260</v>
      </c>
      <c r="EX5" s="256">
        <v>259</v>
      </c>
      <c r="EY5" s="256">
        <v>261</v>
      </c>
      <c r="EZ5" s="256">
        <v>262</v>
      </c>
      <c r="FA5" s="256">
        <v>266</v>
      </c>
      <c r="FB5" s="256">
        <v>264</v>
      </c>
      <c r="FC5" s="256">
        <v>263</v>
      </c>
      <c r="FD5" s="256">
        <v>265</v>
      </c>
      <c r="FE5" s="256">
        <v>272</v>
      </c>
      <c r="FF5" s="256">
        <v>274</v>
      </c>
      <c r="FG5" s="256">
        <v>270</v>
      </c>
      <c r="FH5" s="256">
        <v>271</v>
      </c>
      <c r="FI5" s="1347" t="s">
        <v>95</v>
      </c>
      <c r="FJ5" s="105"/>
      <c r="FK5" s="391"/>
      <c r="FL5" s="256"/>
      <c r="FM5" s="256"/>
      <c r="FN5" s="396"/>
      <c r="FO5" s="396"/>
      <c r="FP5" s="396"/>
      <c r="FQ5" s="396"/>
      <c r="FR5" s="256"/>
      <c r="FS5" s="256"/>
      <c r="FT5" s="256"/>
      <c r="FU5" s="256"/>
      <c r="FV5" s="256"/>
      <c r="FW5" s="256"/>
      <c r="FX5" s="256"/>
      <c r="FY5" s="777"/>
      <c r="FZ5" s="166"/>
      <c r="GA5" s="104"/>
      <c r="GB5" s="103"/>
      <c r="GC5" s="103"/>
      <c r="GD5" s="103"/>
      <c r="GE5" s="718"/>
      <c r="GF5" s="432"/>
      <c r="GG5" s="1370" t="s">
        <v>154</v>
      </c>
      <c r="GH5" s="1311" t="s">
        <v>39</v>
      </c>
      <c r="GI5" s="1374" t="s">
        <v>38</v>
      </c>
      <c r="GJ5" s="1376" t="s">
        <v>107</v>
      </c>
      <c r="GK5" s="1359" t="s">
        <v>89</v>
      </c>
      <c r="GL5" s="1367"/>
      <c r="GM5" s="1380" t="s">
        <v>147</v>
      </c>
      <c r="GN5" s="39"/>
      <c r="GO5" s="39"/>
      <c r="GS5" s="822"/>
    </row>
    <row r="6" spans="1:202" ht="64.5" customHeight="1" thickBot="1" x14ac:dyDescent="0.35">
      <c r="A6" s="1323"/>
      <c r="B6" s="1387"/>
      <c r="C6" s="302" t="s">
        <v>107</v>
      </c>
      <c r="D6" s="508" t="s">
        <v>135</v>
      </c>
      <c r="E6" s="190" t="s">
        <v>136</v>
      </c>
      <c r="F6" s="309" t="s">
        <v>37</v>
      </c>
      <c r="G6" s="1391"/>
      <c r="H6" s="171" t="s">
        <v>69</v>
      </c>
      <c r="I6" s="172" t="s">
        <v>93</v>
      </c>
      <c r="J6" s="1345"/>
      <c r="K6" s="399" t="s">
        <v>318</v>
      </c>
      <c r="L6" s="399" t="s">
        <v>194</v>
      </c>
      <c r="M6" s="399" t="s">
        <v>330</v>
      </c>
      <c r="N6" s="399" t="s">
        <v>319</v>
      </c>
      <c r="O6" s="399" t="s">
        <v>308</v>
      </c>
      <c r="P6" s="399" t="s">
        <v>194</v>
      </c>
      <c r="Q6" s="399" t="s">
        <v>311</v>
      </c>
      <c r="R6" s="399" t="s">
        <v>313</v>
      </c>
      <c r="S6" s="399" t="s">
        <v>329</v>
      </c>
      <c r="T6" s="399" t="s">
        <v>331</v>
      </c>
      <c r="U6" s="399" t="s">
        <v>332</v>
      </c>
      <c r="V6" s="399" t="s">
        <v>333</v>
      </c>
      <c r="W6" s="399" t="s">
        <v>334</v>
      </c>
      <c r="X6" s="399" t="s">
        <v>276</v>
      </c>
      <c r="Y6" s="399" t="s">
        <v>310</v>
      </c>
      <c r="Z6" s="399" t="s">
        <v>336</v>
      </c>
      <c r="AA6" s="399" t="s">
        <v>201</v>
      </c>
      <c r="AB6" s="399" t="s">
        <v>335</v>
      </c>
      <c r="AC6" s="399" t="s">
        <v>201</v>
      </c>
      <c r="AD6" s="399" t="s">
        <v>201</v>
      </c>
      <c r="AE6" s="399" t="s">
        <v>338</v>
      </c>
      <c r="AF6" s="399" t="s">
        <v>340</v>
      </c>
      <c r="AG6" s="399" t="s">
        <v>339</v>
      </c>
      <c r="AH6" s="399" t="s">
        <v>149</v>
      </c>
      <c r="AI6" s="399" t="s">
        <v>366</v>
      </c>
      <c r="AJ6" s="399" t="s">
        <v>286</v>
      </c>
      <c r="AK6" s="399" t="s">
        <v>160</v>
      </c>
      <c r="AL6" s="399" t="s">
        <v>341</v>
      </c>
      <c r="AM6" s="399" t="s">
        <v>134</v>
      </c>
      <c r="AN6" s="399" t="s">
        <v>342</v>
      </c>
      <c r="AO6" s="399" t="s">
        <v>123</v>
      </c>
      <c r="AP6" s="399" t="s">
        <v>349</v>
      </c>
      <c r="AQ6" s="399" t="s">
        <v>352</v>
      </c>
      <c r="AR6" s="399" t="s">
        <v>353</v>
      </c>
      <c r="AS6" s="399" t="s">
        <v>350</v>
      </c>
      <c r="AT6" s="399" t="s">
        <v>351</v>
      </c>
      <c r="AU6" s="399" t="s">
        <v>354</v>
      </c>
      <c r="AV6" s="399" t="s">
        <v>355</v>
      </c>
      <c r="AW6" s="399" t="s">
        <v>356</v>
      </c>
      <c r="AX6" s="399" t="s">
        <v>358</v>
      </c>
      <c r="AY6" s="399" t="s">
        <v>358</v>
      </c>
      <c r="AZ6" s="399" t="s">
        <v>361</v>
      </c>
      <c r="BA6" s="399" t="s">
        <v>362</v>
      </c>
      <c r="BB6" s="399" t="s">
        <v>360</v>
      </c>
      <c r="BC6" s="399" t="s">
        <v>363</v>
      </c>
      <c r="BD6" s="399" t="s">
        <v>364</v>
      </c>
      <c r="BE6" s="399" t="s">
        <v>287</v>
      </c>
      <c r="BF6" s="399" t="s">
        <v>266</v>
      </c>
      <c r="BG6" s="1348"/>
      <c r="BH6" s="1345"/>
      <c r="BI6" s="399" t="s">
        <v>359</v>
      </c>
      <c r="BJ6" s="399" t="s">
        <v>365</v>
      </c>
      <c r="BK6" s="399" t="s">
        <v>206</v>
      </c>
      <c r="BL6" s="399" t="s">
        <v>357</v>
      </c>
      <c r="BM6" s="399" t="s">
        <v>306</v>
      </c>
      <c r="BN6" s="399" t="s">
        <v>367</v>
      </c>
      <c r="BO6" s="399" t="s">
        <v>369</v>
      </c>
      <c r="BP6" s="399" t="s">
        <v>368</v>
      </c>
      <c r="BQ6" s="399" t="s">
        <v>316</v>
      </c>
      <c r="BR6" s="399" t="s">
        <v>302</v>
      </c>
      <c r="BS6" s="399" t="s">
        <v>307</v>
      </c>
      <c r="BT6" s="399" t="s">
        <v>372</v>
      </c>
      <c r="BU6" s="399" t="s">
        <v>373</v>
      </c>
      <c r="BV6" s="399" t="s">
        <v>307</v>
      </c>
      <c r="BW6" s="399" t="s">
        <v>361</v>
      </c>
      <c r="BX6" s="399" t="s">
        <v>374</v>
      </c>
      <c r="BY6" s="399" t="s">
        <v>259</v>
      </c>
      <c r="BZ6" s="399" t="s">
        <v>206</v>
      </c>
      <c r="CA6" s="399" t="s">
        <v>315</v>
      </c>
      <c r="CB6" s="399" t="s">
        <v>306</v>
      </c>
      <c r="CC6" s="399" t="s">
        <v>355</v>
      </c>
      <c r="CD6" s="399" t="s">
        <v>276</v>
      </c>
      <c r="CE6" s="399" t="s">
        <v>306</v>
      </c>
      <c r="CF6" s="399" t="s">
        <v>376</v>
      </c>
      <c r="CG6" s="399" t="s">
        <v>377</v>
      </c>
      <c r="CH6" s="399" t="s">
        <v>120</v>
      </c>
      <c r="CI6" s="399" t="s">
        <v>381</v>
      </c>
      <c r="CJ6" s="399" t="s">
        <v>412</v>
      </c>
      <c r="CK6" s="399" t="s">
        <v>383</v>
      </c>
      <c r="CL6" s="399" t="s">
        <v>385</v>
      </c>
      <c r="CM6" s="399" t="s">
        <v>148</v>
      </c>
      <c r="CN6" s="399" t="s">
        <v>124</v>
      </c>
      <c r="CO6" s="399" t="s">
        <v>387</v>
      </c>
      <c r="CP6" s="399" t="s">
        <v>384</v>
      </c>
      <c r="CQ6" s="399" t="s">
        <v>386</v>
      </c>
      <c r="CR6" s="1348"/>
      <c r="CS6" s="1350"/>
      <c r="CT6" s="399" t="s">
        <v>382</v>
      </c>
      <c r="CU6" s="399" t="s">
        <v>382</v>
      </c>
      <c r="CV6" s="399" t="s">
        <v>359</v>
      </c>
      <c r="CW6" s="399" t="s">
        <v>341</v>
      </c>
      <c r="CX6" s="399" t="s">
        <v>364</v>
      </c>
      <c r="CY6" s="399" t="s">
        <v>388</v>
      </c>
      <c r="CZ6" s="399" t="s">
        <v>363</v>
      </c>
      <c r="DA6" s="399" t="s">
        <v>375</v>
      </c>
      <c r="DB6" s="399" t="s">
        <v>375</v>
      </c>
      <c r="DC6" s="399" t="s">
        <v>305</v>
      </c>
      <c r="DD6" s="399" t="s">
        <v>176</v>
      </c>
      <c r="DE6" s="399" t="s">
        <v>206</v>
      </c>
      <c r="DF6" s="399" t="s">
        <v>299</v>
      </c>
      <c r="DG6" s="399" t="s">
        <v>357</v>
      </c>
      <c r="DH6" s="399" t="s">
        <v>287</v>
      </c>
      <c r="DI6" s="399" t="s">
        <v>266</v>
      </c>
      <c r="DJ6" s="399" t="s">
        <v>362</v>
      </c>
      <c r="DK6" s="399" t="s">
        <v>360</v>
      </c>
      <c r="DL6" s="399" t="s">
        <v>176</v>
      </c>
      <c r="DM6" s="399" t="s">
        <v>356</v>
      </c>
      <c r="DN6" s="399" t="s">
        <v>398</v>
      </c>
      <c r="DO6" s="399" t="s">
        <v>397</v>
      </c>
      <c r="DP6" s="399" t="s">
        <v>353</v>
      </c>
      <c r="DQ6" s="399" t="s">
        <v>375</v>
      </c>
      <c r="DR6" s="399" t="s">
        <v>403</v>
      </c>
      <c r="DS6" s="399" t="s">
        <v>399</v>
      </c>
      <c r="DT6" s="249" t="s">
        <v>310</v>
      </c>
      <c r="DU6" s="860" t="s">
        <v>296</v>
      </c>
      <c r="DV6" s="249" t="s">
        <v>396</v>
      </c>
      <c r="DW6" s="249" t="s">
        <v>405</v>
      </c>
      <c r="DX6" s="399" t="s">
        <v>410</v>
      </c>
      <c r="DY6" s="399" t="s">
        <v>364</v>
      </c>
      <c r="DZ6" s="399" t="s">
        <v>400</v>
      </c>
      <c r="EA6" s="399" t="s">
        <v>401</v>
      </c>
      <c r="EB6" s="399" t="s">
        <v>254</v>
      </c>
      <c r="EC6" s="399" t="s">
        <v>381</v>
      </c>
      <c r="ED6" s="399" t="s">
        <v>413</v>
      </c>
      <c r="EE6" s="399" t="s">
        <v>311</v>
      </c>
      <c r="EF6" s="399" t="s">
        <v>372</v>
      </c>
      <c r="EG6" s="399" t="s">
        <v>307</v>
      </c>
      <c r="EH6" s="399" t="s">
        <v>411</v>
      </c>
      <c r="EI6" s="399" t="s">
        <v>373</v>
      </c>
      <c r="EJ6" s="399" t="s">
        <v>367</v>
      </c>
      <c r="EK6" s="399" t="s">
        <v>386</v>
      </c>
      <c r="EL6" s="399" t="s">
        <v>404</v>
      </c>
      <c r="EM6" s="399" t="s">
        <v>363</v>
      </c>
      <c r="EN6" s="399" t="s">
        <v>363</v>
      </c>
      <c r="EO6" s="399" t="s">
        <v>316</v>
      </c>
      <c r="EP6" s="399" t="s">
        <v>134</v>
      </c>
      <c r="EQ6" s="399" t="s">
        <v>414</v>
      </c>
      <c r="ER6" s="399" t="s">
        <v>302</v>
      </c>
      <c r="ES6" s="399" t="s">
        <v>305</v>
      </c>
      <c r="ET6" s="399" t="s">
        <v>406</v>
      </c>
      <c r="EU6" s="399" t="s">
        <v>418</v>
      </c>
      <c r="EV6" s="399" t="s">
        <v>419</v>
      </c>
      <c r="EW6" s="399" t="s">
        <v>420</v>
      </c>
      <c r="EX6" s="399" t="s">
        <v>418</v>
      </c>
      <c r="EY6" s="399" t="s">
        <v>294</v>
      </c>
      <c r="EZ6" s="399" t="s">
        <v>421</v>
      </c>
      <c r="FA6" s="399" t="s">
        <v>311</v>
      </c>
      <c r="FB6" s="399" t="s">
        <v>404</v>
      </c>
      <c r="FC6" s="399" t="s">
        <v>402</v>
      </c>
      <c r="FD6" s="399" t="s">
        <v>310</v>
      </c>
      <c r="FE6" s="399" t="s">
        <v>342</v>
      </c>
      <c r="FF6" s="399" t="s">
        <v>441</v>
      </c>
      <c r="FG6" s="399" t="s">
        <v>442</v>
      </c>
      <c r="FH6" s="399" t="s">
        <v>443</v>
      </c>
      <c r="FI6" s="1348"/>
      <c r="FJ6" s="173"/>
      <c r="FK6" s="784"/>
      <c r="FL6" s="398"/>
      <c r="FM6" s="398"/>
      <c r="FN6" s="398"/>
      <c r="FO6" s="398"/>
      <c r="FP6" s="398"/>
      <c r="FQ6" s="398"/>
      <c r="FR6" s="398"/>
      <c r="FS6" s="398"/>
      <c r="FT6" s="398"/>
      <c r="FU6" s="398"/>
      <c r="FV6" s="398"/>
      <c r="FW6" s="398"/>
      <c r="FX6" s="398"/>
      <c r="FY6" s="360"/>
      <c r="FZ6" s="385"/>
      <c r="GA6" s="844"/>
      <c r="GB6" s="844"/>
      <c r="GC6" s="388"/>
      <c r="GD6" s="388"/>
      <c r="GE6" s="527"/>
      <c r="GF6" s="849" t="s">
        <v>132</v>
      </c>
      <c r="GG6" s="1371"/>
      <c r="GH6" s="1312"/>
      <c r="GI6" s="1375"/>
      <c r="GJ6" s="1377"/>
      <c r="GK6" s="1360"/>
      <c r="GL6" s="1368"/>
      <c r="GM6" s="1381"/>
      <c r="GN6" s="561" t="s">
        <v>175</v>
      </c>
      <c r="GO6" s="819" t="s">
        <v>343</v>
      </c>
      <c r="GP6" s="821" t="s">
        <v>344</v>
      </c>
      <c r="GQ6" s="822" t="s">
        <v>345</v>
      </c>
      <c r="GR6" s="821" t="s">
        <v>346</v>
      </c>
      <c r="GS6" s="822" t="s">
        <v>347</v>
      </c>
      <c r="GT6" s="822" t="s">
        <v>348</v>
      </c>
    </row>
    <row r="7" spans="1:202" ht="18" customHeight="1" thickBot="1" x14ac:dyDescent="0.35">
      <c r="A7" s="1323"/>
      <c r="B7" s="131" t="s">
        <v>50</v>
      </c>
      <c r="C7" s="303"/>
      <c r="D7" s="1317">
        <v>2025</v>
      </c>
      <c r="E7" s="1318"/>
      <c r="F7" s="1394"/>
      <c r="G7" s="789"/>
      <c r="H7" s="140">
        <v>45992</v>
      </c>
      <c r="I7" s="140">
        <v>46022</v>
      </c>
      <c r="J7" s="1346"/>
      <c r="K7" s="34">
        <v>45931</v>
      </c>
      <c r="L7" s="34">
        <v>45931</v>
      </c>
      <c r="M7" s="34">
        <v>45932</v>
      </c>
      <c r="N7" s="34">
        <v>45932</v>
      </c>
      <c r="O7" s="34">
        <v>45932</v>
      </c>
      <c r="P7" s="34">
        <v>45933</v>
      </c>
      <c r="Q7" s="34">
        <v>45933</v>
      </c>
      <c r="R7" s="34">
        <v>45936</v>
      </c>
      <c r="S7" s="34">
        <v>45936</v>
      </c>
      <c r="T7" s="34">
        <v>45936</v>
      </c>
      <c r="U7" s="34">
        <v>45936</v>
      </c>
      <c r="V7" s="34">
        <v>45937</v>
      </c>
      <c r="W7" s="34">
        <v>45937</v>
      </c>
      <c r="X7" s="34">
        <v>45939</v>
      </c>
      <c r="Y7" s="34">
        <v>45939</v>
      </c>
      <c r="Z7" s="34">
        <v>45939</v>
      </c>
      <c r="AA7" s="34">
        <v>45940</v>
      </c>
      <c r="AB7" s="34">
        <v>45943</v>
      </c>
      <c r="AC7" s="34">
        <v>45943</v>
      </c>
      <c r="AD7" s="34">
        <v>45944</v>
      </c>
      <c r="AE7" s="34">
        <v>45945</v>
      </c>
      <c r="AF7" s="34">
        <v>45945</v>
      </c>
      <c r="AG7" s="34">
        <v>45946</v>
      </c>
      <c r="AH7" s="34">
        <v>45946</v>
      </c>
      <c r="AI7" s="34">
        <v>45947</v>
      </c>
      <c r="AJ7" s="34">
        <v>45947</v>
      </c>
      <c r="AK7" s="34">
        <v>45950</v>
      </c>
      <c r="AL7" s="34">
        <v>45950</v>
      </c>
      <c r="AM7" s="34">
        <v>45950</v>
      </c>
      <c r="AN7" s="34">
        <v>45950</v>
      </c>
      <c r="AO7" s="34">
        <v>45951</v>
      </c>
      <c r="AP7" s="34">
        <v>45951</v>
      </c>
      <c r="AQ7" s="34">
        <v>45952</v>
      </c>
      <c r="AR7" s="34">
        <v>45952</v>
      </c>
      <c r="AS7" s="34">
        <v>45953</v>
      </c>
      <c r="AT7" s="34">
        <v>45953</v>
      </c>
      <c r="AU7" s="34">
        <v>45954</v>
      </c>
      <c r="AV7" s="34">
        <v>45957</v>
      </c>
      <c r="AW7" s="34">
        <v>45957</v>
      </c>
      <c r="AX7" s="34">
        <v>45958</v>
      </c>
      <c r="AY7" s="34">
        <v>45959</v>
      </c>
      <c r="AZ7" s="34">
        <v>45959</v>
      </c>
      <c r="BA7" s="34">
        <v>45959</v>
      </c>
      <c r="BB7" s="34">
        <v>45959</v>
      </c>
      <c r="BC7" s="34">
        <v>45960</v>
      </c>
      <c r="BD7" s="34">
        <v>45960</v>
      </c>
      <c r="BE7" s="34">
        <v>45961</v>
      </c>
      <c r="BF7" s="34">
        <v>45961</v>
      </c>
      <c r="BG7" s="157" t="str">
        <f>J5</f>
        <v>октябрь</v>
      </c>
      <c r="BH7" s="1346"/>
      <c r="BI7" s="34">
        <v>45964</v>
      </c>
      <c r="BJ7" s="34">
        <v>45964</v>
      </c>
      <c r="BK7" s="34">
        <v>45964</v>
      </c>
      <c r="BL7" s="34">
        <v>45964</v>
      </c>
      <c r="BM7" s="34">
        <v>45965</v>
      </c>
      <c r="BN7" s="34">
        <v>45966</v>
      </c>
      <c r="BO7" s="34">
        <v>45966</v>
      </c>
      <c r="BP7" s="34">
        <v>45967</v>
      </c>
      <c r="BQ7" s="34">
        <v>45967</v>
      </c>
      <c r="BR7" s="34">
        <v>45967</v>
      </c>
      <c r="BS7" s="34">
        <v>45971</v>
      </c>
      <c r="BT7" s="34">
        <v>45972</v>
      </c>
      <c r="BU7" s="34">
        <v>45972</v>
      </c>
      <c r="BV7" s="34">
        <v>45973</v>
      </c>
      <c r="BW7" s="34">
        <v>45973</v>
      </c>
      <c r="BX7" s="34">
        <v>45974</v>
      </c>
      <c r="BY7" s="34">
        <v>45974</v>
      </c>
      <c r="BZ7" s="34">
        <v>45978</v>
      </c>
      <c r="CA7" s="34">
        <v>45979</v>
      </c>
      <c r="CB7" s="34">
        <v>45980</v>
      </c>
      <c r="CC7" s="34">
        <v>45980</v>
      </c>
      <c r="CD7" s="34">
        <v>45980</v>
      </c>
      <c r="CE7" s="34">
        <v>45981</v>
      </c>
      <c r="CF7" s="34">
        <v>45981</v>
      </c>
      <c r="CG7" s="34">
        <v>45982</v>
      </c>
      <c r="CH7" s="34">
        <v>45985</v>
      </c>
      <c r="CI7" s="34">
        <v>45986</v>
      </c>
      <c r="CJ7" s="34">
        <v>45986</v>
      </c>
      <c r="CK7" s="34">
        <v>45987</v>
      </c>
      <c r="CL7" s="34">
        <v>45988</v>
      </c>
      <c r="CM7" s="34">
        <v>45988</v>
      </c>
      <c r="CN7" s="34">
        <v>45988</v>
      </c>
      <c r="CO7" s="34">
        <v>45989</v>
      </c>
      <c r="CP7" s="34">
        <v>45989</v>
      </c>
      <c r="CQ7" s="34">
        <v>45989</v>
      </c>
      <c r="CR7" s="157" t="str">
        <f>BH5</f>
        <v>ноябрь</v>
      </c>
      <c r="CS7" s="1351"/>
      <c r="CT7" s="34">
        <v>45993</v>
      </c>
      <c r="CU7" s="34">
        <v>45994</v>
      </c>
      <c r="CV7" s="34">
        <v>45994</v>
      </c>
      <c r="CW7" s="34">
        <v>45995</v>
      </c>
      <c r="CX7" s="34">
        <v>45996</v>
      </c>
      <c r="CY7" s="34">
        <v>45996</v>
      </c>
      <c r="CZ7" s="34">
        <v>45996</v>
      </c>
      <c r="DA7" s="34">
        <v>45996</v>
      </c>
      <c r="DB7" s="34">
        <v>45999</v>
      </c>
      <c r="DC7" s="34">
        <v>45999</v>
      </c>
      <c r="DD7" s="34">
        <v>45999</v>
      </c>
      <c r="DE7" s="34">
        <v>46000</v>
      </c>
      <c r="DF7" s="34">
        <v>46000</v>
      </c>
      <c r="DG7" s="34">
        <v>46000</v>
      </c>
      <c r="DH7" s="34">
        <v>46000</v>
      </c>
      <c r="DI7" s="34">
        <v>46000</v>
      </c>
      <c r="DJ7" s="34">
        <v>46001</v>
      </c>
      <c r="DK7" s="34">
        <v>46001</v>
      </c>
      <c r="DL7" s="34">
        <v>46001</v>
      </c>
      <c r="DM7" s="34">
        <v>46001</v>
      </c>
      <c r="DN7" s="34">
        <v>46001</v>
      </c>
      <c r="DO7" s="34">
        <v>46001</v>
      </c>
      <c r="DP7" s="34">
        <v>46001</v>
      </c>
      <c r="DQ7" s="34">
        <v>46002</v>
      </c>
      <c r="DR7" s="34">
        <v>46002</v>
      </c>
      <c r="DS7" s="34">
        <v>46002</v>
      </c>
      <c r="DT7" s="34">
        <v>46002</v>
      </c>
      <c r="DU7" s="861">
        <v>46003</v>
      </c>
      <c r="DV7" s="34">
        <v>46006</v>
      </c>
      <c r="DW7" s="34">
        <v>46006</v>
      </c>
      <c r="DX7" s="34">
        <v>46006</v>
      </c>
      <c r="DY7" s="34">
        <v>46007</v>
      </c>
      <c r="DZ7" s="34">
        <v>46007</v>
      </c>
      <c r="EA7" s="34">
        <v>46008</v>
      </c>
      <c r="EB7" s="34">
        <v>46008</v>
      </c>
      <c r="EC7" s="34">
        <v>46008</v>
      </c>
      <c r="ED7" s="34">
        <v>46008</v>
      </c>
      <c r="EE7" s="34">
        <v>46008</v>
      </c>
      <c r="EF7" s="34">
        <v>46009</v>
      </c>
      <c r="EG7" s="34">
        <v>46009</v>
      </c>
      <c r="EH7" s="34">
        <v>46009</v>
      </c>
      <c r="EI7" s="34">
        <v>46009</v>
      </c>
      <c r="EJ7" s="34">
        <v>46010</v>
      </c>
      <c r="EK7" s="34">
        <v>46010</v>
      </c>
      <c r="EL7" s="34">
        <v>46010</v>
      </c>
      <c r="EM7" s="34">
        <v>46010</v>
      </c>
      <c r="EN7" s="34">
        <v>46011</v>
      </c>
      <c r="EO7" s="34">
        <v>46011</v>
      </c>
      <c r="EP7" s="34">
        <v>46011</v>
      </c>
      <c r="EQ7" s="34">
        <v>46014</v>
      </c>
      <c r="ER7" s="34">
        <v>46014</v>
      </c>
      <c r="ES7" s="34">
        <v>46014</v>
      </c>
      <c r="ET7" s="34">
        <v>46014</v>
      </c>
      <c r="EU7" s="34">
        <v>46015</v>
      </c>
      <c r="EV7" s="34">
        <v>46015</v>
      </c>
      <c r="EW7" s="34">
        <v>46015</v>
      </c>
      <c r="EX7" s="34">
        <v>46020</v>
      </c>
      <c r="EY7" s="34">
        <v>46020</v>
      </c>
      <c r="EZ7" s="34">
        <v>46020</v>
      </c>
      <c r="FA7" s="34">
        <v>46020</v>
      </c>
      <c r="FB7" s="34">
        <v>46021</v>
      </c>
      <c r="FC7" s="34">
        <v>46021</v>
      </c>
      <c r="FD7" s="34">
        <v>46021</v>
      </c>
      <c r="FE7" s="34">
        <v>46022</v>
      </c>
      <c r="FF7" s="34">
        <v>46022</v>
      </c>
      <c r="FG7" s="34">
        <v>46022</v>
      </c>
      <c r="FH7" s="34">
        <v>46022</v>
      </c>
      <c r="FI7" s="157" t="str">
        <f>CS5</f>
        <v>декабрь</v>
      </c>
      <c r="FJ7" s="95"/>
      <c r="FK7" s="785"/>
      <c r="FL7" s="658"/>
      <c r="FM7" s="150"/>
      <c r="FN7" s="150"/>
      <c r="FO7" s="150"/>
      <c r="FP7" s="150"/>
      <c r="FQ7" s="150"/>
      <c r="FR7" s="658"/>
      <c r="FS7" s="658"/>
      <c r="FT7" s="150"/>
      <c r="FU7" s="150"/>
      <c r="FV7" s="150"/>
      <c r="FW7" s="150"/>
      <c r="FX7" s="150"/>
      <c r="FY7" s="778"/>
      <c r="FZ7" s="358"/>
      <c r="GA7" s="150"/>
      <c r="GB7" s="150"/>
      <c r="GC7" s="150"/>
      <c r="GD7" s="150" t="s">
        <v>37</v>
      </c>
      <c r="GE7" s="737"/>
      <c r="GF7" s="434"/>
      <c r="GG7" s="1372"/>
      <c r="GH7" s="1373"/>
      <c r="GI7" s="444">
        <f>I7</f>
        <v>46022</v>
      </c>
      <c r="GJ7" s="1378"/>
      <c r="GK7" s="1379"/>
      <c r="GL7" s="1368"/>
      <c r="GM7" s="1381"/>
      <c r="GN7" s="15"/>
      <c r="GO7" s="560">
        <f>GI7</f>
        <v>46022</v>
      </c>
    </row>
    <row r="8" spans="1:202" ht="15" thickBot="1" x14ac:dyDescent="0.35">
      <c r="A8" s="1385"/>
      <c r="B8" s="291" t="s">
        <v>49</v>
      </c>
      <c r="C8" s="796"/>
      <c r="D8" s="678">
        <f>BG8</f>
        <v>121.85000000000001</v>
      </c>
      <c r="E8" s="252">
        <f>CR8</f>
        <v>73.600000000000009</v>
      </c>
      <c r="F8" s="671">
        <f>FI8</f>
        <v>154.94999999999996</v>
      </c>
      <c r="G8" s="332"/>
      <c r="H8" s="503"/>
      <c r="I8" s="503"/>
      <c r="J8" s="134"/>
      <c r="K8" s="476">
        <f>1*4</f>
        <v>4</v>
      </c>
      <c r="L8" s="476">
        <f>1*5</f>
        <v>5</v>
      </c>
      <c r="M8" s="476">
        <f>1*2</f>
        <v>2</v>
      </c>
      <c r="N8" s="476">
        <f>1*1.5</f>
        <v>1.5</v>
      </c>
      <c r="O8" s="476">
        <f>1*3</f>
        <v>3</v>
      </c>
      <c r="P8" s="476">
        <f>1*2</f>
        <v>2</v>
      </c>
      <c r="Q8" s="476">
        <f>1*2.1</f>
        <v>2.1</v>
      </c>
      <c r="R8" s="474">
        <f>1*3</f>
        <v>3</v>
      </c>
      <c r="S8" s="476">
        <f>0.3</f>
        <v>0.3</v>
      </c>
      <c r="T8" s="476">
        <f>1*1.5</f>
        <v>1.5</v>
      </c>
      <c r="U8" s="476">
        <f>1*0.25</f>
        <v>0.25</v>
      </c>
      <c r="V8" s="476">
        <f>1*4.5</f>
        <v>4.5</v>
      </c>
      <c r="W8" s="476">
        <f>1*3</f>
        <v>3</v>
      </c>
      <c r="X8" s="476">
        <v>0.6</v>
      </c>
      <c r="Y8" s="476">
        <v>0.6</v>
      </c>
      <c r="Z8" s="474">
        <f>1*3</f>
        <v>3</v>
      </c>
      <c r="AA8" s="474">
        <f>20/20*1.7</f>
        <v>1.7</v>
      </c>
      <c r="AB8" s="474">
        <f>1*0.5</f>
        <v>0.5</v>
      </c>
      <c r="AC8" s="474">
        <f>20/20*9</f>
        <v>9</v>
      </c>
      <c r="AD8" s="474">
        <f>20/20*9.3</f>
        <v>9.3000000000000007</v>
      </c>
      <c r="AE8" s="476">
        <f>0.3</f>
        <v>0.3</v>
      </c>
      <c r="AF8" s="474">
        <f>1*3</f>
        <v>3</v>
      </c>
      <c r="AG8" s="476">
        <f>0.3/0.3*0.4</f>
        <v>0.4</v>
      </c>
      <c r="AH8" s="474">
        <f>3</f>
        <v>3</v>
      </c>
      <c r="AI8" s="474">
        <v>1</v>
      </c>
      <c r="AJ8" s="474">
        <f>1*1.5</f>
        <v>1.5</v>
      </c>
      <c r="AK8" s="474">
        <v>0.5</v>
      </c>
      <c r="AL8" s="474">
        <v>3</v>
      </c>
      <c r="AM8" s="474">
        <v>0.6</v>
      </c>
      <c r="AN8" s="474">
        <v>1.2</v>
      </c>
      <c r="AO8" s="474">
        <v>5.5</v>
      </c>
      <c r="AP8" s="474">
        <v>0.3</v>
      </c>
      <c r="AQ8" s="474">
        <f>1*1.5</f>
        <v>1.5</v>
      </c>
      <c r="AR8" s="474">
        <f>1*6</f>
        <v>6</v>
      </c>
      <c r="AS8" s="474">
        <f>1*3</f>
        <v>3</v>
      </c>
      <c r="AT8" s="474">
        <f>10/10*6</f>
        <v>6</v>
      </c>
      <c r="AU8" s="474">
        <f>1*2</f>
        <v>2</v>
      </c>
      <c r="AV8" s="474">
        <f>1*2.4</f>
        <v>2.4</v>
      </c>
      <c r="AW8" s="474">
        <v>3</v>
      </c>
      <c r="AX8" s="474">
        <f>5/5*3</f>
        <v>3</v>
      </c>
      <c r="AY8" s="474">
        <f>5/5*2</f>
        <v>2</v>
      </c>
      <c r="AZ8" s="474">
        <v>0.5</v>
      </c>
      <c r="BA8" s="474">
        <v>0.7</v>
      </c>
      <c r="BB8" s="474">
        <v>1.6</v>
      </c>
      <c r="BC8" s="474">
        <f>1*4</f>
        <v>4</v>
      </c>
      <c r="BD8" s="474">
        <f>1*4</f>
        <v>4</v>
      </c>
      <c r="BE8" s="474">
        <f>1*2</f>
        <v>2</v>
      </c>
      <c r="BF8" s="474">
        <f>1*3</f>
        <v>3</v>
      </c>
      <c r="BG8" s="334">
        <f t="shared" ref="BG8:BG22" si="0">SUM(K8:BF8)</f>
        <v>121.85000000000001</v>
      </c>
      <c r="BH8" s="134"/>
      <c r="BI8" s="828">
        <v>0.6</v>
      </c>
      <c r="BJ8" s="476">
        <v>0.5</v>
      </c>
      <c r="BK8" s="474">
        <v>0.5</v>
      </c>
      <c r="BL8" s="474">
        <f>1*4</f>
        <v>4</v>
      </c>
      <c r="BM8" s="476">
        <f>1*5</f>
        <v>5</v>
      </c>
      <c r="BN8" s="474">
        <f>1*5</f>
        <v>5</v>
      </c>
      <c r="BO8" s="474">
        <f>1*1.5</f>
        <v>1.5</v>
      </c>
      <c r="BP8" s="474">
        <v>0.5</v>
      </c>
      <c r="BQ8" s="476">
        <f>0.6/0.6</f>
        <v>1</v>
      </c>
      <c r="BR8" s="474">
        <v>1</v>
      </c>
      <c r="BS8" s="474">
        <v>3</v>
      </c>
      <c r="BT8" s="474">
        <f>2/2*0.8</f>
        <v>0.8</v>
      </c>
      <c r="BU8" s="474">
        <f>1*1.5</f>
        <v>1.5</v>
      </c>
      <c r="BV8" s="474">
        <f>3/3*2</f>
        <v>2</v>
      </c>
      <c r="BW8" s="474">
        <f>0.5/0.5</f>
        <v>1</v>
      </c>
      <c r="BX8" s="474">
        <f>1*1.8</f>
        <v>1.8</v>
      </c>
      <c r="BY8" s="474">
        <v>1</v>
      </c>
      <c r="BZ8" s="474">
        <v>0.5</v>
      </c>
      <c r="CA8" s="474">
        <v>5</v>
      </c>
      <c r="CB8" s="476">
        <f>1*5</f>
        <v>5</v>
      </c>
      <c r="CC8" s="474">
        <f>2.4/2.4*1.5</f>
        <v>1.5</v>
      </c>
      <c r="CD8" s="474">
        <v>0.6</v>
      </c>
      <c r="CE8" s="476">
        <f>1*5</f>
        <v>5</v>
      </c>
      <c r="CF8" s="474">
        <f>1*0.5</f>
        <v>0.5</v>
      </c>
      <c r="CG8" s="474">
        <f>3/3*2.4</f>
        <v>2.4</v>
      </c>
      <c r="CH8" s="474">
        <f>1</f>
        <v>1</v>
      </c>
      <c r="CI8" s="474">
        <v>1.6</v>
      </c>
      <c r="CJ8" s="474">
        <v>4</v>
      </c>
      <c r="CK8" s="474">
        <f>1*5.5</f>
        <v>5.5</v>
      </c>
      <c r="CL8" s="474">
        <f>1.5/1.5*2.5</f>
        <v>2.5</v>
      </c>
      <c r="CM8" s="474">
        <v>1.5</v>
      </c>
      <c r="CN8" s="474">
        <f>1*2.5</f>
        <v>2.5</v>
      </c>
      <c r="CO8" s="474">
        <f>1*1.3</f>
        <v>1.3</v>
      </c>
      <c r="CP8" s="474">
        <v>1</v>
      </c>
      <c r="CQ8" s="829">
        <f>1*1.5</f>
        <v>1.5</v>
      </c>
      <c r="CR8" s="477">
        <f t="shared" ref="CR8:CR22" si="1">SUM(BI8:CQ8)</f>
        <v>73.600000000000009</v>
      </c>
      <c r="CS8" s="135"/>
      <c r="CT8" s="474">
        <f>10/10*8</f>
        <v>8</v>
      </c>
      <c r="CU8" s="474">
        <f>10/10*2</f>
        <v>2</v>
      </c>
      <c r="CV8" s="474">
        <v>0.4</v>
      </c>
      <c r="CW8" s="474">
        <v>3</v>
      </c>
      <c r="CX8" s="474">
        <f>1*5</f>
        <v>5</v>
      </c>
      <c r="CY8" s="474">
        <f>1*2</f>
        <v>2</v>
      </c>
      <c r="CZ8" s="474">
        <f>1*3.8</f>
        <v>3.8</v>
      </c>
      <c r="DA8" s="474">
        <f>15/15*3.7</f>
        <v>3.7</v>
      </c>
      <c r="DB8" s="474">
        <f>15/15*5.5</f>
        <v>5.5</v>
      </c>
      <c r="DC8" s="474">
        <v>3</v>
      </c>
      <c r="DD8" s="474">
        <v>1</v>
      </c>
      <c r="DE8" s="474">
        <f>1*0.5</f>
        <v>0.5</v>
      </c>
      <c r="DF8" s="474">
        <v>0.3</v>
      </c>
      <c r="DG8" s="474">
        <f>1*4</f>
        <v>4</v>
      </c>
      <c r="DH8" s="474">
        <f>1</f>
        <v>1</v>
      </c>
      <c r="DI8" s="474">
        <f>1*7</f>
        <v>7</v>
      </c>
      <c r="DJ8" s="474">
        <f>1*0.6</f>
        <v>0.6</v>
      </c>
      <c r="DK8" s="474">
        <v>1</v>
      </c>
      <c r="DL8" s="474">
        <f>1*0.3</f>
        <v>0.3</v>
      </c>
      <c r="DM8" s="474">
        <v>3</v>
      </c>
      <c r="DN8" s="474">
        <v>0.3</v>
      </c>
      <c r="DO8" s="474">
        <v>1</v>
      </c>
      <c r="DP8" s="474">
        <f>6/6*3</f>
        <v>3</v>
      </c>
      <c r="DQ8" s="474">
        <f>15/15*5.8</f>
        <v>5.8</v>
      </c>
      <c r="DR8" s="474">
        <f>1*3.3</f>
        <v>3.3</v>
      </c>
      <c r="DS8" s="474">
        <v>0.3</v>
      </c>
      <c r="DT8" s="524">
        <f>0.9/0.9*0.6</f>
        <v>0.6</v>
      </c>
      <c r="DU8" s="475">
        <f>1*8</f>
        <v>8</v>
      </c>
      <c r="DV8" s="333">
        <f>1*2</f>
        <v>2</v>
      </c>
      <c r="DW8" s="333">
        <f>1*4</f>
        <v>4</v>
      </c>
      <c r="DX8" s="476">
        <f>2/2*3</f>
        <v>3</v>
      </c>
      <c r="DY8" s="474">
        <f>1*5</f>
        <v>5</v>
      </c>
      <c r="DZ8" s="474">
        <f>1*2.6</f>
        <v>2.6</v>
      </c>
      <c r="EA8" s="474">
        <f>1*4</f>
        <v>4</v>
      </c>
      <c r="EB8" s="474">
        <v>1</v>
      </c>
      <c r="EC8" s="474">
        <v>1.5</v>
      </c>
      <c r="ED8" s="474">
        <v>0.45</v>
      </c>
      <c r="EE8" s="474">
        <f>1*2.2</f>
        <v>2.2000000000000002</v>
      </c>
      <c r="EF8" s="474">
        <f>1*0.8</f>
        <v>0.8</v>
      </c>
      <c r="EG8" s="474">
        <f>1*4</f>
        <v>4</v>
      </c>
      <c r="EH8" s="474">
        <f>1*4</f>
        <v>4</v>
      </c>
      <c r="EI8" s="474">
        <f>1*2</f>
        <v>2</v>
      </c>
      <c r="EJ8" s="474">
        <v>5</v>
      </c>
      <c r="EK8" s="524">
        <f>1</f>
        <v>1</v>
      </c>
      <c r="EL8" s="473">
        <f>1*1.3</f>
        <v>1.3</v>
      </c>
      <c r="EM8" s="474">
        <f>1*4.2</f>
        <v>4.2</v>
      </c>
      <c r="EN8" s="474">
        <f>1*2</f>
        <v>2</v>
      </c>
      <c r="EO8" s="476">
        <f>0.6</f>
        <v>0.6</v>
      </c>
      <c r="EP8" s="474">
        <v>0.4</v>
      </c>
      <c r="EQ8" s="474">
        <f>1</f>
        <v>1</v>
      </c>
      <c r="ER8" s="474">
        <v>1</v>
      </c>
      <c r="ES8" s="474">
        <v>3</v>
      </c>
      <c r="ET8" s="474">
        <f>1</f>
        <v>1</v>
      </c>
      <c r="EU8" s="474">
        <f>2.4/2.4</f>
        <v>1</v>
      </c>
      <c r="EV8" s="474">
        <f>1*2</f>
        <v>2</v>
      </c>
      <c r="EW8" s="474">
        <f>1.5/1.5</f>
        <v>1</v>
      </c>
      <c r="EX8" s="474">
        <f>2.4/2.4*2</f>
        <v>2</v>
      </c>
      <c r="EY8" s="474">
        <v>1</v>
      </c>
      <c r="EZ8" s="474">
        <f>1*1.5</f>
        <v>1.5</v>
      </c>
      <c r="FA8" s="474">
        <v>2.4</v>
      </c>
      <c r="FB8" s="474">
        <f>1*1.7</f>
        <v>1.7</v>
      </c>
      <c r="FC8" s="474">
        <f>1.2/1.2*0.6</f>
        <v>0.6</v>
      </c>
      <c r="FD8" s="474">
        <f>0.9/0.9*0.6</f>
        <v>0.6</v>
      </c>
      <c r="FE8" s="474">
        <v>1.2</v>
      </c>
      <c r="FF8" s="474">
        <f>1*2</f>
        <v>2</v>
      </c>
      <c r="FG8" s="474">
        <f>1*2</f>
        <v>2</v>
      </c>
      <c r="FH8" s="474">
        <f>1*1.5</f>
        <v>1.5</v>
      </c>
      <c r="FI8" s="429">
        <f t="shared" ref="FI8:FI22" si="2">SUM(CT8:FH8)</f>
        <v>154.94999999999996</v>
      </c>
      <c r="FJ8" s="106"/>
      <c r="FK8" s="501"/>
      <c r="FL8" s="474"/>
      <c r="FM8" s="474"/>
      <c r="FN8" s="474"/>
      <c r="FO8" s="474"/>
      <c r="FP8" s="474"/>
      <c r="FQ8" s="474"/>
      <c r="FR8" s="474"/>
      <c r="FS8" s="474"/>
      <c r="FT8" s="474"/>
      <c r="FU8" s="474"/>
      <c r="FV8" s="474"/>
      <c r="FW8" s="474"/>
      <c r="FX8" s="474"/>
      <c r="FY8" s="478"/>
      <c r="FZ8" s="728"/>
      <c r="GA8" s="475"/>
      <c r="GB8" s="333"/>
      <c r="GC8" s="333"/>
      <c r="GD8" s="333"/>
      <c r="GE8" s="738"/>
      <c r="GF8" s="483"/>
      <c r="GG8" s="529">
        <f t="shared" ref="GG8:GG22" si="3">SUM(FK8:GF8)</f>
        <v>0</v>
      </c>
      <c r="GH8" s="528"/>
      <c r="GI8" s="812"/>
      <c r="GJ8" s="813"/>
      <c r="GK8" s="486"/>
      <c r="GL8" s="1369"/>
      <c r="GM8" s="1382"/>
      <c r="GN8" s="40"/>
      <c r="GO8" s="40"/>
    </row>
    <row r="9" spans="1:202" x14ac:dyDescent="0.3">
      <c r="A9" s="1322">
        <v>1</v>
      </c>
      <c r="B9" s="294" t="s">
        <v>236</v>
      </c>
      <c r="C9" s="304">
        <f>'3_квартал'!G9</f>
        <v>49.204999999999998</v>
      </c>
      <c r="D9" s="588">
        <v>0</v>
      </c>
      <c r="E9" s="191">
        <v>0</v>
      </c>
      <c r="F9" s="887">
        <v>0</v>
      </c>
      <c r="G9" s="461">
        <f>ROUND(AVERAGE(D9:F9),3)</f>
        <v>0</v>
      </c>
      <c r="H9" s="142">
        <v>0</v>
      </c>
      <c r="I9" s="142">
        <v>0</v>
      </c>
      <c r="J9" s="335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  <c r="AN9" s="339"/>
      <c r="AO9" s="339"/>
      <c r="AP9" s="339"/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8"/>
      <c r="BE9" s="339"/>
      <c r="BF9" s="339"/>
      <c r="BG9" s="251">
        <f t="shared" si="0"/>
        <v>0</v>
      </c>
      <c r="BH9" s="335"/>
      <c r="BI9" s="830"/>
      <c r="BJ9" s="339"/>
      <c r="BK9" s="339"/>
      <c r="BL9" s="338"/>
      <c r="BM9" s="339"/>
      <c r="BN9" s="339"/>
      <c r="BO9" s="339"/>
      <c r="BP9" s="339"/>
      <c r="BQ9" s="339"/>
      <c r="BR9" s="339"/>
      <c r="BS9" s="339"/>
      <c r="BT9" s="339"/>
      <c r="BU9" s="339"/>
      <c r="BV9" s="339"/>
      <c r="BW9" s="339"/>
      <c r="BX9" s="339"/>
      <c r="BY9" s="339"/>
      <c r="BZ9" s="339"/>
      <c r="CA9" s="339"/>
      <c r="CB9" s="339"/>
      <c r="CC9" s="339"/>
      <c r="CD9" s="339"/>
      <c r="CE9" s="339"/>
      <c r="CF9" s="339"/>
      <c r="CG9" s="339"/>
      <c r="CH9" s="339"/>
      <c r="CI9" s="339"/>
      <c r="CJ9" s="339"/>
      <c r="CK9" s="339"/>
      <c r="CL9" s="339"/>
      <c r="CM9" s="339"/>
      <c r="CN9" s="339"/>
      <c r="CO9" s="339"/>
      <c r="CP9" s="339"/>
      <c r="CQ9" s="831"/>
      <c r="CR9" s="251">
        <f t="shared" si="1"/>
        <v>0</v>
      </c>
      <c r="CS9" s="340"/>
      <c r="CT9" s="339"/>
      <c r="CU9" s="339"/>
      <c r="CV9" s="339"/>
      <c r="CW9" s="339"/>
      <c r="CX9" s="338"/>
      <c r="CY9" s="339"/>
      <c r="CZ9" s="339"/>
      <c r="DA9" s="339"/>
      <c r="DB9" s="339"/>
      <c r="DC9" s="339"/>
      <c r="DD9" s="339"/>
      <c r="DE9" s="339"/>
      <c r="DF9" s="339"/>
      <c r="DG9" s="338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39"/>
      <c r="DS9" s="339"/>
      <c r="DT9" s="338"/>
      <c r="DU9" s="342"/>
      <c r="DV9" s="336"/>
      <c r="DW9" s="336"/>
      <c r="DX9" s="339"/>
      <c r="DY9" s="338"/>
      <c r="DZ9" s="339"/>
      <c r="EA9" s="339"/>
      <c r="EB9" s="339"/>
      <c r="EC9" s="339"/>
      <c r="ED9" s="339"/>
      <c r="EE9" s="339"/>
      <c r="EF9" s="339"/>
      <c r="EG9" s="339"/>
      <c r="EH9" s="339"/>
      <c r="EI9" s="339"/>
      <c r="EJ9" s="339"/>
      <c r="EK9" s="338"/>
      <c r="EL9" s="487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9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251">
        <f t="shared" si="2"/>
        <v>0</v>
      </c>
      <c r="FJ9" s="149"/>
      <c r="FK9" s="77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9"/>
      <c r="FX9" s="339"/>
      <c r="FY9" s="343"/>
      <c r="FZ9" s="341"/>
      <c r="GA9" s="342"/>
      <c r="GB9" s="336"/>
      <c r="GC9" s="336"/>
      <c r="GD9" s="336"/>
      <c r="GE9" s="800"/>
      <c r="GF9" s="489"/>
      <c r="GG9" s="490">
        <f t="shared" si="3"/>
        <v>0</v>
      </c>
      <c r="GH9" s="452">
        <f t="shared" ref="GH9:GH22" si="4">I9-GG9</f>
        <v>0</v>
      </c>
      <c r="GI9" s="604">
        <f t="shared" ref="GI9:GI22" si="5">I9</f>
        <v>0</v>
      </c>
      <c r="GJ9" s="626">
        <f t="shared" ref="GJ9:GJ22" si="6">C9</f>
        <v>49.204999999999998</v>
      </c>
      <c r="GK9" s="163">
        <f t="shared" ref="GK9:GK22" si="7">E9</f>
        <v>0</v>
      </c>
      <c r="GL9" s="36" t="str">
        <f t="shared" ref="GL9:GL22" si="8">B9</f>
        <v>вит А 1000000</v>
      </c>
      <c r="GM9" s="38"/>
      <c r="GN9" s="602"/>
      <c r="GO9" s="22"/>
    </row>
    <row r="10" spans="1:202" x14ac:dyDescent="0.3">
      <c r="A10" s="1395"/>
      <c r="B10" s="790" t="s">
        <v>238</v>
      </c>
      <c r="C10" s="565">
        <f>'3_квартал'!G10</f>
        <v>71.989999999999995</v>
      </c>
      <c r="D10" s="588">
        <f>84.84+39.2</f>
        <v>124.04</v>
      </c>
      <c r="E10" s="191">
        <f>40.92</f>
        <v>40.92</v>
      </c>
      <c r="F10" s="887">
        <v>90.47</v>
      </c>
      <c r="G10" s="720">
        <f>ROUND(AVERAGE(D10:F10),3)</f>
        <v>85.143000000000001</v>
      </c>
      <c r="H10" s="756">
        <v>119.88</v>
      </c>
      <c r="I10" s="756">
        <f>29.41+200</f>
        <v>229.41</v>
      </c>
      <c r="J10" s="94"/>
      <c r="K10" s="725">
        <f>0.181*4</f>
        <v>0.72399999999999998</v>
      </c>
      <c r="L10" s="725">
        <f>0.181*5</f>
        <v>0.90500000000000003</v>
      </c>
      <c r="M10" s="725">
        <f>1.512*2</f>
        <v>3.024</v>
      </c>
      <c r="N10" s="725"/>
      <c r="O10" s="725">
        <f>0.675*3</f>
        <v>2.0250000000000004</v>
      </c>
      <c r="P10" s="725">
        <f>0.181*2</f>
        <v>0.36199999999999999</v>
      </c>
      <c r="Q10" s="725">
        <f>0.675*2.1</f>
        <v>1.4175000000000002</v>
      </c>
      <c r="R10" s="725">
        <f>0.675*3</f>
        <v>2.0250000000000004</v>
      </c>
      <c r="S10" s="725">
        <f>0.172</f>
        <v>0.17199999999999999</v>
      </c>
      <c r="T10" s="725">
        <f>0.675*1.5</f>
        <v>1.0125000000000002</v>
      </c>
      <c r="U10" s="725">
        <f>0.66*0.25</f>
        <v>0.16500000000000001</v>
      </c>
      <c r="V10" s="725">
        <f>0.66*4.5</f>
        <v>2.97</v>
      </c>
      <c r="W10" s="725">
        <f>0.534*3</f>
        <v>1.6020000000000001</v>
      </c>
      <c r="X10" s="725">
        <v>0.109</v>
      </c>
      <c r="Y10" s="725">
        <v>0.109</v>
      </c>
      <c r="Z10" s="725">
        <f>0.181*3</f>
        <v>0.54299999999999993</v>
      </c>
      <c r="AA10" s="725">
        <f>60.48/20*1.7</f>
        <v>5.1407999999999996</v>
      </c>
      <c r="AB10" s="725">
        <f>0.174*0.5</f>
        <v>8.6999999999999994E-2</v>
      </c>
      <c r="AC10" s="725">
        <f>60.48/20*9</f>
        <v>27.216000000000001</v>
      </c>
      <c r="AD10" s="725">
        <f>60.48/20*9.3</f>
        <v>28.123200000000001</v>
      </c>
      <c r="AE10" s="725">
        <f>0.151</f>
        <v>0.151</v>
      </c>
      <c r="AF10" s="725">
        <f>0.675*3</f>
        <v>2.0250000000000004</v>
      </c>
      <c r="AG10" s="725">
        <f>0.03/0.3*0.4</f>
        <v>4.0000000000000008E-2</v>
      </c>
      <c r="AH10" s="725">
        <f>2.026</f>
        <v>2.0259999999999998</v>
      </c>
      <c r="AI10" s="725">
        <v>0.30199999999999999</v>
      </c>
      <c r="AJ10" s="725">
        <f>0.181*1.5</f>
        <v>0.27149999999999996</v>
      </c>
      <c r="AK10" s="725">
        <v>0.35299999999999998</v>
      </c>
      <c r="AL10" s="725"/>
      <c r="AM10" s="725">
        <v>0.105</v>
      </c>
      <c r="AN10" s="725">
        <v>0.72599999999999998</v>
      </c>
      <c r="AO10" s="725">
        <v>5.5439999999999996</v>
      </c>
      <c r="AP10" s="725"/>
      <c r="AQ10" s="725">
        <f>0.675*1.5</f>
        <v>1.0125000000000002</v>
      </c>
      <c r="AR10" s="725">
        <f>0.675*6</f>
        <v>4.0500000000000007</v>
      </c>
      <c r="AS10" s="725">
        <f>0.675*3</f>
        <v>2.0250000000000004</v>
      </c>
      <c r="AT10" s="725">
        <f>28.224/10*6</f>
        <v>16.9344</v>
      </c>
      <c r="AU10" s="725">
        <f>0.66*2</f>
        <v>1.32</v>
      </c>
      <c r="AV10" s="725">
        <f>0.675*2.4</f>
        <v>1.62</v>
      </c>
      <c r="AW10" s="725">
        <v>0.75600000000000001</v>
      </c>
      <c r="AX10" s="725">
        <f>3.377/5*3</f>
        <v>2.0262000000000002</v>
      </c>
      <c r="AY10" s="725">
        <f>3.377/5*2</f>
        <v>1.3508</v>
      </c>
      <c r="AZ10" s="725">
        <v>0.33</v>
      </c>
      <c r="BA10" s="725"/>
      <c r="BB10" s="725"/>
      <c r="BC10" s="725">
        <f>0.181*4</f>
        <v>0.72399999999999998</v>
      </c>
      <c r="BD10" s="725">
        <f>0.181*4</f>
        <v>0.72399999999999998</v>
      </c>
      <c r="BE10" s="725">
        <f>0.66*2</f>
        <v>1.32</v>
      </c>
      <c r="BF10" s="725">
        <f>0.181*3</f>
        <v>0.54299999999999993</v>
      </c>
      <c r="BG10" s="158">
        <f t="shared" si="0"/>
        <v>124.01140000000002</v>
      </c>
      <c r="BH10" s="94"/>
      <c r="BI10" s="832">
        <f>0.03/0.3*0.6</f>
        <v>0.06</v>
      </c>
      <c r="BJ10" s="725">
        <v>0.55400000000000005</v>
      </c>
      <c r="BK10" s="725"/>
      <c r="BL10" s="725">
        <f>0.181*4</f>
        <v>0.72399999999999998</v>
      </c>
      <c r="BM10" s="725">
        <f>0.171*5</f>
        <v>0.85500000000000009</v>
      </c>
      <c r="BN10" s="725"/>
      <c r="BO10" s="725">
        <f>0.181*1.5</f>
        <v>0.27149999999999996</v>
      </c>
      <c r="BP10" s="725">
        <v>0.28699999999999998</v>
      </c>
      <c r="BQ10" s="725">
        <f>0.105/0.6</f>
        <v>0.17499999999999999</v>
      </c>
      <c r="BR10" s="725">
        <v>0.18099999999999999</v>
      </c>
      <c r="BS10" s="725">
        <v>2.0259999999999998</v>
      </c>
      <c r="BT10" s="725">
        <f>1.32/2*0.8</f>
        <v>0.52800000000000002</v>
      </c>
      <c r="BU10" s="725">
        <f>0.181*1.5</f>
        <v>0.27149999999999996</v>
      </c>
      <c r="BV10" s="725">
        <f>2.026/3*2</f>
        <v>1.3506666666666665</v>
      </c>
      <c r="BW10" s="725">
        <f>0.33/0.5</f>
        <v>0.66</v>
      </c>
      <c r="BX10" s="725">
        <f>0.66*1.8</f>
        <v>1.1880000000000002</v>
      </c>
      <c r="BY10" s="725">
        <v>2.621</v>
      </c>
      <c r="BZ10" s="725"/>
      <c r="CA10" s="725">
        <v>2.52</v>
      </c>
      <c r="CB10" s="725">
        <f>0.171*5</f>
        <v>0.85500000000000009</v>
      </c>
      <c r="CC10" s="725">
        <f>1.621/2.4*1.5</f>
        <v>1.0131250000000001</v>
      </c>
      <c r="CD10" s="725">
        <v>0.109</v>
      </c>
      <c r="CE10" s="725">
        <f>0.171*5</f>
        <v>0.85500000000000009</v>
      </c>
      <c r="CF10" s="725">
        <f>0.302*0.5</f>
        <v>0.151</v>
      </c>
      <c r="CG10" s="725">
        <f>2.026/3*2.4</f>
        <v>1.6207999999999998</v>
      </c>
      <c r="CH10" s="725">
        <f>0.181</f>
        <v>0.18099999999999999</v>
      </c>
      <c r="CI10" s="725">
        <v>1.081</v>
      </c>
      <c r="CJ10" s="725">
        <v>11.29</v>
      </c>
      <c r="CK10" s="725">
        <f>1.008*5.5</f>
        <v>5.5440000000000005</v>
      </c>
      <c r="CL10" s="725">
        <f>0.272/1.5*2.5</f>
        <v>0.45333333333333337</v>
      </c>
      <c r="CM10" s="725">
        <v>0.45400000000000001</v>
      </c>
      <c r="CN10" s="725">
        <f>0.534*2.5</f>
        <v>1.335</v>
      </c>
      <c r="CO10" s="725"/>
      <c r="CP10" s="725">
        <v>0.70599999999999996</v>
      </c>
      <c r="CQ10" s="387">
        <f>0.66*1.5</f>
        <v>0.99</v>
      </c>
      <c r="CR10" s="185">
        <f t="shared" si="1"/>
        <v>40.910925000000006</v>
      </c>
      <c r="CS10" s="57"/>
      <c r="CT10" s="725">
        <f>1.714/10*8</f>
        <v>1.3712</v>
      </c>
      <c r="CU10" s="725">
        <f>1.714/10*2</f>
        <v>0.34279999999999999</v>
      </c>
      <c r="CV10" s="725">
        <v>0.04</v>
      </c>
      <c r="CW10" s="725"/>
      <c r="CX10" s="725">
        <f>0.181*5</f>
        <v>0.90500000000000003</v>
      </c>
      <c r="CY10" s="725">
        <f>0.66*2</f>
        <v>1.32</v>
      </c>
      <c r="CZ10" s="725">
        <f>0.181*3.8</f>
        <v>0.68779999999999997</v>
      </c>
      <c r="DA10" s="725">
        <f>12.625/15*3.7</f>
        <v>3.1141666666666667</v>
      </c>
      <c r="DB10" s="725">
        <f>12.625/15*5.5</f>
        <v>4.6291666666666664</v>
      </c>
      <c r="DC10" s="725">
        <v>2.0259999999999998</v>
      </c>
      <c r="DD10" s="725">
        <v>0.57499999999999996</v>
      </c>
      <c r="DE10" s="725"/>
      <c r="DF10" s="725"/>
      <c r="DG10" s="725">
        <f>0.181*4</f>
        <v>0.72399999999999998</v>
      </c>
      <c r="DH10" s="725">
        <f>0.66</f>
        <v>0.66</v>
      </c>
      <c r="DI10" s="725">
        <f>0.181*7</f>
        <v>1.2669999999999999</v>
      </c>
      <c r="DJ10" s="725">
        <f>0.202*0.6</f>
        <v>0.1212</v>
      </c>
      <c r="DK10" s="725"/>
      <c r="DL10" s="725">
        <f>0.575*0.3</f>
        <v>0.17249999999999999</v>
      </c>
      <c r="DM10" s="725">
        <v>0.75600000000000001</v>
      </c>
      <c r="DN10" s="725">
        <v>0.151</v>
      </c>
      <c r="DO10" s="725">
        <v>0.18099999999999999</v>
      </c>
      <c r="DP10" s="725">
        <f>4.052/6*3</f>
        <v>2.0259999999999998</v>
      </c>
      <c r="DQ10" s="725">
        <f>12.625/15*5.8</f>
        <v>4.8816666666666668</v>
      </c>
      <c r="DR10" s="725">
        <f>0.66*3.3</f>
        <v>2.1779999999999999</v>
      </c>
      <c r="DS10" s="725">
        <v>9.0999999999999998E-2</v>
      </c>
      <c r="DT10" s="724">
        <f>0.163/0.9*0.6</f>
        <v>0.10866666666666666</v>
      </c>
      <c r="DU10" s="845">
        <f>2.621*8</f>
        <v>20.968</v>
      </c>
      <c r="DV10" s="724">
        <f>0.717*2</f>
        <v>1.4339999999999999</v>
      </c>
      <c r="DW10" s="724">
        <f>1.512*4</f>
        <v>6.048</v>
      </c>
      <c r="DX10" s="725">
        <f>3.024/2*3</f>
        <v>4.5359999999999996</v>
      </c>
      <c r="DY10" s="725">
        <f>0.181*5</f>
        <v>0.90500000000000003</v>
      </c>
      <c r="DZ10" s="725">
        <f>0.534*2.6</f>
        <v>1.3884000000000001</v>
      </c>
      <c r="EA10" s="725">
        <f>1.008*4</f>
        <v>4.032</v>
      </c>
      <c r="EB10" s="725">
        <v>0.70599999999999996</v>
      </c>
      <c r="EC10" s="725">
        <v>1.0129999999999999</v>
      </c>
      <c r="ED10" s="725">
        <v>0.29699999999999999</v>
      </c>
      <c r="EE10" s="725">
        <f>0.675*2.2</f>
        <v>1.4850000000000003</v>
      </c>
      <c r="EF10" s="725">
        <f>0.66*0.8</f>
        <v>0.52800000000000002</v>
      </c>
      <c r="EG10" s="725">
        <f>0.675*4</f>
        <v>2.7</v>
      </c>
      <c r="EH10" s="725">
        <f>0.181*4</f>
        <v>0.72399999999999998</v>
      </c>
      <c r="EI10" s="725">
        <f>0.181*2</f>
        <v>0.36199999999999999</v>
      </c>
      <c r="EJ10" s="725"/>
      <c r="EK10" s="724">
        <f>0.66</f>
        <v>0.66</v>
      </c>
      <c r="EL10" s="740">
        <f>0.181*1.3</f>
        <v>0.23530000000000001</v>
      </c>
      <c r="EM10" s="725">
        <f>0.181*4.2</f>
        <v>0.76019999999999999</v>
      </c>
      <c r="EN10" s="725">
        <f>0.181*2</f>
        <v>0.36199999999999999</v>
      </c>
      <c r="EO10" s="725">
        <f>0.105</f>
        <v>0.105</v>
      </c>
      <c r="EP10" s="725">
        <v>7.0000000000000007E-2</v>
      </c>
      <c r="EQ10" s="725">
        <f>0.66</f>
        <v>0.66</v>
      </c>
      <c r="ER10" s="725">
        <v>0.18099999999999999</v>
      </c>
      <c r="ES10" s="725">
        <v>2.0259999999999998</v>
      </c>
      <c r="ET10" s="725">
        <f>0.66</f>
        <v>0.66</v>
      </c>
      <c r="EU10" s="725">
        <f>1.621/2.4</f>
        <v>0.67541666666666667</v>
      </c>
      <c r="EV10" s="725">
        <f>0.202*2</f>
        <v>0.40400000000000003</v>
      </c>
      <c r="EW10" s="725">
        <f>0.272/1.5</f>
        <v>0.18133333333333335</v>
      </c>
      <c r="EX10" s="725">
        <f>1.621/2.4*2</f>
        <v>1.3508333333333333</v>
      </c>
      <c r="EY10" s="725">
        <v>0.18099999999999999</v>
      </c>
      <c r="EZ10" s="725">
        <f>0.66*1.5</f>
        <v>0.99</v>
      </c>
      <c r="FA10" s="725">
        <f>1.621+0.44</f>
        <v>2.0609999999999999</v>
      </c>
      <c r="FB10" s="725">
        <v>0.308</v>
      </c>
      <c r="FC10" s="725">
        <f>0.218/1.2*0.6</f>
        <v>0.109</v>
      </c>
      <c r="FD10" s="725">
        <f>0.163/0.9*0.6</f>
        <v>0.10866666666666666</v>
      </c>
      <c r="FE10" s="725">
        <v>0.72599999999999998</v>
      </c>
      <c r="FF10" s="725">
        <f>0.155*2</f>
        <v>0.31</v>
      </c>
      <c r="FG10" s="725">
        <f>0.154*2</f>
        <v>0.308</v>
      </c>
      <c r="FH10" s="725">
        <f>1.31*1.5</f>
        <v>1.9650000000000001</v>
      </c>
      <c r="FI10" s="158">
        <f t="shared" si="2"/>
        <v>90.853316666666629</v>
      </c>
      <c r="FJ10" s="95"/>
      <c r="FK10" s="374"/>
      <c r="FL10" s="725"/>
      <c r="FM10" s="725"/>
      <c r="FN10" s="725"/>
      <c r="FO10" s="725"/>
      <c r="FP10" s="725"/>
      <c r="FQ10" s="725"/>
      <c r="FR10" s="725"/>
      <c r="FS10" s="725"/>
      <c r="FT10" s="725"/>
      <c r="FU10" s="725"/>
      <c r="FV10" s="725"/>
      <c r="FW10" s="725"/>
      <c r="FX10" s="725"/>
      <c r="FY10" s="387"/>
      <c r="FZ10" s="723"/>
      <c r="GA10" s="845"/>
      <c r="GB10" s="724"/>
      <c r="GC10" s="724"/>
      <c r="GD10" s="724"/>
      <c r="GE10" s="801"/>
      <c r="GF10" s="472"/>
      <c r="GG10" s="843">
        <f t="shared" si="3"/>
        <v>0</v>
      </c>
      <c r="GH10" s="500">
        <f t="shared" si="4"/>
        <v>229.41</v>
      </c>
      <c r="GI10" s="605">
        <f t="shared" si="5"/>
        <v>229.41</v>
      </c>
      <c r="GJ10" s="627">
        <f t="shared" si="6"/>
        <v>71.989999999999995</v>
      </c>
      <c r="GK10" s="239">
        <f t="shared" si="7"/>
        <v>40.92</v>
      </c>
      <c r="GL10" s="36" t="str">
        <f t="shared" si="8"/>
        <v>Апсавит вит А1000</v>
      </c>
      <c r="GM10" s="38"/>
      <c r="GN10" s="602"/>
      <c r="GO10" s="22"/>
    </row>
    <row r="11" spans="1:202" x14ac:dyDescent="0.3">
      <c r="A11" s="1396">
        <f>A9+1</f>
        <v>2</v>
      </c>
      <c r="B11" s="276" t="s">
        <v>26</v>
      </c>
      <c r="C11" s="565">
        <f>'3_квартал'!G11</f>
        <v>12.183</v>
      </c>
      <c r="D11" s="588">
        <f>9.88+35.27</f>
        <v>45.150000000000006</v>
      </c>
      <c r="E11" s="191">
        <f>6.99+10.97</f>
        <v>17.96</v>
      </c>
      <c r="F11" s="887">
        <f>28.8+3.75+5.23</f>
        <v>37.78</v>
      </c>
      <c r="G11" s="299">
        <f t="shared" ref="G11:G84" si="9">ROUND(AVERAGE(D11:F11),3)</f>
        <v>33.630000000000003</v>
      </c>
      <c r="H11" s="93">
        <f>28.8+3.76</f>
        <v>32.56</v>
      </c>
      <c r="I11" s="93">
        <f>0.01+94.77</f>
        <v>94.78</v>
      </c>
      <c r="J11" s="94"/>
      <c r="K11" s="319">
        <f>0.095*4</f>
        <v>0.38</v>
      </c>
      <c r="L11" s="319">
        <f>0.095*5</f>
        <v>0.47499999999999998</v>
      </c>
      <c r="M11" s="319">
        <f>0.723*2</f>
        <v>1.446</v>
      </c>
      <c r="N11" s="319"/>
      <c r="O11" s="319"/>
      <c r="P11" s="319">
        <f>0.095*2</f>
        <v>0.19</v>
      </c>
      <c r="Q11" s="319">
        <f>0.39*2.1</f>
        <v>0.81900000000000006</v>
      </c>
      <c r="R11" s="319">
        <f>0.397*3</f>
        <v>1.1910000000000001</v>
      </c>
      <c r="S11" s="319"/>
      <c r="T11" s="319">
        <f>0.39*1.5</f>
        <v>0.58499999999999996</v>
      </c>
      <c r="U11" s="319">
        <f>0.304*0.25</f>
        <v>7.5999999999999998E-2</v>
      </c>
      <c r="V11" s="319">
        <f>0.304*4.5</f>
        <v>1.3679999999999999</v>
      </c>
      <c r="W11" s="319"/>
      <c r="X11" s="319"/>
      <c r="Y11" s="319"/>
      <c r="Z11" s="319">
        <f>0.095*3</f>
        <v>0.28500000000000003</v>
      </c>
      <c r="AA11" s="319">
        <f>17.446/20*1.7</f>
        <v>1.4829100000000002</v>
      </c>
      <c r="AB11" s="319">
        <f>0.038*0.5</f>
        <v>1.9E-2</v>
      </c>
      <c r="AC11" s="319">
        <f>17.446/20*9</f>
        <v>7.8507000000000007</v>
      </c>
      <c r="AD11" s="319">
        <f>17.446/20*9.3</f>
        <v>8.1123900000000013</v>
      </c>
      <c r="AE11" s="319">
        <f>0.072</f>
        <v>7.1999999999999995E-2</v>
      </c>
      <c r="AF11" s="319">
        <f>0.397*3</f>
        <v>1.1910000000000001</v>
      </c>
      <c r="AG11" s="319"/>
      <c r="AH11" s="319">
        <f>1.192</f>
        <v>1.1919999999999999</v>
      </c>
      <c r="AI11" s="319"/>
      <c r="AJ11" s="319">
        <f>0.095*1.5</f>
        <v>0.14250000000000002</v>
      </c>
      <c r="AK11" s="319">
        <v>0.155</v>
      </c>
      <c r="AL11" s="319"/>
      <c r="AM11" s="319"/>
      <c r="AN11" s="319"/>
      <c r="AO11" s="319">
        <v>2.1859999999999999</v>
      </c>
      <c r="AP11" s="319">
        <v>2.3E-2</v>
      </c>
      <c r="AQ11" s="319">
        <f>0.39*1.5</f>
        <v>0.58499999999999996</v>
      </c>
      <c r="AR11" s="319">
        <f>0.397*6</f>
        <v>2.3820000000000001</v>
      </c>
      <c r="AS11" s="319"/>
      <c r="AT11" s="319">
        <f>12.6/10*6</f>
        <v>7.5600000000000005</v>
      </c>
      <c r="AU11" s="319">
        <f>0.304*2</f>
        <v>0.60799999999999998</v>
      </c>
      <c r="AV11" s="319">
        <f>0.39*2.4</f>
        <v>0.93599999999999994</v>
      </c>
      <c r="AW11" s="319"/>
      <c r="AX11" s="319">
        <f>1.987/5*3</f>
        <v>1.1922000000000001</v>
      </c>
      <c r="AY11" s="319">
        <f>1.987/5*2</f>
        <v>0.79480000000000006</v>
      </c>
      <c r="AZ11" s="319">
        <v>0.152</v>
      </c>
      <c r="BA11" s="319">
        <v>5.2999999999999999E-2</v>
      </c>
      <c r="BB11" s="319">
        <v>8.0000000000000002E-3</v>
      </c>
      <c r="BC11" s="319">
        <f>0.095*4</f>
        <v>0.38</v>
      </c>
      <c r="BD11" s="319">
        <f>0.095*4</f>
        <v>0.38</v>
      </c>
      <c r="BE11" s="319">
        <f>0.304*2</f>
        <v>0.60799999999999998</v>
      </c>
      <c r="BF11" s="319">
        <f>0.095*3</f>
        <v>0.28500000000000003</v>
      </c>
      <c r="BG11" s="158">
        <f t="shared" si="0"/>
        <v>45.165500000000002</v>
      </c>
      <c r="BH11" s="94"/>
      <c r="BI11" s="833">
        <v>2.9000000000000001E-2</v>
      </c>
      <c r="BJ11" s="319">
        <v>0.23799999999999999</v>
      </c>
      <c r="BK11" s="319"/>
      <c r="BL11" s="319">
        <f>0.095*4</f>
        <v>0.38</v>
      </c>
      <c r="BM11" s="319">
        <f>0.076*5</f>
        <v>0.38</v>
      </c>
      <c r="BN11" s="319"/>
      <c r="BO11" s="319">
        <f>0.095*1.5</f>
        <v>0.14250000000000002</v>
      </c>
      <c r="BP11" s="319">
        <v>0.13300000000000001</v>
      </c>
      <c r="BQ11" s="319">
        <f>0.023/0.6</f>
        <v>3.8333333333333337E-2</v>
      </c>
      <c r="BR11" s="319">
        <v>9.5000000000000001E-2</v>
      </c>
      <c r="BS11" s="319">
        <v>1.1919999999999999</v>
      </c>
      <c r="BT11" s="319">
        <f>0.609/2*0.8</f>
        <v>0.24360000000000001</v>
      </c>
      <c r="BU11" s="319">
        <f>0.095*1.5</f>
        <v>0.14250000000000002</v>
      </c>
      <c r="BV11" s="319">
        <f>1.192/3*2</f>
        <v>0.79466666666666663</v>
      </c>
      <c r="BW11" s="319">
        <f>0.152/0.5</f>
        <v>0.30399999999999999</v>
      </c>
      <c r="BX11" s="319">
        <f>0.304*1.8</f>
        <v>0.54720000000000002</v>
      </c>
      <c r="BY11" s="319">
        <v>0.57099999999999995</v>
      </c>
      <c r="BZ11" s="319"/>
      <c r="CA11" s="319">
        <v>0.64900000000000002</v>
      </c>
      <c r="CB11" s="319">
        <f>0.076*5</f>
        <v>0.38</v>
      </c>
      <c r="CC11" s="319">
        <f>0.936/2.4*1.5</f>
        <v>0.58499999999999996</v>
      </c>
      <c r="CD11" s="319">
        <v>5.7000000000000002E-2</v>
      </c>
      <c r="CE11" s="319">
        <f>0.076*5</f>
        <v>0.38</v>
      </c>
      <c r="CF11" s="319">
        <f>0.165*0.5</f>
        <v>8.2500000000000004E-2</v>
      </c>
      <c r="CG11" s="319">
        <f>1.17/3*2.4</f>
        <v>0.93599999999999983</v>
      </c>
      <c r="CH11" s="319">
        <f>0.095</f>
        <v>9.5000000000000001E-2</v>
      </c>
      <c r="CI11" s="319">
        <v>0.624</v>
      </c>
      <c r="CJ11" s="319">
        <v>5.04</v>
      </c>
      <c r="CK11" s="319">
        <f>0.397*5.5</f>
        <v>2.1835</v>
      </c>
      <c r="CL11" s="319">
        <f>0.143/1.5*2.5</f>
        <v>0.23833333333333331</v>
      </c>
      <c r="CM11" s="319">
        <v>0.247</v>
      </c>
      <c r="CN11" s="319">
        <f>0.194*2.5</f>
        <v>0.48499999999999999</v>
      </c>
      <c r="CO11" s="319"/>
      <c r="CP11" s="319">
        <v>0.31</v>
      </c>
      <c r="CQ11" s="365">
        <f>0.304*1.5</f>
        <v>0.45599999999999996</v>
      </c>
      <c r="CR11" s="185">
        <f t="shared" si="1"/>
        <v>17.97913333333333</v>
      </c>
      <c r="CS11" s="57"/>
      <c r="CT11" s="319">
        <f>0.761/10*8</f>
        <v>0.60880000000000001</v>
      </c>
      <c r="CU11" s="319">
        <f>0.761/10*2</f>
        <v>0.1522</v>
      </c>
      <c r="CV11" s="319">
        <v>1.9E-2</v>
      </c>
      <c r="CW11" s="319"/>
      <c r="CX11" s="319">
        <f>0.095*5</f>
        <v>0.47499999999999998</v>
      </c>
      <c r="CY11" s="319">
        <f>0.304*2</f>
        <v>0.60799999999999998</v>
      </c>
      <c r="CZ11" s="319">
        <f>0.095*3.8</f>
        <v>0.36099999999999999</v>
      </c>
      <c r="DA11" s="319">
        <f>5.991/15*3.7</f>
        <v>1.4777800000000001</v>
      </c>
      <c r="DB11" s="319">
        <f>5.991/15*5.5</f>
        <v>2.1966999999999999</v>
      </c>
      <c r="DC11" s="319">
        <v>1.1919999999999999</v>
      </c>
      <c r="DD11" s="319">
        <v>0.27100000000000002</v>
      </c>
      <c r="DE11" s="319"/>
      <c r="DF11" s="319">
        <v>2.3E-2</v>
      </c>
      <c r="DG11" s="319">
        <f>0.095*4</f>
        <v>0.38</v>
      </c>
      <c r="DH11" s="319">
        <f>0.304</f>
        <v>0.30399999999999999</v>
      </c>
      <c r="DI11" s="319">
        <f>0.095*7</f>
        <v>0.66500000000000004</v>
      </c>
      <c r="DJ11" s="319">
        <f>0.095*0.6</f>
        <v>5.6999999999999995E-2</v>
      </c>
      <c r="DK11" s="319">
        <v>7.8E-2</v>
      </c>
      <c r="DL11" s="319">
        <f>0.271*0.3</f>
        <v>8.1299999999999997E-2</v>
      </c>
      <c r="DM11" s="319">
        <v>0.17100000000000001</v>
      </c>
      <c r="DN11" s="319">
        <v>7.1999999999999995E-2</v>
      </c>
      <c r="DO11" s="319">
        <v>9.5000000000000001E-2</v>
      </c>
      <c r="DP11" s="319">
        <f>2.384/6*3</f>
        <v>1.1919999999999999</v>
      </c>
      <c r="DQ11" s="319">
        <f>5.991/15*5.8</f>
        <v>2.3165199999999997</v>
      </c>
      <c r="DR11" s="319">
        <f>0.304*3.3</f>
        <v>1.0031999999999999</v>
      </c>
      <c r="DS11" s="319">
        <v>1.7000000000000001E-2</v>
      </c>
      <c r="DT11" s="245">
        <f>0.086/0.9*0.6</f>
        <v>5.7333333333333326E-2</v>
      </c>
      <c r="DU11" s="271">
        <f>0.571*8</f>
        <v>4.5679999999999996</v>
      </c>
      <c r="DV11" s="177">
        <f>0.268*2</f>
        <v>0.53600000000000003</v>
      </c>
      <c r="DW11" s="177">
        <f>0.723*4</f>
        <v>2.8919999999999999</v>
      </c>
      <c r="DX11" s="319">
        <f>1.445/2*3</f>
        <v>2.1675</v>
      </c>
      <c r="DY11" s="319">
        <f>0.095*5</f>
        <v>0.47499999999999998</v>
      </c>
      <c r="DZ11" s="319">
        <f>0.19*2.6</f>
        <v>0.49400000000000005</v>
      </c>
      <c r="EA11" s="319">
        <f>0.39*4</f>
        <v>1.56</v>
      </c>
      <c r="EB11" s="319">
        <v>0.31</v>
      </c>
      <c r="EC11" s="319">
        <v>0.58499999999999996</v>
      </c>
      <c r="ED11" s="319">
        <v>0.13700000000000001</v>
      </c>
      <c r="EE11" s="319">
        <f>0.39*2.2</f>
        <v>0.8580000000000001</v>
      </c>
      <c r="EF11" s="319">
        <f>0.304*0.8</f>
        <v>0.2432</v>
      </c>
      <c r="EG11" s="319">
        <f>0.39*4</f>
        <v>1.56</v>
      </c>
      <c r="EH11" s="319">
        <f>0.097*4</f>
        <v>0.38800000000000001</v>
      </c>
      <c r="EI11" s="319">
        <f>0.095*2</f>
        <v>0.19</v>
      </c>
      <c r="EJ11" s="319"/>
      <c r="EK11" s="245">
        <f>0.304</f>
        <v>0.30399999999999999</v>
      </c>
      <c r="EL11" s="466">
        <f>0.095*1.3</f>
        <v>0.12350000000000001</v>
      </c>
      <c r="EM11" s="319">
        <f>0.095*4.2</f>
        <v>0.39900000000000002</v>
      </c>
      <c r="EN11" s="319">
        <f>0.095*2</f>
        <v>0.19</v>
      </c>
      <c r="EO11" s="319">
        <f>0.023</f>
        <v>2.3E-2</v>
      </c>
      <c r="EP11" s="319">
        <v>1.4999999999999999E-2</v>
      </c>
      <c r="EQ11" s="319">
        <v>0.31</v>
      </c>
      <c r="ER11" s="319">
        <v>9.7000000000000003E-2</v>
      </c>
      <c r="ES11" s="319">
        <v>1.1919999999999999</v>
      </c>
      <c r="ET11" s="319">
        <v>0.31</v>
      </c>
      <c r="EU11" s="319">
        <f>0.954/2.4</f>
        <v>0.39750000000000002</v>
      </c>
      <c r="EV11" s="319">
        <f>0.097*2</f>
        <v>0.19400000000000001</v>
      </c>
      <c r="EW11" s="319">
        <f>0.145/1.5</f>
        <v>9.6666666666666665E-2</v>
      </c>
      <c r="EX11" s="319">
        <f>0.954/2.4*2</f>
        <v>0.79500000000000004</v>
      </c>
      <c r="EY11" s="319">
        <v>9.7000000000000003E-2</v>
      </c>
      <c r="EZ11" s="319">
        <f>0.31*1.5</f>
        <v>0.46499999999999997</v>
      </c>
      <c r="FA11" s="319">
        <v>0.50700000000000001</v>
      </c>
      <c r="FB11" s="319">
        <v>0.16500000000000001</v>
      </c>
      <c r="FC11" s="319">
        <f>0.116/1.2*0.6</f>
        <v>5.8000000000000003E-2</v>
      </c>
      <c r="FD11" s="319">
        <f>0.087/0.9*0.6</f>
        <v>5.7999999999999989E-2</v>
      </c>
      <c r="FE11" s="319">
        <v>0.14000000000000001</v>
      </c>
      <c r="FF11" s="319">
        <f>0.035*2</f>
        <v>7.0000000000000007E-2</v>
      </c>
      <c r="FG11" s="319">
        <f>0.035*2</f>
        <v>7.0000000000000007E-2</v>
      </c>
      <c r="FH11" s="319">
        <f>0.291*1.5</f>
        <v>0.4365</v>
      </c>
      <c r="FI11" s="158">
        <f t="shared" si="2"/>
        <v>37.350700000000018</v>
      </c>
      <c r="FJ11" s="95"/>
      <c r="FK11" s="374"/>
      <c r="FL11" s="319"/>
      <c r="FM11" s="319"/>
      <c r="FN11" s="319"/>
      <c r="FO11" s="319"/>
      <c r="FP11" s="319"/>
      <c r="FQ11" s="319"/>
      <c r="FR11" s="319"/>
      <c r="FS11" s="319"/>
      <c r="FT11" s="319"/>
      <c r="FU11" s="319"/>
      <c r="FV11" s="319"/>
      <c r="FW11" s="319"/>
      <c r="FX11" s="319"/>
      <c r="FY11" s="28"/>
      <c r="FZ11" s="270"/>
      <c r="GA11" s="271"/>
      <c r="GB11" s="177"/>
      <c r="GC11" s="177"/>
      <c r="GD11" s="177"/>
      <c r="GE11" s="802"/>
      <c r="GF11" s="435"/>
      <c r="GG11" s="327">
        <f t="shared" si="3"/>
        <v>0</v>
      </c>
      <c r="GH11" s="500">
        <f t="shared" si="4"/>
        <v>94.78</v>
      </c>
      <c r="GI11" s="605">
        <f t="shared" si="5"/>
        <v>94.78</v>
      </c>
      <c r="GJ11" s="627">
        <f t="shared" si="6"/>
        <v>12.183</v>
      </c>
      <c r="GK11" s="239">
        <f t="shared" si="7"/>
        <v>17.96</v>
      </c>
      <c r="GL11" s="36" t="str">
        <f t="shared" si="8"/>
        <v>вит Д3, нутравит Д3</v>
      </c>
      <c r="GM11" s="230"/>
      <c r="GN11" s="22"/>
      <c r="GO11" s="22"/>
    </row>
    <row r="12" spans="1:202" x14ac:dyDescent="0.3">
      <c r="A12" s="1395"/>
      <c r="B12" s="790" t="s">
        <v>237</v>
      </c>
      <c r="C12" s="565">
        <f>'3_квартал'!G12</f>
        <v>25.402999999999999</v>
      </c>
      <c r="D12" s="588">
        <v>3.79</v>
      </c>
      <c r="E12" s="191">
        <v>0</v>
      </c>
      <c r="F12" s="887">
        <v>0</v>
      </c>
      <c r="G12" s="299">
        <f t="shared" si="9"/>
        <v>1.2629999999999999</v>
      </c>
      <c r="H12" s="756">
        <v>0</v>
      </c>
      <c r="I12" s="756">
        <v>0</v>
      </c>
      <c r="J12" s="94"/>
      <c r="K12" s="725"/>
      <c r="L12" s="725"/>
      <c r="M12" s="725"/>
      <c r="N12" s="725"/>
      <c r="O12" s="725">
        <f>0.397*3</f>
        <v>1.1910000000000001</v>
      </c>
      <c r="P12" s="725"/>
      <c r="Q12" s="725"/>
      <c r="R12" s="725"/>
      <c r="S12" s="725">
        <f>0.081</f>
        <v>8.1000000000000003E-2</v>
      </c>
      <c r="T12" s="725"/>
      <c r="U12" s="725"/>
      <c r="V12" s="725"/>
      <c r="W12" s="725">
        <f>0.194*3</f>
        <v>0.58200000000000007</v>
      </c>
      <c r="X12" s="725">
        <v>5.8000000000000003E-2</v>
      </c>
      <c r="Y12" s="725">
        <v>5.8000000000000003E-2</v>
      </c>
      <c r="Z12" s="725"/>
      <c r="AA12" s="319"/>
      <c r="AB12" s="725"/>
      <c r="AC12" s="319"/>
      <c r="AD12" s="319"/>
      <c r="AE12" s="725"/>
      <c r="AF12" s="725"/>
      <c r="AG12" s="725">
        <f>0.015/0.3*0.4</f>
        <v>2.0000000000000004E-2</v>
      </c>
      <c r="AH12" s="725"/>
      <c r="AI12" s="725">
        <v>0.16500000000000001</v>
      </c>
      <c r="AJ12" s="725"/>
      <c r="AK12" s="725"/>
      <c r="AL12" s="725"/>
      <c r="AM12" s="725">
        <v>2.3E-2</v>
      </c>
      <c r="AN12" s="725">
        <v>0.14000000000000001</v>
      </c>
      <c r="AO12" s="725"/>
      <c r="AP12" s="725"/>
      <c r="AQ12" s="725"/>
      <c r="AR12" s="725"/>
      <c r="AS12" s="319">
        <f>0.397*3</f>
        <v>1.1910000000000001</v>
      </c>
      <c r="AT12" s="725"/>
      <c r="AU12" s="725"/>
      <c r="AV12" s="725"/>
      <c r="AW12" s="725">
        <v>0.17399999999999999</v>
      </c>
      <c r="AX12" s="725"/>
      <c r="AY12" s="725"/>
      <c r="AZ12" s="725"/>
      <c r="BA12" s="725"/>
      <c r="BB12" s="725">
        <v>0.11600000000000001</v>
      </c>
      <c r="BC12" s="725"/>
      <c r="BD12" s="725"/>
      <c r="BE12" s="725"/>
      <c r="BF12" s="725"/>
      <c r="BG12" s="158">
        <f t="shared" si="0"/>
        <v>3.7990000000000004</v>
      </c>
      <c r="BH12" s="94"/>
      <c r="BI12" s="832"/>
      <c r="BJ12" s="725"/>
      <c r="BK12" s="725"/>
      <c r="BL12" s="725"/>
      <c r="BM12" s="319"/>
      <c r="BN12" s="725"/>
      <c r="BO12" s="725"/>
      <c r="BP12" s="725"/>
      <c r="BQ12" s="725"/>
      <c r="BR12" s="725"/>
      <c r="BS12" s="725"/>
      <c r="BT12" s="725"/>
      <c r="BU12" s="725"/>
      <c r="BV12" s="725"/>
      <c r="BW12" s="725"/>
      <c r="BX12" s="725"/>
      <c r="BY12" s="725"/>
      <c r="BZ12" s="725"/>
      <c r="CA12" s="725"/>
      <c r="CB12" s="319"/>
      <c r="CC12" s="725"/>
      <c r="CD12" s="725"/>
      <c r="CE12" s="319"/>
      <c r="CF12" s="725"/>
      <c r="CG12" s="725"/>
      <c r="CH12" s="725"/>
      <c r="CI12" s="725"/>
      <c r="CJ12" s="725"/>
      <c r="CK12" s="725"/>
      <c r="CL12" s="725"/>
      <c r="CM12" s="725"/>
      <c r="CN12" s="725"/>
      <c r="CO12" s="725"/>
      <c r="CP12" s="725"/>
      <c r="CQ12" s="387"/>
      <c r="CR12" s="185">
        <f t="shared" si="1"/>
        <v>0</v>
      </c>
      <c r="CS12" s="57"/>
      <c r="CT12" s="725"/>
      <c r="CU12" s="725"/>
      <c r="CV12" s="725"/>
      <c r="CW12" s="725"/>
      <c r="CX12" s="725"/>
      <c r="CY12" s="725"/>
      <c r="CZ12" s="725"/>
      <c r="DA12" s="725"/>
      <c r="DB12" s="725"/>
      <c r="DC12" s="725"/>
      <c r="DD12" s="725"/>
      <c r="DE12" s="725"/>
      <c r="DF12" s="725"/>
      <c r="DG12" s="725"/>
      <c r="DH12" s="725"/>
      <c r="DI12" s="725"/>
      <c r="DJ12" s="725"/>
      <c r="DK12" s="319"/>
      <c r="DL12" s="725"/>
      <c r="DM12" s="319"/>
      <c r="DN12" s="725"/>
      <c r="DO12" s="725"/>
      <c r="DP12" s="725"/>
      <c r="DQ12" s="725"/>
      <c r="DR12" s="725"/>
      <c r="DS12" s="725"/>
      <c r="DT12" s="724"/>
      <c r="DU12" s="846"/>
      <c r="DV12" s="730"/>
      <c r="DW12" s="730"/>
      <c r="DX12" s="725"/>
      <c r="DY12" s="725"/>
      <c r="DZ12" s="725"/>
      <c r="EA12" s="725"/>
      <c r="EB12" s="725"/>
      <c r="EC12" s="725"/>
      <c r="ED12" s="725"/>
      <c r="EE12" s="725"/>
      <c r="EF12" s="725"/>
      <c r="EG12" s="725"/>
      <c r="EH12" s="725"/>
      <c r="EI12" s="725"/>
      <c r="EJ12" s="725"/>
      <c r="EK12" s="724"/>
      <c r="EL12" s="740"/>
      <c r="EM12" s="725"/>
      <c r="EN12" s="725"/>
      <c r="EO12" s="725"/>
      <c r="EP12" s="319"/>
      <c r="EQ12" s="319"/>
      <c r="ER12" s="725"/>
      <c r="ES12" s="725"/>
      <c r="ET12" s="725"/>
      <c r="EU12" s="725"/>
      <c r="EV12" s="725"/>
      <c r="EW12" s="725"/>
      <c r="EX12" s="725"/>
      <c r="EY12" s="725"/>
      <c r="EZ12" s="725"/>
      <c r="FA12" s="725"/>
      <c r="FB12" s="725"/>
      <c r="FC12" s="725"/>
      <c r="FD12" s="725"/>
      <c r="FE12" s="725"/>
      <c r="FF12" s="725"/>
      <c r="FG12" s="725"/>
      <c r="FH12" s="725"/>
      <c r="FI12" s="158">
        <f t="shared" si="2"/>
        <v>0</v>
      </c>
      <c r="FJ12" s="95"/>
      <c r="FK12" s="374"/>
      <c r="FL12" s="725"/>
      <c r="FM12" s="725"/>
      <c r="FN12" s="725"/>
      <c r="FO12" s="725"/>
      <c r="FP12" s="725"/>
      <c r="FQ12" s="725"/>
      <c r="FR12" s="725"/>
      <c r="FS12" s="725"/>
      <c r="FT12" s="725"/>
      <c r="FU12" s="725"/>
      <c r="FV12" s="725"/>
      <c r="FW12" s="725"/>
      <c r="FX12" s="725"/>
      <c r="FY12" s="387"/>
      <c r="FZ12" s="731"/>
      <c r="GA12" s="846"/>
      <c r="GB12" s="730"/>
      <c r="GC12" s="730"/>
      <c r="GD12" s="730"/>
      <c r="GE12" s="803"/>
      <c r="GF12" s="435"/>
      <c r="GG12" s="438">
        <f t="shared" si="3"/>
        <v>0</v>
      </c>
      <c r="GH12" s="500">
        <f t="shared" si="4"/>
        <v>0</v>
      </c>
      <c r="GI12" s="605">
        <f t="shared" si="5"/>
        <v>0</v>
      </c>
      <c r="GJ12" s="627">
        <f t="shared" si="6"/>
        <v>25.402999999999999</v>
      </c>
      <c r="GK12" s="239">
        <f t="shared" si="7"/>
        <v>0</v>
      </c>
      <c r="GL12" s="36" t="str">
        <f t="shared" si="8"/>
        <v>Колевит вит Д3</v>
      </c>
      <c r="GM12" s="230"/>
      <c r="GN12" s="22"/>
      <c r="GO12" s="22"/>
    </row>
    <row r="13" spans="1:202" x14ac:dyDescent="0.3">
      <c r="A13" s="127">
        <f>A11+1</f>
        <v>3</v>
      </c>
      <c r="B13" s="278" t="s">
        <v>30</v>
      </c>
      <c r="C13" s="565">
        <f>'3_квартал'!G13</f>
        <v>876.86</v>
      </c>
      <c r="D13" s="588">
        <f>509.73+570.47</f>
        <v>1080.2</v>
      </c>
      <c r="E13" s="191">
        <f>397.79+123.34</f>
        <v>521.13</v>
      </c>
      <c r="F13" s="887">
        <f>31.74+876.66+187.87</f>
        <v>1096.27</v>
      </c>
      <c r="G13" s="299">
        <f t="shared" si="9"/>
        <v>899.2</v>
      </c>
      <c r="H13" s="93">
        <f>31.74+876.66</f>
        <v>908.4</v>
      </c>
      <c r="I13" s="93">
        <v>1312.13</v>
      </c>
      <c r="J13" s="94"/>
      <c r="K13" s="319">
        <f>9.475*4</f>
        <v>37.9</v>
      </c>
      <c r="L13" s="319">
        <f>2.419*5</f>
        <v>12.095000000000001</v>
      </c>
      <c r="M13" s="319">
        <f>2.016*2</f>
        <v>4.032</v>
      </c>
      <c r="N13" s="319">
        <f>3.024*1.5</f>
        <v>4.5359999999999996</v>
      </c>
      <c r="O13" s="319">
        <f>8.971*3</f>
        <v>26.913</v>
      </c>
      <c r="P13" s="319">
        <f>2.419*2</f>
        <v>4.8380000000000001</v>
      </c>
      <c r="Q13" s="319">
        <f>8.971*2.1</f>
        <v>18.839100000000002</v>
      </c>
      <c r="R13" s="319">
        <f>8.971*3</f>
        <v>26.913</v>
      </c>
      <c r="S13" s="319">
        <f>3.145</f>
        <v>3.145</v>
      </c>
      <c r="T13" s="319">
        <f>8.971*1.5</f>
        <v>13.4565</v>
      </c>
      <c r="U13" s="319">
        <f>19.152*0.25</f>
        <v>4.7880000000000003</v>
      </c>
      <c r="V13" s="319">
        <f>19.152*4.5</f>
        <v>86.183999999999997</v>
      </c>
      <c r="W13" s="319">
        <f>5.04*2*3</f>
        <v>30.240000000000002</v>
      </c>
      <c r="X13" s="319">
        <v>5.6849999999999996</v>
      </c>
      <c r="Y13" s="319">
        <v>1.452</v>
      </c>
      <c r="Z13" s="319">
        <f>9.475*3</f>
        <v>28.424999999999997</v>
      </c>
      <c r="AA13" s="319">
        <f>241.92/20*1.7</f>
        <v>20.563199999999998</v>
      </c>
      <c r="AB13" s="319">
        <f>0.403*0.5</f>
        <v>0.20150000000000001</v>
      </c>
      <c r="AC13" s="319">
        <f>241.92/20*9</f>
        <v>108.864</v>
      </c>
      <c r="AD13" s="319">
        <f>241.92/20*9.3</f>
        <v>112.4928</v>
      </c>
      <c r="AE13" s="319">
        <f>0.202</f>
        <v>0.20200000000000001</v>
      </c>
      <c r="AF13" s="319">
        <f>8.971*3</f>
        <v>26.913</v>
      </c>
      <c r="AG13" s="319">
        <f>0.514/0.3*0.4</f>
        <v>0.68533333333333335</v>
      </c>
      <c r="AH13" s="319">
        <f>26.914</f>
        <v>26.914000000000001</v>
      </c>
      <c r="AI13" s="319">
        <v>8.0640000000000001</v>
      </c>
      <c r="AJ13" s="319">
        <f>2.419*1.5</f>
        <v>3.6284999999999998</v>
      </c>
      <c r="AK13" s="319">
        <v>9.5760000000000005</v>
      </c>
      <c r="AL13" s="319">
        <v>6.048</v>
      </c>
      <c r="AM13" s="319">
        <v>0.121</v>
      </c>
      <c r="AN13" s="319">
        <v>4.3550000000000004</v>
      </c>
      <c r="AO13" s="319">
        <v>49.341999999999999</v>
      </c>
      <c r="AP13" s="319">
        <v>2.298</v>
      </c>
      <c r="AQ13" s="319">
        <f>8.971*1.5</f>
        <v>13.4565</v>
      </c>
      <c r="AR13" s="319">
        <f>8.971*6</f>
        <v>53.826000000000001</v>
      </c>
      <c r="AS13" s="319">
        <f>8.971*3</f>
        <v>26.913</v>
      </c>
      <c r="AT13" s="319">
        <f>110.88/10*6</f>
        <v>66.527999999999992</v>
      </c>
      <c r="AU13" s="319">
        <f>19.152*2</f>
        <v>38.304000000000002</v>
      </c>
      <c r="AV13" s="319">
        <f>8.971*2.4</f>
        <v>21.5304</v>
      </c>
      <c r="AW13" s="319">
        <v>16.033000000000001</v>
      </c>
      <c r="AX13" s="319">
        <f>(23.64+21.216)/5*3</f>
        <v>26.913599999999999</v>
      </c>
      <c r="AY13" s="319">
        <f>(23.64+21.216)/5*2</f>
        <v>17.942399999999999</v>
      </c>
      <c r="AZ13" s="319">
        <v>5.04</v>
      </c>
      <c r="BA13" s="319">
        <v>6.35</v>
      </c>
      <c r="BB13" s="319">
        <v>4.516</v>
      </c>
      <c r="BC13" s="319">
        <f>2.419*4</f>
        <v>9.6760000000000002</v>
      </c>
      <c r="BD13" s="319">
        <f>9.475*4</f>
        <v>37.9</v>
      </c>
      <c r="BE13" s="319">
        <f>19.152*2</f>
        <v>38.304000000000002</v>
      </c>
      <c r="BF13" s="319">
        <f>2.419*3</f>
        <v>7.2569999999999997</v>
      </c>
      <c r="BG13" s="158">
        <f t="shared" si="0"/>
        <v>1080.1998333333336</v>
      </c>
      <c r="BH13" s="94"/>
      <c r="BI13" s="833">
        <v>1.028</v>
      </c>
      <c r="BJ13" s="319">
        <v>7.0460000000000003</v>
      </c>
      <c r="BK13" s="319">
        <v>0.40300000000000002</v>
      </c>
      <c r="BL13" s="319">
        <f>9.475*4</f>
        <v>37.9</v>
      </c>
      <c r="BM13" s="319">
        <f>2.923*5</f>
        <v>14.615</v>
      </c>
      <c r="BN13" s="319">
        <f>3.024*5</f>
        <v>15.120000000000001</v>
      </c>
      <c r="BO13" s="319">
        <f>9.475*1.5</f>
        <v>14.212499999999999</v>
      </c>
      <c r="BP13" s="319">
        <v>5.242</v>
      </c>
      <c r="BQ13" s="319">
        <f>0.242/0.6</f>
        <v>0.40333333333333332</v>
      </c>
      <c r="BR13" s="319">
        <v>2.419</v>
      </c>
      <c r="BS13" s="319">
        <v>26.914000000000001</v>
      </c>
      <c r="BT13" s="319">
        <f>38.304/2*0.8</f>
        <v>15.321600000000002</v>
      </c>
      <c r="BU13" s="319">
        <f>9.475*1.5</f>
        <v>14.212499999999999</v>
      </c>
      <c r="BV13" s="319">
        <f>26.914/3*2</f>
        <v>17.942666666666668</v>
      </c>
      <c r="BW13" s="319">
        <f>5.04/0.5</f>
        <v>10.08</v>
      </c>
      <c r="BX13" s="319">
        <f>19.152*1.8</f>
        <v>34.473600000000005</v>
      </c>
      <c r="BY13" s="319">
        <v>3.024</v>
      </c>
      <c r="BZ13" s="319">
        <v>0.40300000000000002</v>
      </c>
      <c r="CA13" s="319">
        <v>19.765000000000001</v>
      </c>
      <c r="CB13" s="319">
        <f>2.923*5</f>
        <v>14.615</v>
      </c>
      <c r="CC13" s="319">
        <f>21.531/2.4*1.5</f>
        <v>13.456875</v>
      </c>
      <c r="CD13" s="319">
        <v>5.6849999999999996</v>
      </c>
      <c r="CE13" s="319">
        <f>2.923*5</f>
        <v>14.615</v>
      </c>
      <c r="CF13" s="319">
        <f>8.064*0.5</f>
        <v>4.032</v>
      </c>
      <c r="CG13" s="319">
        <f>26.386/3*2.4</f>
        <v>21.108799999999999</v>
      </c>
      <c r="CH13" s="319">
        <f>9.475</f>
        <v>9.4749999999999996</v>
      </c>
      <c r="CI13" s="319">
        <v>14.353999999999999</v>
      </c>
      <c r="CJ13" s="319">
        <v>44.351999999999997</v>
      </c>
      <c r="CK13" s="319">
        <f>8.795*5.5</f>
        <v>48.372500000000002</v>
      </c>
      <c r="CL13" s="319">
        <f>3.558/1.5*2.5</f>
        <v>5.93</v>
      </c>
      <c r="CM13" s="319">
        <v>12.096</v>
      </c>
      <c r="CN13" s="319">
        <f>10.08*2.5</f>
        <v>25.2</v>
      </c>
      <c r="CO13" s="319"/>
      <c r="CP13" s="319">
        <v>19.152000000000001</v>
      </c>
      <c r="CQ13" s="365">
        <f>18.776*1.5</f>
        <v>28.164000000000001</v>
      </c>
      <c r="CR13" s="275">
        <f t="shared" si="1"/>
        <v>521.133375</v>
      </c>
      <c r="CS13" s="57"/>
      <c r="CT13" s="319">
        <f>28.659/10*8</f>
        <v>22.927199999999999</v>
      </c>
      <c r="CU13" s="319">
        <f>28.659/10*2</f>
        <v>5.7317999999999998</v>
      </c>
      <c r="CV13" s="319">
        <v>0.67200000000000004</v>
      </c>
      <c r="CW13" s="319">
        <v>5.9290000000000003</v>
      </c>
      <c r="CX13" s="319">
        <f>9.289*5</f>
        <v>46.445</v>
      </c>
      <c r="CY13" s="319">
        <f>18.776*2</f>
        <v>37.552</v>
      </c>
      <c r="CZ13" s="319">
        <f>2.372*3.8</f>
        <v>9.0135999999999985</v>
      </c>
      <c r="DA13" s="319">
        <f>(146.753+31.74)/15*3.7</f>
        <v>44.028273333333331</v>
      </c>
      <c r="DB13" s="319">
        <f>(146.753+31.74)/15*5.5</f>
        <v>65.447433333333322</v>
      </c>
      <c r="DC13" s="319">
        <v>26.385999999999999</v>
      </c>
      <c r="DD13" s="319">
        <v>10.278</v>
      </c>
      <c r="DE13" s="319">
        <f>0.791*0.5</f>
        <v>0.39550000000000002</v>
      </c>
      <c r="DF13" s="319">
        <v>2.2530000000000001</v>
      </c>
      <c r="DG13" s="319">
        <f>9.289*4</f>
        <v>37.155999999999999</v>
      </c>
      <c r="DH13" s="319">
        <f>18.776</f>
        <v>18.776</v>
      </c>
      <c r="DI13" s="319">
        <f>2.372*7</f>
        <v>16.603999999999999</v>
      </c>
      <c r="DJ13" s="319">
        <f>9.013*0.6</f>
        <v>5.4077999999999999</v>
      </c>
      <c r="DK13" s="319">
        <v>2.7669999999999999</v>
      </c>
      <c r="DL13" s="319">
        <f>10.278*0.3</f>
        <v>3.0834000000000001</v>
      </c>
      <c r="DM13" s="319">
        <v>15.718999999999999</v>
      </c>
      <c r="DN13" s="319">
        <v>0.19800000000000001</v>
      </c>
      <c r="DO13" s="319">
        <v>9.2889999999999997</v>
      </c>
      <c r="DP13" s="319">
        <f>52.772/6*3</f>
        <v>26.386000000000003</v>
      </c>
      <c r="DQ13" s="319">
        <f>(146.753+31.74)/15*5.8</f>
        <v>69.017293333333328</v>
      </c>
      <c r="DR13" s="319">
        <f>18.776*3.3</f>
        <v>61.960799999999999</v>
      </c>
      <c r="DS13" s="725">
        <v>0.41499999999999998</v>
      </c>
      <c r="DT13" s="724">
        <f>2.135/0.9*0.6</f>
        <v>1.4233333333333331</v>
      </c>
      <c r="DU13" s="271">
        <f>2.967*8</f>
        <v>23.736000000000001</v>
      </c>
      <c r="DV13" s="177">
        <f>11.367*2</f>
        <v>22.734000000000002</v>
      </c>
      <c r="DW13" s="177">
        <f>1.976*4</f>
        <v>7.9039999999999999</v>
      </c>
      <c r="DX13" s="319">
        <f>3.953/2*3</f>
        <v>5.9295</v>
      </c>
      <c r="DY13" s="319">
        <f>9.289*5</f>
        <v>46.445</v>
      </c>
      <c r="DZ13" s="319">
        <f>9.882*2.6</f>
        <v>25.693200000000001</v>
      </c>
      <c r="EA13" s="319">
        <f>8.795*4</f>
        <v>35.18</v>
      </c>
      <c r="EB13" s="319">
        <v>18.776</v>
      </c>
      <c r="EC13" s="319">
        <v>13.193</v>
      </c>
      <c r="ED13" s="319">
        <v>8.4489999999999998</v>
      </c>
      <c r="EE13" s="319">
        <f>8.795*2.2</f>
        <v>19.349</v>
      </c>
      <c r="EF13" s="319">
        <f>18.776*0.8</f>
        <v>15.020800000000001</v>
      </c>
      <c r="EG13" s="319">
        <f>8.795*4</f>
        <v>35.18</v>
      </c>
      <c r="EH13" s="319">
        <f>2.372*4</f>
        <v>9.4879999999999995</v>
      </c>
      <c r="EI13" s="319">
        <f>9.289*2</f>
        <v>18.577999999999999</v>
      </c>
      <c r="EJ13" s="319">
        <v>14.824</v>
      </c>
      <c r="EK13" s="245">
        <f>18.776</f>
        <v>18.776</v>
      </c>
      <c r="EL13" s="466">
        <f>2.372*1.3</f>
        <v>3.0836000000000001</v>
      </c>
      <c r="EM13" s="319">
        <f>2.372*4.2</f>
        <v>9.9624000000000006</v>
      </c>
      <c r="EN13" s="319">
        <f>2.372*2</f>
        <v>4.7439999999999998</v>
      </c>
      <c r="EO13" s="319">
        <f>0.237</f>
        <v>0.23699999999999999</v>
      </c>
      <c r="EP13" s="319">
        <v>7.9000000000000001E-2</v>
      </c>
      <c r="EQ13" s="319">
        <v>19.152000000000001</v>
      </c>
      <c r="ER13" s="319">
        <v>2.3719999999999999</v>
      </c>
      <c r="ES13" s="319">
        <v>26.914000000000001</v>
      </c>
      <c r="ET13" s="319">
        <v>19.152000000000001</v>
      </c>
      <c r="EU13" s="319">
        <f>21.531/2.4</f>
        <v>8.9712499999999995</v>
      </c>
      <c r="EV13" s="319">
        <f>9.072*2</f>
        <v>18.143999999999998</v>
      </c>
      <c r="EW13" s="319">
        <f>3.629/1.5</f>
        <v>2.4193333333333333</v>
      </c>
      <c r="EX13" s="319">
        <f>21.531/2.4*2</f>
        <v>17.942499999999999</v>
      </c>
      <c r="EY13" s="319">
        <v>9.4749999999999996</v>
      </c>
      <c r="EZ13" s="319">
        <f>19.152*1.5</f>
        <v>28.728000000000002</v>
      </c>
      <c r="FA13" s="319">
        <f>18.053+3.41</f>
        <v>21.463000000000001</v>
      </c>
      <c r="FB13" s="319">
        <v>4.1130000000000004</v>
      </c>
      <c r="FC13" s="319">
        <f>11.37/1.2*0.6</f>
        <v>5.6849999999999996</v>
      </c>
      <c r="FD13" s="319">
        <f>2.177/0.9*0.6</f>
        <v>1.4513333333333334</v>
      </c>
      <c r="FE13" s="319">
        <v>4.3550000000000004</v>
      </c>
      <c r="FF13" s="319">
        <f>0.177*2</f>
        <v>0.35399999999999998</v>
      </c>
      <c r="FG13" s="319">
        <f>0.355*2</f>
        <v>0.71</v>
      </c>
      <c r="FH13" s="319">
        <f>1.512*1.5</f>
        <v>2.2679999999999998</v>
      </c>
      <c r="FI13" s="158">
        <f t="shared" si="2"/>
        <v>1096.2923500000002</v>
      </c>
      <c r="FJ13" s="95"/>
      <c r="FK13" s="374"/>
      <c r="FL13" s="319"/>
      <c r="FM13" s="319"/>
      <c r="FN13" s="319"/>
      <c r="FO13" s="319"/>
      <c r="FP13" s="319"/>
      <c r="FQ13" s="319"/>
      <c r="FR13" s="319"/>
      <c r="FS13" s="319"/>
      <c r="FT13" s="319"/>
      <c r="FU13" s="319"/>
      <c r="FV13" s="319"/>
      <c r="FW13" s="319"/>
      <c r="FX13" s="319"/>
      <c r="FY13" s="28"/>
      <c r="FZ13" s="270"/>
      <c r="GA13" s="271"/>
      <c r="GB13" s="177"/>
      <c r="GC13" s="177"/>
      <c r="GD13" s="177"/>
      <c r="GE13" s="802"/>
      <c r="GF13" s="435"/>
      <c r="GG13" s="327">
        <f t="shared" si="3"/>
        <v>0</v>
      </c>
      <c r="GH13" s="500">
        <f t="shared" si="4"/>
        <v>1312.13</v>
      </c>
      <c r="GI13" s="605">
        <f t="shared" si="5"/>
        <v>1312.13</v>
      </c>
      <c r="GJ13" s="627">
        <f t="shared" si="6"/>
        <v>876.86</v>
      </c>
      <c r="GK13" s="239">
        <f t="shared" si="7"/>
        <v>521.13</v>
      </c>
      <c r="GL13" s="36" t="str">
        <f t="shared" si="8"/>
        <v>вит Е, токомикс 500</v>
      </c>
      <c r="GM13" s="230"/>
      <c r="GN13" s="22"/>
      <c r="GO13" s="22"/>
    </row>
    <row r="14" spans="1:202" x14ac:dyDescent="0.3">
      <c r="A14" s="127">
        <f t="shared" ref="A14:A22" si="10">A13+1</f>
        <v>4</v>
      </c>
      <c r="B14" s="279" t="s">
        <v>25</v>
      </c>
      <c r="C14" s="565">
        <f>'3_квартал'!G14</f>
        <v>0</v>
      </c>
      <c r="D14" s="263">
        <v>0</v>
      </c>
      <c r="E14" s="241">
        <v>0</v>
      </c>
      <c r="F14" s="888">
        <v>0</v>
      </c>
      <c r="G14" s="299">
        <f t="shared" si="9"/>
        <v>0</v>
      </c>
      <c r="H14" s="93">
        <v>0</v>
      </c>
      <c r="I14" s="93">
        <v>0</v>
      </c>
      <c r="J14" s="112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/>
      <c r="BE14" s="319"/>
      <c r="BF14" s="319"/>
      <c r="BG14" s="158">
        <f t="shared" si="0"/>
        <v>0</v>
      </c>
      <c r="BH14" s="112"/>
      <c r="BI14" s="833"/>
      <c r="BJ14" s="319"/>
      <c r="BK14" s="319"/>
      <c r="BL14" s="319"/>
      <c r="BM14" s="319"/>
      <c r="BN14" s="319"/>
      <c r="BO14" s="319"/>
      <c r="BP14" s="319"/>
      <c r="BQ14" s="319"/>
      <c r="BR14" s="319"/>
      <c r="BS14" s="319"/>
      <c r="BT14" s="319"/>
      <c r="BU14" s="319"/>
      <c r="BV14" s="319"/>
      <c r="BW14" s="319"/>
      <c r="BX14" s="319"/>
      <c r="BY14" s="319"/>
      <c r="BZ14" s="319"/>
      <c r="CA14" s="319"/>
      <c r="CB14" s="319"/>
      <c r="CC14" s="319"/>
      <c r="CD14" s="319"/>
      <c r="CE14" s="319"/>
      <c r="CF14" s="319"/>
      <c r="CG14" s="319"/>
      <c r="CH14" s="319"/>
      <c r="CI14" s="319"/>
      <c r="CJ14" s="319"/>
      <c r="CK14" s="319"/>
      <c r="CL14" s="319"/>
      <c r="CM14" s="319"/>
      <c r="CN14" s="319"/>
      <c r="CO14" s="319"/>
      <c r="CP14" s="319"/>
      <c r="CQ14" s="365"/>
      <c r="CR14" s="419">
        <f t="shared" si="1"/>
        <v>0</v>
      </c>
      <c r="CS14" s="57"/>
      <c r="CT14" s="319"/>
      <c r="CU14" s="319"/>
      <c r="CV14" s="319"/>
      <c r="CW14" s="319"/>
      <c r="CX14" s="319"/>
      <c r="CY14" s="319"/>
      <c r="CZ14" s="319"/>
      <c r="DA14" s="319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319"/>
      <c r="DT14" s="245"/>
      <c r="DU14" s="271"/>
      <c r="DV14" s="177"/>
      <c r="DW14" s="177"/>
      <c r="DX14" s="319"/>
      <c r="DY14" s="319"/>
      <c r="DZ14" s="319"/>
      <c r="EA14" s="319"/>
      <c r="EB14" s="319"/>
      <c r="EC14" s="319"/>
      <c r="ED14" s="319"/>
      <c r="EE14" s="319"/>
      <c r="EF14" s="319"/>
      <c r="EG14" s="319"/>
      <c r="EH14" s="319"/>
      <c r="EI14" s="319"/>
      <c r="EJ14" s="319"/>
      <c r="EK14" s="245"/>
      <c r="EL14" s="466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158">
        <f t="shared" si="2"/>
        <v>0</v>
      </c>
      <c r="FJ14" s="113"/>
      <c r="FK14" s="374"/>
      <c r="FL14" s="319"/>
      <c r="FM14" s="319"/>
      <c r="FN14" s="319"/>
      <c r="FO14" s="319"/>
      <c r="FP14" s="319"/>
      <c r="FQ14" s="319"/>
      <c r="FR14" s="319"/>
      <c r="FS14" s="319"/>
      <c r="FT14" s="319"/>
      <c r="FU14" s="319"/>
      <c r="FV14" s="319"/>
      <c r="FW14" s="319"/>
      <c r="FX14" s="319"/>
      <c r="FY14" s="28"/>
      <c r="FZ14" s="270"/>
      <c r="GA14" s="271"/>
      <c r="GB14" s="177"/>
      <c r="GC14" s="177"/>
      <c r="GD14" s="177"/>
      <c r="GE14" s="802"/>
      <c r="GF14" s="435"/>
      <c r="GG14" s="584">
        <f t="shared" si="3"/>
        <v>0</v>
      </c>
      <c r="GH14" s="445">
        <f t="shared" si="4"/>
        <v>0</v>
      </c>
      <c r="GI14" s="605">
        <f t="shared" si="5"/>
        <v>0</v>
      </c>
      <c r="GJ14" s="627">
        <f t="shared" si="6"/>
        <v>0</v>
      </c>
      <c r="GK14" s="239">
        <f t="shared" si="7"/>
        <v>0</v>
      </c>
      <c r="GL14" s="36" t="str">
        <f t="shared" si="8"/>
        <v>вит В1 (тиамин)</v>
      </c>
      <c r="GM14" s="38"/>
      <c r="GN14" s="14"/>
      <c r="GO14" s="14"/>
    </row>
    <row r="15" spans="1:202" x14ac:dyDescent="0.3">
      <c r="A15" s="127">
        <f t="shared" si="10"/>
        <v>5</v>
      </c>
      <c r="B15" s="278" t="s">
        <v>3</v>
      </c>
      <c r="C15" s="565">
        <f>'3_квартал'!G15</f>
        <v>2.0169999999999999</v>
      </c>
      <c r="D15" s="263">
        <v>3.39</v>
      </c>
      <c r="E15" s="241">
        <v>1.62</v>
      </c>
      <c r="F15" s="888">
        <v>0.71</v>
      </c>
      <c r="G15" s="299">
        <f t="shared" si="9"/>
        <v>1.907</v>
      </c>
      <c r="H15" s="93">
        <v>2</v>
      </c>
      <c r="I15" s="93">
        <v>1.29</v>
      </c>
      <c r="J15" s="94"/>
      <c r="K15" s="319"/>
      <c r="L15" s="319"/>
      <c r="M15" s="319">
        <f>0.05*2</f>
        <v>0.1</v>
      </c>
      <c r="N15" s="319"/>
      <c r="O15" s="319"/>
      <c r="P15" s="319"/>
      <c r="Q15" s="319"/>
      <c r="R15" s="319"/>
      <c r="S15" s="319"/>
      <c r="T15" s="319">
        <f>0.05*1.5</f>
        <v>7.5000000000000011E-2</v>
      </c>
      <c r="U15" s="319"/>
      <c r="V15" s="319">
        <f>0.05*4.5</f>
        <v>0.22500000000000001</v>
      </c>
      <c r="W15" s="319">
        <f>0.05*3</f>
        <v>0.15000000000000002</v>
      </c>
      <c r="X15" s="319">
        <v>0.03</v>
      </c>
      <c r="Y15" s="319">
        <v>0.03</v>
      </c>
      <c r="Z15" s="319">
        <f>0.05*3</f>
        <v>0.15000000000000002</v>
      </c>
      <c r="AA15" s="319">
        <f>1.008/20*1.7</f>
        <v>8.5679999999999992E-2</v>
      </c>
      <c r="AB15" s="319">
        <f>0.05*0.5</f>
        <v>2.5000000000000001E-2</v>
      </c>
      <c r="AC15" s="319">
        <f>1.008/20*9</f>
        <v>0.4536</v>
      </c>
      <c r="AD15" s="319">
        <f>1.008/20*9.3</f>
        <v>0.46872000000000003</v>
      </c>
      <c r="AE15" s="319"/>
      <c r="AF15" s="319"/>
      <c r="AG15" s="319">
        <f>0.037/0.3*0.4</f>
        <v>4.933333333333334E-2</v>
      </c>
      <c r="AH15" s="319">
        <f>0.151</f>
        <v>0.151</v>
      </c>
      <c r="AI15" s="319"/>
      <c r="AJ15" s="319"/>
      <c r="AK15" s="319"/>
      <c r="AL15" s="319">
        <v>0.151</v>
      </c>
      <c r="AM15" s="319">
        <v>0.03</v>
      </c>
      <c r="AN15" s="319">
        <v>0.06</v>
      </c>
      <c r="AO15" s="319"/>
      <c r="AP15" s="319"/>
      <c r="AQ15" s="319">
        <f>0.05*1.5</f>
        <v>7.5000000000000011E-2</v>
      </c>
      <c r="AR15" s="319">
        <f>0.05*6</f>
        <v>0.30000000000000004</v>
      </c>
      <c r="AS15" s="319">
        <f>0.05*3</f>
        <v>0.15000000000000002</v>
      </c>
      <c r="AT15" s="319"/>
      <c r="AU15" s="319">
        <f>0.05*2</f>
        <v>0.1</v>
      </c>
      <c r="AV15" s="319">
        <f>0.05*2.4</f>
        <v>0.12</v>
      </c>
      <c r="AW15" s="319">
        <v>3.6999999999999998E-2</v>
      </c>
      <c r="AX15" s="319">
        <f>0.252/5*3</f>
        <v>0.1512</v>
      </c>
      <c r="AY15" s="319">
        <f>0.252/5*2</f>
        <v>0.1008</v>
      </c>
      <c r="AZ15" s="319"/>
      <c r="BA15" s="319"/>
      <c r="BB15" s="319"/>
      <c r="BC15" s="319"/>
      <c r="BD15" s="319"/>
      <c r="BE15" s="319">
        <f>0.05*2</f>
        <v>0.1</v>
      </c>
      <c r="BF15" s="319"/>
      <c r="BG15" s="158">
        <f t="shared" si="0"/>
        <v>3.3683333333333341</v>
      </c>
      <c r="BH15" s="94"/>
      <c r="BI15" s="833">
        <v>7.4999999999999997E-2</v>
      </c>
      <c r="BJ15" s="319"/>
      <c r="BK15" s="319"/>
      <c r="BL15" s="319"/>
      <c r="BM15" s="319">
        <f>0.05*5</f>
        <v>0.25</v>
      </c>
      <c r="BN15" s="319"/>
      <c r="BO15" s="319">
        <f>0.05*1.5</f>
        <v>7.5000000000000011E-2</v>
      </c>
      <c r="BP15" s="319"/>
      <c r="BQ15" s="319">
        <f>0.03/0.6</f>
        <v>0.05</v>
      </c>
      <c r="BR15" s="319">
        <v>0.05</v>
      </c>
      <c r="BS15" s="319"/>
      <c r="BT15" s="319">
        <f>0.101/2*0.8</f>
        <v>4.0400000000000005E-2</v>
      </c>
      <c r="BU15" s="319">
        <f>0.05*1.5</f>
        <v>7.5000000000000011E-2</v>
      </c>
      <c r="BV15" s="319"/>
      <c r="BW15" s="319"/>
      <c r="BX15" s="319">
        <f>0.05*1.8</f>
        <v>9.0000000000000011E-2</v>
      </c>
      <c r="BY15" s="319">
        <v>0.05</v>
      </c>
      <c r="BZ15" s="319"/>
      <c r="CA15" s="319"/>
      <c r="CB15" s="319">
        <f>0.05*5</f>
        <v>0.25</v>
      </c>
      <c r="CC15" s="319">
        <f>0.121/2.4*1.5</f>
        <v>7.5624999999999998E-2</v>
      </c>
      <c r="CD15" s="319">
        <v>0.03</v>
      </c>
      <c r="CE15" s="319">
        <f>0.05*5</f>
        <v>0.25</v>
      </c>
      <c r="CF15" s="319"/>
      <c r="CG15" s="319">
        <f>0.151/3*2.4</f>
        <v>0.12079999999999999</v>
      </c>
      <c r="CH15" s="319">
        <f>0.05</f>
        <v>0.05</v>
      </c>
      <c r="CI15" s="319">
        <v>8.1000000000000003E-2</v>
      </c>
      <c r="CJ15" s="319"/>
      <c r="CK15" s="319"/>
      <c r="CL15" s="319"/>
      <c r="CM15" s="319"/>
      <c r="CN15" s="319"/>
      <c r="CO15" s="319"/>
      <c r="CP15" s="319"/>
      <c r="CQ15" s="365"/>
      <c r="CR15" s="419">
        <f t="shared" si="1"/>
        <v>1.612825</v>
      </c>
      <c r="CS15" s="57"/>
      <c r="CT15" s="319">
        <f>0.504/10*8</f>
        <v>0.4032</v>
      </c>
      <c r="CU15" s="319">
        <f>0.504/10*2</f>
        <v>0.1008</v>
      </c>
      <c r="CV15" s="319">
        <v>0.05</v>
      </c>
      <c r="CW15" s="319"/>
      <c r="CX15" s="319"/>
      <c r="CY15" s="319"/>
      <c r="CZ15" s="319"/>
      <c r="DA15" s="319"/>
      <c r="DB15" s="319"/>
      <c r="DC15" s="319"/>
      <c r="DD15" s="319"/>
      <c r="DE15" s="319"/>
      <c r="DF15" s="319"/>
      <c r="DG15" s="319"/>
      <c r="DH15" s="319"/>
      <c r="DI15" s="319"/>
      <c r="DJ15" s="319"/>
      <c r="DK15" s="319"/>
      <c r="DL15" s="319"/>
      <c r="DM15" s="319">
        <v>3.6999999999999998E-2</v>
      </c>
      <c r="DN15" s="319"/>
      <c r="DO15" s="319"/>
      <c r="DP15" s="319"/>
      <c r="DQ15" s="319"/>
      <c r="DR15" s="319"/>
      <c r="DS15" s="319">
        <v>3.6999999999999998E-2</v>
      </c>
      <c r="DT15" s="245"/>
      <c r="DU15" s="271"/>
      <c r="DV15" s="177"/>
      <c r="DW15" s="177"/>
      <c r="DX15" s="319"/>
      <c r="DY15" s="319"/>
      <c r="DZ15" s="319"/>
      <c r="EA15" s="319"/>
      <c r="EB15" s="319"/>
      <c r="EC15" s="319">
        <v>7.5999999999999998E-2</v>
      </c>
      <c r="ED15" s="319"/>
      <c r="EE15" s="319"/>
      <c r="EF15" s="319"/>
      <c r="EG15" s="319"/>
      <c r="EH15" s="319"/>
      <c r="EI15" s="319"/>
      <c r="EJ15" s="319"/>
      <c r="EK15" s="245"/>
      <c r="EL15" s="466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/>
      <c r="EX15" s="319"/>
      <c r="EY15" s="319"/>
      <c r="EZ15" s="319"/>
      <c r="FA15" s="319"/>
      <c r="FB15" s="319"/>
      <c r="FC15" s="319"/>
      <c r="FD15" s="319"/>
      <c r="FE15" s="319"/>
      <c r="FF15" s="319"/>
      <c r="FG15" s="319"/>
      <c r="FH15" s="319"/>
      <c r="FI15" s="158">
        <f t="shared" si="2"/>
        <v>0.70400000000000007</v>
      </c>
      <c r="FJ15" s="95"/>
      <c r="FK15" s="374"/>
      <c r="FL15" s="319"/>
      <c r="FM15" s="319"/>
      <c r="FN15" s="319"/>
      <c r="FO15" s="319"/>
      <c r="FP15" s="319"/>
      <c r="FQ15" s="319"/>
      <c r="FR15" s="319"/>
      <c r="FS15" s="319"/>
      <c r="FT15" s="319"/>
      <c r="FU15" s="319"/>
      <c r="FV15" s="319"/>
      <c r="FW15" s="319"/>
      <c r="FX15" s="319"/>
      <c r="FY15" s="28"/>
      <c r="FZ15" s="270"/>
      <c r="GA15" s="271"/>
      <c r="GB15" s="177"/>
      <c r="GC15" s="177"/>
      <c r="GD15" s="177"/>
      <c r="GE15" s="802"/>
      <c r="GF15" s="435"/>
      <c r="GG15" s="327">
        <f t="shared" si="3"/>
        <v>0</v>
      </c>
      <c r="GH15" s="557">
        <f t="shared" si="4"/>
        <v>1.29</v>
      </c>
      <c r="GI15" s="605">
        <f t="shared" si="5"/>
        <v>1.29</v>
      </c>
      <c r="GJ15" s="627">
        <f t="shared" si="6"/>
        <v>2.0169999999999999</v>
      </c>
      <c r="GK15" s="239">
        <f t="shared" si="7"/>
        <v>1.62</v>
      </c>
      <c r="GL15" s="36" t="str">
        <f t="shared" si="8"/>
        <v>вит В2</v>
      </c>
      <c r="GM15" s="82"/>
      <c r="GN15" s="560">
        <v>46133</v>
      </c>
      <c r="GO15" s="22"/>
    </row>
    <row r="16" spans="1:202" x14ac:dyDescent="0.3">
      <c r="A16" s="127">
        <f t="shared" si="10"/>
        <v>6</v>
      </c>
      <c r="B16" s="278" t="s">
        <v>17</v>
      </c>
      <c r="C16" s="565">
        <f>'3_квартал'!G16</f>
        <v>0.56699999999999995</v>
      </c>
      <c r="D16" s="263">
        <v>0.19</v>
      </c>
      <c r="E16" s="241">
        <v>0.06</v>
      </c>
      <c r="F16" s="888">
        <v>0.25</v>
      </c>
      <c r="G16" s="299">
        <f t="shared" si="9"/>
        <v>0.16700000000000001</v>
      </c>
      <c r="H16" s="93">
        <v>14.62</v>
      </c>
      <c r="I16" s="93">
        <v>14.37</v>
      </c>
      <c r="J16" s="94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>
        <f>0.031/0.3*0.4</f>
        <v>4.1333333333333333E-2</v>
      </c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>
        <v>0.154</v>
      </c>
      <c r="AX16" s="319"/>
      <c r="AY16" s="319"/>
      <c r="AZ16" s="319"/>
      <c r="BA16" s="319"/>
      <c r="BB16" s="319"/>
      <c r="BC16" s="319"/>
      <c r="BD16" s="319"/>
      <c r="BE16" s="319"/>
      <c r="BF16" s="319"/>
      <c r="BG16" s="158">
        <f t="shared" si="0"/>
        <v>0.19533333333333333</v>
      </c>
      <c r="BH16" s="94"/>
      <c r="BI16" s="833">
        <v>6.2E-2</v>
      </c>
      <c r="BJ16" s="319"/>
      <c r="BK16" s="319"/>
      <c r="BL16" s="319"/>
      <c r="BM16" s="319"/>
      <c r="BN16" s="319"/>
      <c r="BO16" s="319"/>
      <c r="BP16" s="319"/>
      <c r="BQ16" s="319"/>
      <c r="BR16" s="319"/>
      <c r="BS16" s="319"/>
      <c r="BT16" s="319"/>
      <c r="BU16" s="319"/>
      <c r="BV16" s="319"/>
      <c r="BW16" s="319"/>
      <c r="BX16" s="319"/>
      <c r="BY16" s="319"/>
      <c r="BZ16" s="319"/>
      <c r="CA16" s="319"/>
      <c r="CB16" s="319"/>
      <c r="CC16" s="319"/>
      <c r="CD16" s="319"/>
      <c r="CE16" s="319"/>
      <c r="CF16" s="319"/>
      <c r="CG16" s="319"/>
      <c r="CH16" s="319"/>
      <c r="CI16" s="319"/>
      <c r="CJ16" s="319"/>
      <c r="CK16" s="319"/>
      <c r="CL16" s="319"/>
      <c r="CM16" s="319"/>
      <c r="CN16" s="319"/>
      <c r="CO16" s="319"/>
      <c r="CP16" s="319"/>
      <c r="CQ16" s="365"/>
      <c r="CR16" s="419">
        <f t="shared" si="1"/>
        <v>6.2E-2</v>
      </c>
      <c r="CS16" s="57"/>
      <c r="CT16" s="319"/>
      <c r="CU16" s="319"/>
      <c r="CV16" s="319">
        <v>4.1000000000000002E-2</v>
      </c>
      <c r="CW16" s="319"/>
      <c r="CX16" s="319"/>
      <c r="CY16" s="319"/>
      <c r="CZ16" s="319"/>
      <c r="DA16" s="319"/>
      <c r="DB16" s="319"/>
      <c r="DC16" s="319"/>
      <c r="DD16" s="319"/>
      <c r="DE16" s="319"/>
      <c r="DF16" s="319"/>
      <c r="DG16" s="319"/>
      <c r="DH16" s="319"/>
      <c r="DI16" s="319"/>
      <c r="DJ16" s="319"/>
      <c r="DK16" s="319"/>
      <c r="DL16" s="319"/>
      <c r="DM16" s="319">
        <v>0.154</v>
      </c>
      <c r="DN16" s="319"/>
      <c r="DO16" s="319"/>
      <c r="DP16" s="319"/>
      <c r="DQ16" s="319"/>
      <c r="DR16" s="319"/>
      <c r="DS16" s="319">
        <v>6.2E-2</v>
      </c>
      <c r="DT16" s="245"/>
      <c r="DU16" s="271"/>
      <c r="DV16" s="177"/>
      <c r="DW16" s="177"/>
      <c r="DX16" s="319"/>
      <c r="DY16" s="319"/>
      <c r="DZ16" s="319"/>
      <c r="EA16" s="319"/>
      <c r="EB16" s="319"/>
      <c r="EC16" s="319"/>
      <c r="ED16" s="319"/>
      <c r="EE16" s="319"/>
      <c r="EF16" s="319"/>
      <c r="EG16" s="319"/>
      <c r="EH16" s="319"/>
      <c r="EI16" s="319"/>
      <c r="EJ16" s="319"/>
      <c r="EK16" s="245"/>
      <c r="EL16" s="466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/>
      <c r="EX16" s="319"/>
      <c r="EY16" s="319"/>
      <c r="EZ16" s="319"/>
      <c r="FA16" s="319"/>
      <c r="FB16" s="319"/>
      <c r="FC16" s="319"/>
      <c r="FD16" s="319"/>
      <c r="FE16" s="319"/>
      <c r="FF16" s="319"/>
      <c r="FG16" s="319"/>
      <c r="FH16" s="319"/>
      <c r="FI16" s="158">
        <f t="shared" si="2"/>
        <v>0.25700000000000001</v>
      </c>
      <c r="FJ16" s="95"/>
      <c r="FK16" s="374"/>
      <c r="FL16" s="319"/>
      <c r="FM16" s="319"/>
      <c r="FN16" s="319"/>
      <c r="FO16" s="319"/>
      <c r="FP16" s="319"/>
      <c r="FQ16" s="319"/>
      <c r="FR16" s="319"/>
      <c r="FS16" s="319"/>
      <c r="FT16" s="319"/>
      <c r="FU16" s="319"/>
      <c r="FV16" s="319"/>
      <c r="FW16" s="319"/>
      <c r="FX16" s="319"/>
      <c r="FY16" s="28"/>
      <c r="FZ16" s="270"/>
      <c r="GA16" s="271"/>
      <c r="GB16" s="177"/>
      <c r="GC16" s="177"/>
      <c r="GD16" s="177"/>
      <c r="GE16" s="802"/>
      <c r="GF16" s="435"/>
      <c r="GG16" s="327">
        <f t="shared" si="3"/>
        <v>0</v>
      </c>
      <c r="GH16" s="445">
        <f t="shared" si="4"/>
        <v>14.37</v>
      </c>
      <c r="GI16" s="605">
        <f t="shared" si="5"/>
        <v>14.37</v>
      </c>
      <c r="GJ16" s="627">
        <f t="shared" si="6"/>
        <v>0.56699999999999995</v>
      </c>
      <c r="GK16" s="239">
        <f t="shared" si="7"/>
        <v>0.06</v>
      </c>
      <c r="GL16" s="36" t="str">
        <f t="shared" si="8"/>
        <v>вит В3, Нутравит В5 (кальпан)</v>
      </c>
      <c r="GM16" s="230"/>
      <c r="GN16" s="559">
        <v>46455</v>
      </c>
      <c r="GO16" s="22"/>
    </row>
    <row r="17" spans="1:197" x14ac:dyDescent="0.3">
      <c r="A17" s="127">
        <f t="shared" si="10"/>
        <v>7</v>
      </c>
      <c r="B17" s="278" t="s">
        <v>6</v>
      </c>
      <c r="C17" s="565">
        <f>'3_квартал'!G17</f>
        <v>0.73</v>
      </c>
      <c r="D17" s="263">
        <v>0.5</v>
      </c>
      <c r="E17" s="241">
        <v>0.06</v>
      </c>
      <c r="F17" s="888">
        <v>0.53</v>
      </c>
      <c r="G17" s="299">
        <f t="shared" si="9"/>
        <v>0.36299999999999999</v>
      </c>
      <c r="H17" s="93">
        <v>20.736999999999998</v>
      </c>
      <c r="I17" s="93">
        <v>20.207000000000001</v>
      </c>
      <c r="J17" s="94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>
        <f>0.031/0.3*0.4</f>
        <v>4.1333333333333333E-2</v>
      </c>
      <c r="AH17" s="319"/>
      <c r="AI17" s="319"/>
      <c r="AJ17" s="319"/>
      <c r="AK17" s="319"/>
      <c r="AL17" s="319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>
        <v>0.45800000000000002</v>
      </c>
      <c r="AX17" s="319"/>
      <c r="AY17" s="319"/>
      <c r="AZ17" s="319"/>
      <c r="BA17" s="319"/>
      <c r="BB17" s="319"/>
      <c r="BC17" s="319"/>
      <c r="BD17" s="319"/>
      <c r="BE17" s="319"/>
      <c r="BF17" s="319"/>
      <c r="BG17" s="158">
        <f t="shared" si="0"/>
        <v>0.49933333333333335</v>
      </c>
      <c r="BH17" s="94"/>
      <c r="BI17" s="833">
        <v>6.0999999999999999E-2</v>
      </c>
      <c r="BJ17" s="319"/>
      <c r="BK17" s="319"/>
      <c r="BL17" s="319"/>
      <c r="BM17" s="319"/>
      <c r="BN17" s="319"/>
      <c r="BO17" s="319"/>
      <c r="BP17" s="319"/>
      <c r="BQ17" s="319"/>
      <c r="BR17" s="319"/>
      <c r="BS17" s="319"/>
      <c r="BT17" s="319"/>
      <c r="BU17" s="319"/>
      <c r="BV17" s="319"/>
      <c r="BW17" s="319"/>
      <c r="BX17" s="319"/>
      <c r="BY17" s="319"/>
      <c r="BZ17" s="319"/>
      <c r="CA17" s="319"/>
      <c r="CB17" s="319"/>
      <c r="CC17" s="319"/>
      <c r="CD17" s="319"/>
      <c r="CE17" s="319"/>
      <c r="CF17" s="319"/>
      <c r="CG17" s="319"/>
      <c r="CH17" s="319"/>
      <c r="CI17" s="319"/>
      <c r="CJ17" s="319"/>
      <c r="CK17" s="319"/>
      <c r="CL17" s="319"/>
      <c r="CM17" s="319"/>
      <c r="CN17" s="319"/>
      <c r="CO17" s="319"/>
      <c r="CP17" s="319"/>
      <c r="CQ17" s="365"/>
      <c r="CR17" s="419">
        <f t="shared" si="1"/>
        <v>6.0999999999999999E-2</v>
      </c>
      <c r="CS17" s="57"/>
      <c r="CT17" s="319"/>
      <c r="CU17" s="319"/>
      <c r="CV17" s="319">
        <v>4.1000000000000002E-2</v>
      </c>
      <c r="CW17" s="319"/>
      <c r="CX17" s="319"/>
      <c r="CY17" s="319"/>
      <c r="CZ17" s="319"/>
      <c r="DA17" s="319"/>
      <c r="DB17" s="319"/>
      <c r="DC17" s="319"/>
      <c r="DD17" s="319"/>
      <c r="DE17" s="319"/>
      <c r="DF17" s="319"/>
      <c r="DG17" s="319"/>
      <c r="DH17" s="319"/>
      <c r="DI17" s="319"/>
      <c r="DJ17" s="319"/>
      <c r="DK17" s="319"/>
      <c r="DL17" s="319"/>
      <c r="DM17" s="319">
        <v>0.45800000000000002</v>
      </c>
      <c r="DN17" s="319"/>
      <c r="DO17" s="319"/>
      <c r="DP17" s="319"/>
      <c r="DQ17" s="319"/>
      <c r="DR17" s="319"/>
      <c r="DS17" s="319">
        <v>3.1E-2</v>
      </c>
      <c r="DT17" s="245"/>
      <c r="DU17" s="271"/>
      <c r="DV17" s="177"/>
      <c r="DW17" s="177"/>
      <c r="DX17" s="319"/>
      <c r="DY17" s="319"/>
      <c r="DZ17" s="319"/>
      <c r="EA17" s="319"/>
      <c r="EB17" s="319"/>
      <c r="EC17" s="319"/>
      <c r="ED17" s="319"/>
      <c r="EE17" s="319"/>
      <c r="EF17" s="319"/>
      <c r="EG17" s="319"/>
      <c r="EH17" s="319"/>
      <c r="EI17" s="319"/>
      <c r="EJ17" s="319"/>
      <c r="EK17" s="245"/>
      <c r="EL17" s="466"/>
      <c r="EM17" s="319"/>
      <c r="EN17" s="319"/>
      <c r="EO17" s="319"/>
      <c r="EP17" s="319"/>
      <c r="EQ17" s="319"/>
      <c r="ER17" s="319"/>
      <c r="ES17" s="319"/>
      <c r="ET17" s="319"/>
      <c r="EU17" s="319"/>
      <c r="EV17" s="319"/>
      <c r="EW17" s="319"/>
      <c r="EX17" s="319"/>
      <c r="EY17" s="319"/>
      <c r="EZ17" s="319"/>
      <c r="FA17" s="319"/>
      <c r="FB17" s="319"/>
      <c r="FC17" s="319"/>
      <c r="FD17" s="319"/>
      <c r="FE17" s="319"/>
      <c r="FF17" s="319"/>
      <c r="FG17" s="319"/>
      <c r="FH17" s="319"/>
      <c r="FI17" s="158">
        <f t="shared" si="2"/>
        <v>0.53</v>
      </c>
      <c r="FJ17" s="95"/>
      <c r="FK17" s="374"/>
      <c r="FL17" s="319"/>
      <c r="FM17" s="319"/>
      <c r="FN17" s="319"/>
      <c r="FO17" s="319"/>
      <c r="FP17" s="319"/>
      <c r="FQ17" s="319"/>
      <c r="FR17" s="319"/>
      <c r="FS17" s="319"/>
      <c r="FT17" s="319"/>
      <c r="FU17" s="319"/>
      <c r="FV17" s="319"/>
      <c r="FW17" s="319"/>
      <c r="FX17" s="319"/>
      <c r="FY17" s="28"/>
      <c r="FZ17" s="270"/>
      <c r="GA17" s="271"/>
      <c r="GB17" s="177"/>
      <c r="GC17" s="177"/>
      <c r="GD17" s="177"/>
      <c r="GE17" s="802"/>
      <c r="GF17" s="435"/>
      <c r="GG17" s="327">
        <f t="shared" si="3"/>
        <v>0</v>
      </c>
      <c r="GH17" s="445">
        <f t="shared" si="4"/>
        <v>20.207000000000001</v>
      </c>
      <c r="GI17" s="605">
        <f t="shared" si="5"/>
        <v>20.207000000000001</v>
      </c>
      <c r="GJ17" s="627">
        <f t="shared" si="6"/>
        <v>0.73</v>
      </c>
      <c r="GK17" s="239">
        <f t="shared" si="7"/>
        <v>0.06</v>
      </c>
      <c r="GL17" s="36" t="str">
        <f t="shared" si="8"/>
        <v>вит В5 (ниацин)</v>
      </c>
      <c r="GM17" s="230"/>
      <c r="GN17" s="559" t="s">
        <v>174</v>
      </c>
      <c r="GO17" s="22"/>
    </row>
    <row r="18" spans="1:197" x14ac:dyDescent="0.3">
      <c r="A18" s="127">
        <f t="shared" si="10"/>
        <v>8</v>
      </c>
      <c r="B18" s="278" t="s">
        <v>4</v>
      </c>
      <c r="C18" s="565">
        <f>'3_квартал'!G18</f>
        <v>2.7469999999999999</v>
      </c>
      <c r="D18" s="263">
        <v>0.03</v>
      </c>
      <c r="E18" s="241">
        <v>0.51</v>
      </c>
      <c r="F18" s="888">
        <v>0.03</v>
      </c>
      <c r="G18" s="299">
        <f t="shared" si="9"/>
        <v>0.19</v>
      </c>
      <c r="H18" s="93">
        <v>14.66</v>
      </c>
      <c r="I18" s="93">
        <v>14.63</v>
      </c>
      <c r="J18" s="94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>
        <v>3.1E-2</v>
      </c>
      <c r="AX18" s="319"/>
      <c r="AY18" s="319"/>
      <c r="AZ18" s="319"/>
      <c r="BA18" s="319"/>
      <c r="BB18" s="319"/>
      <c r="BC18" s="319"/>
      <c r="BD18" s="319"/>
      <c r="BE18" s="319"/>
      <c r="BF18" s="319"/>
      <c r="BG18" s="158">
        <f t="shared" si="0"/>
        <v>3.1E-2</v>
      </c>
      <c r="BH18" s="94"/>
      <c r="BI18" s="833"/>
      <c r="BJ18" s="319"/>
      <c r="BK18" s="319"/>
      <c r="BL18" s="319"/>
      <c r="BM18" s="319"/>
      <c r="BN18" s="319"/>
      <c r="BO18" s="319"/>
      <c r="BP18" s="319"/>
      <c r="BQ18" s="319"/>
      <c r="BR18" s="319"/>
      <c r="BS18" s="319"/>
      <c r="BT18" s="319"/>
      <c r="BU18" s="319"/>
      <c r="BV18" s="319"/>
      <c r="BW18" s="319"/>
      <c r="BX18" s="319"/>
      <c r="BY18" s="319"/>
      <c r="BZ18" s="319"/>
      <c r="CA18" s="319">
        <v>0.50900000000000001</v>
      </c>
      <c r="CB18" s="319"/>
      <c r="CC18" s="319"/>
      <c r="CD18" s="319"/>
      <c r="CE18" s="319"/>
      <c r="CF18" s="319"/>
      <c r="CG18" s="319"/>
      <c r="CH18" s="319"/>
      <c r="CI18" s="319"/>
      <c r="CJ18" s="319"/>
      <c r="CK18" s="319"/>
      <c r="CL18" s="319"/>
      <c r="CM18" s="319"/>
      <c r="CN18" s="319"/>
      <c r="CO18" s="319"/>
      <c r="CP18" s="319"/>
      <c r="CQ18" s="365"/>
      <c r="CR18" s="419">
        <f t="shared" si="1"/>
        <v>0.50900000000000001</v>
      </c>
      <c r="CS18" s="57"/>
      <c r="CT18" s="319"/>
      <c r="CU18" s="319"/>
      <c r="CV18" s="319"/>
      <c r="CW18" s="319"/>
      <c r="CX18" s="319"/>
      <c r="CY18" s="319"/>
      <c r="CZ18" s="319"/>
      <c r="DA18" s="319"/>
      <c r="DB18" s="319"/>
      <c r="DC18" s="319"/>
      <c r="DD18" s="319"/>
      <c r="DE18" s="319"/>
      <c r="DF18" s="319"/>
      <c r="DG18" s="319"/>
      <c r="DH18" s="319"/>
      <c r="DI18" s="319"/>
      <c r="DJ18" s="319"/>
      <c r="DK18" s="319"/>
      <c r="DL18" s="319"/>
      <c r="DM18" s="319">
        <v>3.1E-2</v>
      </c>
      <c r="DN18" s="319"/>
      <c r="DO18" s="319"/>
      <c r="DP18" s="319"/>
      <c r="DQ18" s="319"/>
      <c r="DR18" s="319"/>
      <c r="DS18" s="319"/>
      <c r="DT18" s="245"/>
      <c r="DU18" s="271"/>
      <c r="DV18" s="177"/>
      <c r="DW18" s="177"/>
      <c r="DX18" s="319"/>
      <c r="DY18" s="319"/>
      <c r="DZ18" s="319"/>
      <c r="EA18" s="319"/>
      <c r="EB18" s="319"/>
      <c r="EC18" s="319"/>
      <c r="ED18" s="319"/>
      <c r="EE18" s="319"/>
      <c r="EF18" s="319"/>
      <c r="EG18" s="319"/>
      <c r="EH18" s="319"/>
      <c r="EI18" s="319"/>
      <c r="EJ18" s="319"/>
      <c r="EK18" s="245"/>
      <c r="EL18" s="466"/>
      <c r="EM18" s="319"/>
      <c r="EN18" s="319"/>
      <c r="EO18" s="319"/>
      <c r="EP18" s="319"/>
      <c r="EQ18" s="319"/>
      <c r="ER18" s="319"/>
      <c r="ES18" s="319"/>
      <c r="ET18" s="319"/>
      <c r="EU18" s="319"/>
      <c r="EV18" s="319"/>
      <c r="EW18" s="319"/>
      <c r="EX18" s="319"/>
      <c r="EY18" s="319"/>
      <c r="EZ18" s="319"/>
      <c r="FA18" s="319"/>
      <c r="FB18" s="319"/>
      <c r="FC18" s="319"/>
      <c r="FD18" s="319"/>
      <c r="FE18" s="319"/>
      <c r="FF18" s="319"/>
      <c r="FG18" s="319"/>
      <c r="FH18" s="319"/>
      <c r="FI18" s="158">
        <f t="shared" si="2"/>
        <v>3.1E-2</v>
      </c>
      <c r="FJ18" s="95"/>
      <c r="FK18" s="374"/>
      <c r="FL18" s="319"/>
      <c r="FM18" s="319"/>
      <c r="FN18" s="319"/>
      <c r="FO18" s="319"/>
      <c r="FP18" s="319"/>
      <c r="FQ18" s="319"/>
      <c r="FR18" s="319"/>
      <c r="FS18" s="319"/>
      <c r="FT18" s="319"/>
      <c r="FU18" s="319"/>
      <c r="FV18" s="319"/>
      <c r="FW18" s="319"/>
      <c r="FX18" s="319"/>
      <c r="FY18" s="28"/>
      <c r="FZ18" s="270"/>
      <c r="GA18" s="271"/>
      <c r="GB18" s="177"/>
      <c r="GC18" s="177"/>
      <c r="GD18" s="177"/>
      <c r="GE18" s="802"/>
      <c r="GF18" s="435"/>
      <c r="GG18" s="327">
        <f t="shared" si="3"/>
        <v>0</v>
      </c>
      <c r="GH18" s="587">
        <f t="shared" si="4"/>
        <v>14.63</v>
      </c>
      <c r="GI18" s="605">
        <f t="shared" si="5"/>
        <v>14.63</v>
      </c>
      <c r="GJ18" s="627">
        <f t="shared" si="6"/>
        <v>2.7469999999999999</v>
      </c>
      <c r="GK18" s="239">
        <f t="shared" si="7"/>
        <v>0.51</v>
      </c>
      <c r="GL18" s="36" t="str">
        <f t="shared" si="8"/>
        <v>вит В6</v>
      </c>
      <c r="GM18" s="230"/>
      <c r="GN18" s="559">
        <v>46488</v>
      </c>
      <c r="GO18" s="22"/>
    </row>
    <row r="19" spans="1:197" x14ac:dyDescent="0.3">
      <c r="A19" s="127">
        <f t="shared" si="10"/>
        <v>9</v>
      </c>
      <c r="B19" s="278" t="s">
        <v>5</v>
      </c>
      <c r="C19" s="565">
        <f>'3_квартал'!G19</f>
        <v>0</v>
      </c>
      <c r="D19" s="241">
        <v>0</v>
      </c>
      <c r="E19" s="241">
        <v>0</v>
      </c>
      <c r="F19" s="888">
        <v>0</v>
      </c>
      <c r="G19" s="299">
        <f t="shared" si="9"/>
        <v>0</v>
      </c>
      <c r="H19" s="93">
        <v>0</v>
      </c>
      <c r="I19" s="93">
        <v>0</v>
      </c>
      <c r="J19" s="94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  <c r="AD19" s="319"/>
      <c r="AE19" s="319"/>
      <c r="AF19" s="319"/>
      <c r="AG19" s="319"/>
      <c r="AH19" s="319"/>
      <c r="AI19" s="319"/>
      <c r="AJ19" s="319"/>
      <c r="AK19" s="319"/>
      <c r="AL19" s="319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  <c r="AZ19" s="319"/>
      <c r="BA19" s="319"/>
      <c r="BB19" s="319"/>
      <c r="BC19" s="319"/>
      <c r="BD19" s="319"/>
      <c r="BE19" s="319"/>
      <c r="BF19" s="319"/>
      <c r="BG19" s="158">
        <f t="shared" si="0"/>
        <v>0</v>
      </c>
      <c r="BH19" s="94"/>
      <c r="BI19" s="833"/>
      <c r="BJ19" s="319"/>
      <c r="BK19" s="319"/>
      <c r="BL19" s="319"/>
      <c r="BM19" s="319"/>
      <c r="BN19" s="319"/>
      <c r="BO19" s="319"/>
      <c r="BP19" s="319"/>
      <c r="BQ19" s="319"/>
      <c r="BR19" s="319"/>
      <c r="BS19" s="319"/>
      <c r="BT19" s="319"/>
      <c r="BU19" s="319"/>
      <c r="BV19" s="319"/>
      <c r="BW19" s="319"/>
      <c r="BX19" s="319"/>
      <c r="BY19" s="319"/>
      <c r="BZ19" s="319"/>
      <c r="CA19" s="319"/>
      <c r="CB19" s="319"/>
      <c r="CC19" s="319"/>
      <c r="CD19" s="319"/>
      <c r="CE19" s="319"/>
      <c r="CF19" s="319"/>
      <c r="CG19" s="319"/>
      <c r="CH19" s="319"/>
      <c r="CI19" s="319"/>
      <c r="CJ19" s="319"/>
      <c r="CK19" s="319"/>
      <c r="CL19" s="319"/>
      <c r="CM19" s="319"/>
      <c r="CN19" s="319"/>
      <c r="CO19" s="319"/>
      <c r="CP19" s="319"/>
      <c r="CQ19" s="365"/>
      <c r="CR19" s="419">
        <f t="shared" si="1"/>
        <v>0</v>
      </c>
      <c r="CS19" s="57"/>
      <c r="CT19" s="319"/>
      <c r="CU19" s="319"/>
      <c r="CV19" s="319"/>
      <c r="CW19" s="319"/>
      <c r="CX19" s="319"/>
      <c r="CY19" s="319"/>
      <c r="CZ19" s="319"/>
      <c r="DA19" s="319"/>
      <c r="DB19" s="319"/>
      <c r="DC19" s="319"/>
      <c r="DD19" s="319"/>
      <c r="DE19" s="319"/>
      <c r="DF19" s="319"/>
      <c r="DG19" s="319"/>
      <c r="DH19" s="319"/>
      <c r="DI19" s="319"/>
      <c r="DJ19" s="319"/>
      <c r="DK19" s="319"/>
      <c r="DL19" s="319"/>
      <c r="DM19" s="319"/>
      <c r="DN19" s="319"/>
      <c r="DO19" s="319"/>
      <c r="DP19" s="319"/>
      <c r="DQ19" s="319"/>
      <c r="DR19" s="319"/>
      <c r="DS19" s="319"/>
      <c r="DT19" s="245"/>
      <c r="DU19" s="271"/>
      <c r="DV19" s="177"/>
      <c r="DW19" s="177"/>
      <c r="DX19" s="319"/>
      <c r="DY19" s="319"/>
      <c r="DZ19" s="319"/>
      <c r="EA19" s="319"/>
      <c r="EB19" s="319"/>
      <c r="EC19" s="319"/>
      <c r="ED19" s="319"/>
      <c r="EE19" s="319"/>
      <c r="EF19" s="319"/>
      <c r="EG19" s="319"/>
      <c r="EH19" s="319"/>
      <c r="EI19" s="319"/>
      <c r="EJ19" s="319"/>
      <c r="EK19" s="245"/>
      <c r="EL19" s="466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19"/>
      <c r="FD19" s="319"/>
      <c r="FE19" s="319"/>
      <c r="FF19" s="319"/>
      <c r="FG19" s="319"/>
      <c r="FH19" s="319"/>
      <c r="FI19" s="158">
        <f t="shared" si="2"/>
        <v>0</v>
      </c>
      <c r="FJ19" s="95"/>
      <c r="FK19" s="374"/>
      <c r="FL19" s="319"/>
      <c r="FM19" s="319"/>
      <c r="FN19" s="319"/>
      <c r="FO19" s="319"/>
      <c r="FP19" s="319"/>
      <c r="FQ19" s="319"/>
      <c r="FR19" s="319"/>
      <c r="FS19" s="319"/>
      <c r="FT19" s="319"/>
      <c r="FU19" s="319"/>
      <c r="FV19" s="319"/>
      <c r="FW19" s="319"/>
      <c r="FX19" s="319"/>
      <c r="FY19" s="28"/>
      <c r="FZ19" s="270"/>
      <c r="GA19" s="271"/>
      <c r="GB19" s="177"/>
      <c r="GC19" s="177"/>
      <c r="GD19" s="177"/>
      <c r="GE19" s="802"/>
      <c r="GF19" s="435"/>
      <c r="GG19" s="327">
        <f t="shared" si="3"/>
        <v>0</v>
      </c>
      <c r="GH19" s="445">
        <f t="shared" si="4"/>
        <v>0</v>
      </c>
      <c r="GI19" s="605">
        <f t="shared" si="5"/>
        <v>0</v>
      </c>
      <c r="GJ19" s="627">
        <f t="shared" si="6"/>
        <v>0</v>
      </c>
      <c r="GK19" s="239">
        <f t="shared" si="7"/>
        <v>0</v>
      </c>
      <c r="GL19" s="36" t="str">
        <f t="shared" si="8"/>
        <v>вит В12</v>
      </c>
      <c r="GM19" s="664"/>
      <c r="GN19" s="22"/>
      <c r="GO19" s="22"/>
    </row>
    <row r="20" spans="1:197" x14ac:dyDescent="0.3">
      <c r="A20" s="127">
        <f t="shared" si="10"/>
        <v>10</v>
      </c>
      <c r="B20" s="283" t="s">
        <v>70</v>
      </c>
      <c r="C20" s="565">
        <f>'3_квартал'!G20</f>
        <v>0</v>
      </c>
      <c r="D20" s="241">
        <v>0</v>
      </c>
      <c r="E20" s="241">
        <v>0</v>
      </c>
      <c r="F20" s="888">
        <v>0</v>
      </c>
      <c r="G20" s="299">
        <f t="shared" si="9"/>
        <v>0</v>
      </c>
      <c r="H20" s="93">
        <v>0</v>
      </c>
      <c r="I20" s="93">
        <v>0</v>
      </c>
      <c r="J20" s="94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  <c r="AD20" s="319"/>
      <c r="AE20" s="319"/>
      <c r="AF20" s="319"/>
      <c r="AG20" s="319"/>
      <c r="AH20" s="319"/>
      <c r="AI20" s="319"/>
      <c r="AJ20" s="319"/>
      <c r="AK20" s="319"/>
      <c r="AL20" s="319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  <c r="AZ20" s="319"/>
      <c r="BA20" s="319"/>
      <c r="BB20" s="319"/>
      <c r="BC20" s="319"/>
      <c r="BD20" s="319"/>
      <c r="BE20" s="319"/>
      <c r="BF20" s="319"/>
      <c r="BG20" s="158">
        <f t="shared" si="0"/>
        <v>0</v>
      </c>
      <c r="BH20" s="94"/>
      <c r="BI20" s="833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65"/>
      <c r="CR20" s="419">
        <f t="shared" si="1"/>
        <v>0</v>
      </c>
      <c r="CS20" s="57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245"/>
      <c r="DU20" s="271"/>
      <c r="DV20" s="177"/>
      <c r="DW20" s="177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245"/>
      <c r="EL20" s="466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158">
        <f t="shared" si="2"/>
        <v>0</v>
      </c>
      <c r="FJ20" s="95"/>
      <c r="FK20" s="374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28"/>
      <c r="FZ20" s="270"/>
      <c r="GA20" s="271"/>
      <c r="GB20" s="177"/>
      <c r="GC20" s="177"/>
      <c r="GD20" s="177"/>
      <c r="GE20" s="802"/>
      <c r="GF20" s="435"/>
      <c r="GG20" s="327">
        <f t="shared" si="3"/>
        <v>0</v>
      </c>
      <c r="GH20" s="445">
        <f t="shared" si="4"/>
        <v>0</v>
      </c>
      <c r="GI20" s="605">
        <f t="shared" si="5"/>
        <v>0</v>
      </c>
      <c r="GJ20" s="627">
        <f t="shared" si="6"/>
        <v>0</v>
      </c>
      <c r="GK20" s="239">
        <f t="shared" si="7"/>
        <v>0</v>
      </c>
      <c r="GL20" s="36" t="str">
        <f t="shared" si="8"/>
        <v>вит Вс (В9, фолиевая к-та)</v>
      </c>
      <c r="GM20" s="664"/>
      <c r="GN20" s="22"/>
      <c r="GO20" s="22"/>
    </row>
    <row r="21" spans="1:197" x14ac:dyDescent="0.3">
      <c r="A21" s="127">
        <f>A20+1</f>
        <v>11</v>
      </c>
      <c r="B21" s="283" t="s">
        <v>29</v>
      </c>
      <c r="C21" s="565">
        <f>'3_квартал'!G21</f>
        <v>0</v>
      </c>
      <c r="D21" s="241">
        <v>0</v>
      </c>
      <c r="E21" s="241">
        <v>0</v>
      </c>
      <c r="F21" s="888">
        <v>0</v>
      </c>
      <c r="G21" s="299">
        <f t="shared" si="9"/>
        <v>0</v>
      </c>
      <c r="H21" s="93">
        <v>0</v>
      </c>
      <c r="I21" s="93">
        <v>0</v>
      </c>
      <c r="J21" s="94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158">
        <f t="shared" si="0"/>
        <v>0</v>
      </c>
      <c r="BH21" s="94"/>
      <c r="BI21" s="833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65"/>
      <c r="CR21" s="419">
        <f t="shared" si="1"/>
        <v>0</v>
      </c>
      <c r="CS21" s="57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245"/>
      <c r="DU21" s="271"/>
      <c r="DV21" s="177"/>
      <c r="DW21" s="177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245"/>
      <c r="EL21" s="466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158">
        <f t="shared" si="2"/>
        <v>0</v>
      </c>
      <c r="FJ21" s="95"/>
      <c r="FK21" s="374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28"/>
      <c r="FZ21" s="270"/>
      <c r="GA21" s="271"/>
      <c r="GB21" s="177"/>
      <c r="GC21" s="177"/>
      <c r="GD21" s="177"/>
      <c r="GE21" s="802"/>
      <c r="GF21" s="435"/>
      <c r="GG21" s="327">
        <f t="shared" si="3"/>
        <v>0</v>
      </c>
      <c r="GH21" s="445">
        <f t="shared" si="4"/>
        <v>0</v>
      </c>
      <c r="GI21" s="605">
        <f t="shared" si="5"/>
        <v>0</v>
      </c>
      <c r="GJ21" s="627">
        <f t="shared" si="6"/>
        <v>0</v>
      </c>
      <c r="GK21" s="239">
        <f t="shared" si="7"/>
        <v>0</v>
      </c>
      <c r="GL21" s="36" t="str">
        <f t="shared" si="8"/>
        <v>Аскорбиновая к-та (вит С)</v>
      </c>
      <c r="GM21" s="664"/>
      <c r="GN21" s="22"/>
      <c r="GO21" s="22"/>
    </row>
    <row r="22" spans="1:197" x14ac:dyDescent="0.3">
      <c r="A22" s="127">
        <f t="shared" si="10"/>
        <v>12</v>
      </c>
      <c r="B22" s="278" t="s">
        <v>116</v>
      </c>
      <c r="C22" s="565">
        <f>'3_квартал'!G22</f>
        <v>189.357</v>
      </c>
      <c r="D22" s="263">
        <f>55.51+71.2</f>
        <v>126.71000000000001</v>
      </c>
      <c r="E22" s="241">
        <f>10.72+28.8+24.62+6.28</f>
        <v>70.42</v>
      </c>
      <c r="F22" s="888">
        <f>143.25+16.72+111.24</f>
        <v>271.20999999999998</v>
      </c>
      <c r="G22" s="299">
        <f t="shared" si="9"/>
        <v>156.113</v>
      </c>
      <c r="H22" s="93">
        <f>150.38+16.72</f>
        <v>167.1</v>
      </c>
      <c r="I22" s="93">
        <f>7.13+88.76</f>
        <v>95.89</v>
      </c>
      <c r="J22" s="94"/>
      <c r="K22" s="319">
        <f>2.016*4</f>
        <v>8.0640000000000001</v>
      </c>
      <c r="L22" s="319">
        <f>2.016*5</f>
        <v>10.08</v>
      </c>
      <c r="M22" s="319"/>
      <c r="N22" s="319"/>
      <c r="O22" s="319"/>
      <c r="P22" s="319">
        <f>2.016*2</f>
        <v>4.032</v>
      </c>
      <c r="Q22" s="319"/>
      <c r="R22" s="319"/>
      <c r="S22" s="319"/>
      <c r="T22" s="319"/>
      <c r="U22" s="319"/>
      <c r="V22" s="319"/>
      <c r="W22" s="319"/>
      <c r="X22" s="319">
        <v>1.21</v>
      </c>
      <c r="Y22" s="319">
        <v>1.21</v>
      </c>
      <c r="Z22" s="319">
        <f>2.016*3</f>
        <v>6.048</v>
      </c>
      <c r="AA22" s="319"/>
      <c r="AB22" s="319">
        <f>0.67*0.5</f>
        <v>0.33500000000000002</v>
      </c>
      <c r="AC22" s="319"/>
      <c r="AD22" s="319"/>
      <c r="AE22" s="319"/>
      <c r="AF22" s="319"/>
      <c r="AG22" s="319"/>
      <c r="AH22" s="319"/>
      <c r="AI22" s="319"/>
      <c r="AJ22" s="319">
        <f>2.016*1.5</f>
        <v>3.024</v>
      </c>
      <c r="AK22" s="319"/>
      <c r="AL22" s="319"/>
      <c r="AM22" s="319">
        <v>0.40200000000000002</v>
      </c>
      <c r="AN22" s="319">
        <v>3.81</v>
      </c>
      <c r="AO22" s="319"/>
      <c r="AP22" s="319">
        <v>1.21</v>
      </c>
      <c r="AQ22" s="319"/>
      <c r="AR22" s="319"/>
      <c r="AS22" s="319"/>
      <c r="AT22" s="319">
        <f>(73.987+26.81)/10*6</f>
        <v>60.478199999999994</v>
      </c>
      <c r="AU22" s="319"/>
      <c r="AV22" s="319"/>
      <c r="AW22" s="319"/>
      <c r="AX22" s="319"/>
      <c r="AY22" s="319"/>
      <c r="AZ22" s="319"/>
      <c r="BA22" s="319">
        <v>1.411</v>
      </c>
      <c r="BB22" s="319">
        <v>3.226</v>
      </c>
      <c r="BC22" s="319">
        <f>2.016*4</f>
        <v>8.0640000000000001</v>
      </c>
      <c r="BD22" s="319">
        <f>2.016*4</f>
        <v>8.0640000000000001</v>
      </c>
      <c r="BE22" s="319"/>
      <c r="BF22" s="319">
        <f>2.016*3</f>
        <v>6.048</v>
      </c>
      <c r="BG22" s="158">
        <f t="shared" si="0"/>
        <v>126.71619999999999</v>
      </c>
      <c r="BH22" s="94"/>
      <c r="BI22" s="833"/>
      <c r="BJ22" s="319">
        <v>5.04</v>
      </c>
      <c r="BK22" s="319"/>
      <c r="BL22" s="319">
        <f>2.016*4</f>
        <v>8.0640000000000001</v>
      </c>
      <c r="BM22" s="319"/>
      <c r="BN22" s="319"/>
      <c r="BO22" s="319">
        <f>2.016*1.5</f>
        <v>3.024</v>
      </c>
      <c r="BP22" s="319"/>
      <c r="BQ22" s="319">
        <f>0.402/0.6</f>
        <v>0.67</v>
      </c>
      <c r="BR22" s="319">
        <v>2.016</v>
      </c>
      <c r="BS22" s="319"/>
      <c r="BT22" s="319"/>
      <c r="BU22" s="319">
        <f>2.016*1.5</f>
        <v>3.024</v>
      </c>
      <c r="BV22" s="319"/>
      <c r="BW22" s="319"/>
      <c r="BX22" s="319"/>
      <c r="BY22" s="319"/>
      <c r="BZ22" s="319"/>
      <c r="CA22" s="319"/>
      <c r="CB22" s="319"/>
      <c r="CC22" s="319"/>
      <c r="CD22" s="319">
        <v>1.21</v>
      </c>
      <c r="CE22" s="319"/>
      <c r="CF22" s="319"/>
      <c r="CG22" s="319"/>
      <c r="CH22" s="319">
        <f>2.016</f>
        <v>2.016</v>
      </c>
      <c r="CI22" s="319"/>
      <c r="CJ22" s="319">
        <f>24.615+15.7</f>
        <v>40.314999999999998</v>
      </c>
      <c r="CK22" s="319"/>
      <c r="CL22" s="319">
        <f>3.024/1.5*2.5</f>
        <v>5.04</v>
      </c>
      <c r="CM22" s="319"/>
      <c r="CN22" s="319"/>
      <c r="CO22" s="319"/>
      <c r="CP22" s="319"/>
      <c r="CQ22" s="365"/>
      <c r="CR22" s="464">
        <f t="shared" si="1"/>
        <v>70.418999999999997</v>
      </c>
      <c r="CS22" s="57"/>
      <c r="CT22" s="319"/>
      <c r="CU22" s="319"/>
      <c r="CV22" s="319"/>
      <c r="CW22" s="319"/>
      <c r="CX22" s="319">
        <f>2.016*5</f>
        <v>10.08</v>
      </c>
      <c r="CY22" s="319"/>
      <c r="CZ22" s="319">
        <f>2.016*3.8</f>
        <v>7.6608000000000001</v>
      </c>
      <c r="DA22" s="319">
        <f>86.94/15*3.7</f>
        <v>21.445200000000003</v>
      </c>
      <c r="DB22" s="319">
        <f>86.94/15*5.5</f>
        <v>31.878</v>
      </c>
      <c r="DC22" s="319"/>
      <c r="DD22" s="319"/>
      <c r="DE22" s="319"/>
      <c r="DF22" s="319">
        <v>1.21</v>
      </c>
      <c r="DG22" s="319">
        <f>2.016*4</f>
        <v>8.0640000000000001</v>
      </c>
      <c r="DH22" s="319"/>
      <c r="DI22" s="319">
        <f>2.016*7</f>
        <v>14.112</v>
      </c>
      <c r="DJ22" s="319">
        <f>2.016*0.6</f>
        <v>1.2096</v>
      </c>
      <c r="DK22" s="319">
        <v>2.016</v>
      </c>
      <c r="DL22" s="319"/>
      <c r="DM22" s="319"/>
      <c r="DN22" s="319"/>
      <c r="DO22" s="319">
        <v>2.016</v>
      </c>
      <c r="DP22" s="319"/>
      <c r="DQ22" s="319">
        <f>86.94/15*5.8</f>
        <v>33.616799999999998</v>
      </c>
      <c r="DR22" s="319"/>
      <c r="DS22" s="319"/>
      <c r="DT22" s="245">
        <f>1.814/0.9*0.6</f>
        <v>1.2093333333333334</v>
      </c>
      <c r="DU22" s="271">
        <f>10.08*8</f>
        <v>80.64</v>
      </c>
      <c r="DV22" s="177"/>
      <c r="DW22" s="177"/>
      <c r="DX22" s="319"/>
      <c r="DY22" s="319">
        <f>2.016*5</f>
        <v>10.08</v>
      </c>
      <c r="DZ22" s="319"/>
      <c r="EA22" s="319"/>
      <c r="EB22" s="319"/>
      <c r="EC22" s="319"/>
      <c r="ED22" s="319"/>
      <c r="EE22" s="319"/>
      <c r="EF22" s="319"/>
      <c r="EG22" s="319"/>
      <c r="EH22" s="319">
        <f>2.016*4</f>
        <v>8.0640000000000001</v>
      </c>
      <c r="EI22" s="319">
        <f>2.016*2</f>
        <v>4.032</v>
      </c>
      <c r="EJ22" s="319"/>
      <c r="EK22" s="245"/>
      <c r="EL22" s="466">
        <f>2.016*1.3</f>
        <v>2.6208</v>
      </c>
      <c r="EM22" s="319">
        <f>2.016*4.2</f>
        <v>8.4672000000000001</v>
      </c>
      <c r="EN22" s="319">
        <f>2.016*2</f>
        <v>4.032</v>
      </c>
      <c r="EO22" s="319">
        <f>0.402</f>
        <v>0.40200000000000002</v>
      </c>
      <c r="EP22" s="319">
        <v>0.26800000000000002</v>
      </c>
      <c r="EQ22" s="319"/>
      <c r="ER22" s="319">
        <v>2.016</v>
      </c>
      <c r="ES22" s="319"/>
      <c r="ET22" s="319"/>
      <c r="EU22" s="319"/>
      <c r="EV22" s="319"/>
      <c r="EW22" s="319">
        <f>3.024/1.5</f>
        <v>2.016</v>
      </c>
      <c r="EX22" s="319"/>
      <c r="EY22" s="319">
        <v>2.016</v>
      </c>
      <c r="EZ22" s="319"/>
      <c r="FA22" s="319"/>
      <c r="FB22" s="319">
        <v>3.427</v>
      </c>
      <c r="FC22" s="319">
        <f>2.419/1.2*0.6</f>
        <v>1.2095</v>
      </c>
      <c r="FD22" s="319">
        <f>1.814/0.9*0.6</f>
        <v>1.2093333333333334</v>
      </c>
      <c r="FE22" s="319">
        <v>3.81</v>
      </c>
      <c r="FF22" s="319">
        <f>0.59*2</f>
        <v>1.18</v>
      </c>
      <c r="FG22" s="319">
        <f>0.59*2</f>
        <v>1.18</v>
      </c>
      <c r="FH22" s="319"/>
      <c r="FI22" s="158">
        <f t="shared" si="2"/>
        <v>271.18756666666673</v>
      </c>
      <c r="FJ22" s="95"/>
      <c r="FK22" s="374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28"/>
      <c r="FZ22" s="270"/>
      <c r="GA22" s="271"/>
      <c r="GB22" s="177"/>
      <c r="GC22" s="177"/>
      <c r="GD22" s="177"/>
      <c r="GE22" s="804"/>
      <c r="GF22" s="435"/>
      <c r="GG22" s="327">
        <f t="shared" si="3"/>
        <v>0</v>
      </c>
      <c r="GH22" s="445">
        <f t="shared" si="4"/>
        <v>95.89</v>
      </c>
      <c r="GI22" s="605">
        <f t="shared" si="5"/>
        <v>95.89</v>
      </c>
      <c r="GJ22" s="627">
        <f t="shared" si="6"/>
        <v>189.357</v>
      </c>
      <c r="GK22" s="239">
        <f t="shared" si="7"/>
        <v>70.42</v>
      </c>
      <c r="GL22" s="36" t="str">
        <f t="shared" si="8"/>
        <v>вит Н (биотин) (бипекс Н2)</v>
      </c>
      <c r="GM22" s="664"/>
      <c r="GN22" s="22"/>
      <c r="GO22" s="22"/>
    </row>
    <row r="23" spans="1:197" x14ac:dyDescent="0.3">
      <c r="A23" s="128"/>
      <c r="B23" s="287"/>
      <c r="C23" s="797"/>
      <c r="D23" s="679"/>
      <c r="E23" s="674"/>
      <c r="F23" s="453"/>
      <c r="G23" s="574"/>
      <c r="H23" s="736">
        <f>SUM(H9:H22)</f>
        <v>1279.9569999999999</v>
      </c>
      <c r="I23" s="736">
        <f>SUM(I9:I22)</f>
        <v>1782.7070000000003</v>
      </c>
      <c r="J23" s="94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159"/>
      <c r="BH23" s="94"/>
      <c r="BI23" s="834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260"/>
      <c r="CR23" s="502"/>
      <c r="CS23" s="57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1"/>
      <c r="DU23" s="356"/>
      <c r="DV23" s="178"/>
      <c r="DW23" s="178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90"/>
      <c r="EJ23" s="90"/>
      <c r="EK23" s="91"/>
      <c r="EL23" s="467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  <c r="FF23" s="90"/>
      <c r="FG23" s="90"/>
      <c r="FH23" s="90"/>
      <c r="FI23" s="90"/>
      <c r="FJ23" s="95"/>
      <c r="FK23" s="170"/>
      <c r="FL23" s="90"/>
      <c r="FM23" s="90"/>
      <c r="FN23" s="90"/>
      <c r="FO23" s="90"/>
      <c r="FP23" s="90"/>
      <c r="FQ23" s="90"/>
      <c r="FR23" s="90"/>
      <c r="FS23" s="90"/>
      <c r="FT23" s="90"/>
      <c r="FU23" s="90"/>
      <c r="FV23" s="90"/>
      <c r="FW23" s="90"/>
      <c r="FX23" s="90"/>
      <c r="FY23" s="260"/>
      <c r="FZ23" s="347"/>
      <c r="GA23" s="356"/>
      <c r="GB23" s="178"/>
      <c r="GC23" s="178"/>
      <c r="GD23" s="178"/>
      <c r="GE23" s="805"/>
      <c r="GF23" s="436"/>
      <c r="GG23" s="348"/>
      <c r="GH23" s="446"/>
      <c r="GI23" s="606"/>
      <c r="GJ23" s="606"/>
      <c r="GK23" s="606"/>
      <c r="GL23" s="453"/>
      <c r="GM23" s="213"/>
      <c r="GN23" s="22"/>
      <c r="GO23" s="22"/>
    </row>
    <row r="24" spans="1:197" x14ac:dyDescent="0.3">
      <c r="A24" s="127">
        <f>A22+1</f>
        <v>13</v>
      </c>
      <c r="B24" s="276" t="s">
        <v>56</v>
      </c>
      <c r="C24" s="565">
        <f>'3_квартал'!G24</f>
        <v>18629.169999999998</v>
      </c>
      <c r="D24" s="263">
        <v>15148.66</v>
      </c>
      <c r="E24" s="241">
        <v>8298.19</v>
      </c>
      <c r="F24" s="888">
        <f>3914.16+10971.21</f>
        <v>14885.369999999999</v>
      </c>
      <c r="G24" s="299">
        <f t="shared" si="9"/>
        <v>12777.406999999999</v>
      </c>
      <c r="H24" s="93">
        <f>3914.16+20000</f>
        <v>23914.16</v>
      </c>
      <c r="I24" s="93">
        <f>9028.79+20000</f>
        <v>29028.79</v>
      </c>
      <c r="J24" s="94"/>
      <c r="K24" s="319">
        <f>93.347*4</f>
        <v>373.38799999999998</v>
      </c>
      <c r="L24" s="319"/>
      <c r="M24" s="319">
        <f>2.749*2</f>
        <v>5.4980000000000002</v>
      </c>
      <c r="N24" s="319"/>
      <c r="O24" s="319">
        <f>160.014*3</f>
        <v>480.04200000000003</v>
      </c>
      <c r="P24" s="319"/>
      <c r="Q24" s="319">
        <f>159.472*2.1</f>
        <v>334.89120000000003</v>
      </c>
      <c r="R24" s="319">
        <f>160.014*3</f>
        <v>480.04200000000003</v>
      </c>
      <c r="S24" s="319">
        <f>45.09</f>
        <v>45.09</v>
      </c>
      <c r="T24" s="319">
        <f>160.014*1.5</f>
        <v>240.02100000000002</v>
      </c>
      <c r="U24" s="319">
        <f>208.213*0.25</f>
        <v>52.053249999999998</v>
      </c>
      <c r="V24" s="319">
        <f>208.212*4.5</f>
        <v>936.95399999999995</v>
      </c>
      <c r="W24" s="319">
        <f>109.964*3</f>
        <v>329.892</v>
      </c>
      <c r="X24" s="319">
        <v>61.585999999999999</v>
      </c>
      <c r="Y24" s="319">
        <v>60.451999999999998</v>
      </c>
      <c r="Z24" s="319">
        <f>93.348*3</f>
        <v>280.04399999999998</v>
      </c>
      <c r="AA24" s="319">
        <f>1832.727/20*1.7</f>
        <v>155.78179500000002</v>
      </c>
      <c r="AB24" s="319">
        <f>2.444*0.5</f>
        <v>1.222</v>
      </c>
      <c r="AC24" s="319">
        <f>1832.727/20*9</f>
        <v>824.72715000000005</v>
      </c>
      <c r="AD24" s="319">
        <f>1832.727/20*9.3</f>
        <v>852.21805500000016</v>
      </c>
      <c r="AE24" s="319">
        <f>0.275</f>
        <v>0.27500000000000002</v>
      </c>
      <c r="AF24" s="319">
        <f>160.014*3</f>
        <v>480.04200000000003</v>
      </c>
      <c r="AG24" s="319">
        <f>8.247/0.3*0.4</f>
        <v>10.996000000000002</v>
      </c>
      <c r="AH24" s="319">
        <f>1340.532</f>
        <v>1340.5319999999999</v>
      </c>
      <c r="AI24" s="319">
        <v>91.635999999999996</v>
      </c>
      <c r="AJ24" s="319">
        <f>100.754*1.5</f>
        <v>151.131</v>
      </c>
      <c r="AK24" s="319">
        <v>104.11</v>
      </c>
      <c r="AL24" s="319">
        <v>54.981999999999999</v>
      </c>
      <c r="AM24" s="319">
        <v>1.466</v>
      </c>
      <c r="AN24" s="319">
        <v>16.495000000000001</v>
      </c>
      <c r="AO24" s="319">
        <v>2442.7979999999998</v>
      </c>
      <c r="AP24" s="319"/>
      <c r="AQ24" s="319">
        <f>159.957*1.5</f>
        <v>239.93549999999999</v>
      </c>
      <c r="AR24" s="319">
        <f>159.957*6</f>
        <v>959.74199999999996</v>
      </c>
      <c r="AS24" s="319">
        <f>159.957*3</f>
        <v>479.87099999999998</v>
      </c>
      <c r="AT24" s="319">
        <f>604.8/10*6</f>
        <v>362.88</v>
      </c>
      <c r="AU24" s="319">
        <f>208.128*2</f>
        <v>416.25599999999997</v>
      </c>
      <c r="AV24" s="319">
        <f>159.414*2.4</f>
        <v>382.59359999999998</v>
      </c>
      <c r="AW24" s="319">
        <v>82.472999999999999</v>
      </c>
      <c r="AX24" s="319">
        <f>797.07/5*3</f>
        <v>478.24200000000008</v>
      </c>
      <c r="AY24" s="319">
        <f>797.07/5*2</f>
        <v>318.82800000000003</v>
      </c>
      <c r="AZ24" s="319">
        <v>115.669</v>
      </c>
      <c r="BA24" s="319">
        <v>48.335999999999999</v>
      </c>
      <c r="BB24" s="319">
        <v>266.089</v>
      </c>
      <c r="BC24" s="319"/>
      <c r="BD24" s="319">
        <f>93.283*4</f>
        <v>373.13200000000001</v>
      </c>
      <c r="BE24" s="319">
        <f>208.128*2</f>
        <v>416.25599999999997</v>
      </c>
      <c r="BF24" s="319"/>
      <c r="BG24" s="158">
        <f t="shared" ref="BG24:BG43" si="11">SUM(K24:BF24)</f>
        <v>15148.668549999997</v>
      </c>
      <c r="BH24" s="94"/>
      <c r="BI24" s="833">
        <v>16.495000000000001</v>
      </c>
      <c r="BJ24" s="319"/>
      <c r="BK24" s="319">
        <v>40.32</v>
      </c>
      <c r="BL24" s="319">
        <f>93.283*4</f>
        <v>373.13200000000001</v>
      </c>
      <c r="BM24" s="319"/>
      <c r="BN24" s="319"/>
      <c r="BO24" s="319">
        <f>93.283*1.5</f>
        <v>139.92449999999999</v>
      </c>
      <c r="BP24" s="319">
        <v>75.126999999999995</v>
      </c>
      <c r="BQ24" s="319">
        <f>1.466/0.6</f>
        <v>2.4433333333333334</v>
      </c>
      <c r="BR24" s="319">
        <v>93.412999999999997</v>
      </c>
      <c r="BS24" s="319">
        <v>479.87099999999998</v>
      </c>
      <c r="BT24" s="319">
        <f>416.256/2*0.8</f>
        <v>166.50239999999999</v>
      </c>
      <c r="BU24" s="319">
        <f>93.283*1.5</f>
        <v>139.92449999999999</v>
      </c>
      <c r="BV24" s="319">
        <f>479.871/3*2</f>
        <v>319.91399999999999</v>
      </c>
      <c r="BW24" s="319">
        <f>115.669/0.5</f>
        <v>231.33799999999999</v>
      </c>
      <c r="BX24" s="319">
        <f>208.128*1.8</f>
        <v>374.63040000000001</v>
      </c>
      <c r="BY24" s="319">
        <v>249.251</v>
      </c>
      <c r="BZ24" s="319">
        <v>40.32</v>
      </c>
      <c r="CA24" s="319">
        <v>606.73400000000004</v>
      </c>
      <c r="CB24" s="319"/>
      <c r="CC24" s="319">
        <f>382.593/2.4*1.5</f>
        <v>239.12062500000002</v>
      </c>
      <c r="CD24" s="319">
        <v>61.563000000000002</v>
      </c>
      <c r="CE24" s="319"/>
      <c r="CF24" s="319">
        <f>91.636*0.5</f>
        <v>45.817999999999998</v>
      </c>
      <c r="CG24" s="319">
        <f>479.871/3*2.4</f>
        <v>383.89679999999998</v>
      </c>
      <c r="CH24" s="319">
        <f>93.283</f>
        <v>93.283000000000001</v>
      </c>
      <c r="CI24" s="319">
        <v>255.93100000000001</v>
      </c>
      <c r="CJ24" s="319">
        <v>241.92</v>
      </c>
      <c r="CK24" s="319">
        <f>444.145*5.5</f>
        <v>2442.7974999999997</v>
      </c>
      <c r="CL24" s="319">
        <f>151.102/1.5*2.5</f>
        <v>251.83666666666667</v>
      </c>
      <c r="CM24" s="319">
        <v>137.45500000000001</v>
      </c>
      <c r="CN24" s="319">
        <f>109.964*2.5</f>
        <v>274.90999999999997</v>
      </c>
      <c r="CO24" s="319"/>
      <c r="CP24" s="319">
        <v>208.13499999999999</v>
      </c>
      <c r="CQ24" s="365">
        <f>208.128*1.5</f>
        <v>312.19200000000001</v>
      </c>
      <c r="CR24" s="275">
        <f t="shared" ref="CR24:CR43" si="12">SUM(BI24:CQ24)</f>
        <v>8298.198725000002</v>
      </c>
      <c r="CS24" s="57"/>
      <c r="CT24" s="319"/>
      <c r="CU24" s="319"/>
      <c r="CV24" s="319">
        <v>10.996</v>
      </c>
      <c r="CW24" s="319">
        <v>54.981999999999999</v>
      </c>
      <c r="CX24" s="319">
        <f>93.283*5</f>
        <v>466.41500000000002</v>
      </c>
      <c r="CY24" s="319">
        <f>208.128*2</f>
        <v>416.25599999999997</v>
      </c>
      <c r="CZ24" s="319"/>
      <c r="DA24" s="319">
        <f>1058.4/15*3.7</f>
        <v>261.072</v>
      </c>
      <c r="DB24" s="319">
        <f>1058.4/15*5.5</f>
        <v>388.08000000000004</v>
      </c>
      <c r="DC24" s="319">
        <v>478.24200000000002</v>
      </c>
      <c r="DD24" s="319">
        <v>150.25399999999999</v>
      </c>
      <c r="DE24" s="319">
        <f>80.64*0.5</f>
        <v>40.32</v>
      </c>
      <c r="DF24" s="319"/>
      <c r="DG24" s="319">
        <f>93.283*4</f>
        <v>373.13200000000001</v>
      </c>
      <c r="DH24" s="319">
        <f>208.128</f>
        <v>208.12799999999999</v>
      </c>
      <c r="DI24" s="319"/>
      <c r="DJ24" s="319">
        <f>69.051*0.6</f>
        <v>41.430599999999998</v>
      </c>
      <c r="DK24" s="319">
        <v>166.30500000000001</v>
      </c>
      <c r="DL24" s="319">
        <f>150.254*0.3</f>
        <v>45.076199999999993</v>
      </c>
      <c r="DM24" s="319">
        <v>82.472999999999999</v>
      </c>
      <c r="DN24" s="319">
        <v>0.27500000000000002</v>
      </c>
      <c r="DO24" s="319">
        <v>93.283000000000001</v>
      </c>
      <c r="DP24" s="319">
        <f>959.742/6*3</f>
        <v>479.87099999999998</v>
      </c>
      <c r="DQ24" s="319">
        <f>1058.4/15*5.8</f>
        <v>409.24799999999999</v>
      </c>
      <c r="DR24" s="319">
        <f>208.128*3.3</f>
        <v>686.8223999999999</v>
      </c>
      <c r="DS24" s="319">
        <v>4.399</v>
      </c>
      <c r="DT24" s="245">
        <f>90.661/0.9*0.6</f>
        <v>60.440666666666665</v>
      </c>
      <c r="DU24" s="271">
        <f>183.273*8</f>
        <v>1466.184</v>
      </c>
      <c r="DV24" s="177">
        <f>249.251*2</f>
        <v>498.50200000000001</v>
      </c>
      <c r="DW24" s="177">
        <f>2.749*4</f>
        <v>10.996</v>
      </c>
      <c r="DX24" s="319">
        <f>5.498/2*3</f>
        <v>8.2469999999999999</v>
      </c>
      <c r="DY24" s="319">
        <f>93.283*5</f>
        <v>466.41500000000002</v>
      </c>
      <c r="DZ24" s="319">
        <f>109.964*2.6</f>
        <v>285.90640000000002</v>
      </c>
      <c r="EA24" s="319">
        <f>444.145*4</f>
        <v>1776.58</v>
      </c>
      <c r="EB24" s="319">
        <v>208.13499999999999</v>
      </c>
      <c r="EC24" s="319">
        <v>239.935</v>
      </c>
      <c r="ED24" s="319">
        <v>93.658000000000001</v>
      </c>
      <c r="EE24" s="319">
        <f>159.414*2.2</f>
        <v>350.71080000000001</v>
      </c>
      <c r="EF24" s="319">
        <f>208.128*0.8</f>
        <v>166.50239999999999</v>
      </c>
      <c r="EG24" s="319">
        <f>159.957*4</f>
        <v>639.82799999999997</v>
      </c>
      <c r="EH24" s="319">
        <f>93.413*4</f>
        <v>373.65199999999999</v>
      </c>
      <c r="EI24" s="319">
        <f>93.283*2</f>
        <v>186.566</v>
      </c>
      <c r="EJ24" s="319"/>
      <c r="EK24" s="245">
        <f>208.128</f>
        <v>208.12799999999999</v>
      </c>
      <c r="EL24" s="466">
        <f>100.735*1.3</f>
        <v>130.9555</v>
      </c>
      <c r="EM24" s="319"/>
      <c r="EN24" s="319"/>
      <c r="EO24" s="319">
        <f>1.466</f>
        <v>1.466</v>
      </c>
      <c r="EP24" s="319">
        <v>0.97699999999999998</v>
      </c>
      <c r="EQ24" s="319">
        <f>208.128</f>
        <v>208.12799999999999</v>
      </c>
      <c r="ER24" s="319">
        <v>93.412999999999997</v>
      </c>
      <c r="ES24" s="319">
        <v>478.24200000000002</v>
      </c>
      <c r="ET24" s="319">
        <f>208.128</f>
        <v>208.12799999999999</v>
      </c>
      <c r="EU24" s="319">
        <f>383.896/2.4</f>
        <v>159.95666666666668</v>
      </c>
      <c r="EV24" s="319"/>
      <c r="EW24" s="319">
        <f>140.12/1.5</f>
        <v>93.413333333333341</v>
      </c>
      <c r="EX24" s="319">
        <f>383.896/2.4*2</f>
        <v>319.91333333333336</v>
      </c>
      <c r="EY24" s="319">
        <v>93.283000000000001</v>
      </c>
      <c r="EZ24" s="319">
        <f>208.128*1.5</f>
        <v>312.19200000000001</v>
      </c>
      <c r="FA24" s="319">
        <v>382.59300000000002</v>
      </c>
      <c r="FB24" s="319">
        <v>171.249</v>
      </c>
      <c r="FC24" s="319">
        <f>123.125/1.2*0.6</f>
        <v>61.5625</v>
      </c>
      <c r="FD24" s="319">
        <f>90.661/0.9*0.6</f>
        <v>60.440666666666665</v>
      </c>
      <c r="FE24" s="319">
        <v>16.495000000000001</v>
      </c>
      <c r="FF24" s="319">
        <f>2.156*2</f>
        <v>4.3120000000000003</v>
      </c>
      <c r="FG24" s="319">
        <f>2.156*2</f>
        <v>4.3120000000000003</v>
      </c>
      <c r="FH24" s="319">
        <f>124.625*1.5</f>
        <v>186.9375</v>
      </c>
      <c r="FI24" s="158">
        <f t="shared" ref="FI24:FI43" si="13">SUM(CT24:FH24)</f>
        <v>14885.415966666675</v>
      </c>
      <c r="FJ24" s="95"/>
      <c r="FK24" s="374"/>
      <c r="FL24" s="319"/>
      <c r="FM24" s="319"/>
      <c r="FN24" s="319"/>
      <c r="FO24" s="319"/>
      <c r="FP24" s="319"/>
      <c r="FQ24" s="319"/>
      <c r="FR24" s="319"/>
      <c r="FS24" s="319"/>
      <c r="FT24" s="319"/>
      <c r="FU24" s="319"/>
      <c r="FV24" s="319"/>
      <c r="FW24" s="319"/>
      <c r="FX24" s="319"/>
      <c r="FY24" s="28"/>
      <c r="FZ24" s="270"/>
      <c r="GA24" s="271"/>
      <c r="GB24" s="177"/>
      <c r="GC24" s="177"/>
      <c r="GD24" s="177"/>
      <c r="GE24" s="802"/>
      <c r="GF24" s="435"/>
      <c r="GG24" s="327">
        <f t="shared" ref="GG24:GG43" si="14">SUM(FK24:GF24)</f>
        <v>0</v>
      </c>
      <c r="GH24" s="445">
        <f t="shared" ref="GH24:GH43" si="15">I24-GG24</f>
        <v>29028.79</v>
      </c>
      <c r="GI24" s="605">
        <f t="shared" ref="GI24:GI43" si="16">I24</f>
        <v>29028.79</v>
      </c>
      <c r="GJ24" s="627">
        <f t="shared" ref="GJ24:GJ43" si="17">C24</f>
        <v>18629.169999999998</v>
      </c>
      <c r="GK24" s="239">
        <f t="shared" ref="GK24:GK43" si="18">E24</f>
        <v>8298.19</v>
      </c>
      <c r="GL24" s="36" t="str">
        <f t="shared" ref="GL24:GL43" si="19">B24</f>
        <v>окись магния, порошок магнезитовый</v>
      </c>
      <c r="GM24" s="664"/>
      <c r="GN24" s="22"/>
      <c r="GO24" s="22"/>
    </row>
    <row r="25" spans="1:197" x14ac:dyDescent="0.3">
      <c r="A25" s="127">
        <f>A24+1</f>
        <v>14</v>
      </c>
      <c r="B25" s="280" t="s">
        <v>142</v>
      </c>
      <c r="C25" s="565">
        <f>'3_квартал'!G25</f>
        <v>5337.99</v>
      </c>
      <c r="D25" s="589">
        <f>3986.03+3984.73</f>
        <v>7970.76</v>
      </c>
      <c r="E25" s="569">
        <f>6015.27+2196.87</f>
        <v>8212.14</v>
      </c>
      <c r="F25" s="888">
        <f>7803.13+3000+1522.55</f>
        <v>12325.68</v>
      </c>
      <c r="G25" s="299">
        <f t="shared" si="9"/>
        <v>9502.86</v>
      </c>
      <c r="H25" s="93">
        <f>3803.13+4000</f>
        <v>7803.13</v>
      </c>
      <c r="I25" s="93">
        <f>10477.45+5000</f>
        <v>15477.45</v>
      </c>
      <c r="J25" s="94"/>
      <c r="K25" s="319">
        <f>111.812*4</f>
        <v>447.24799999999999</v>
      </c>
      <c r="L25" s="319">
        <f>67.086*5</f>
        <v>335.43</v>
      </c>
      <c r="M25" s="319"/>
      <c r="N25" s="319">
        <f>178.004*1.5</f>
        <v>267.00599999999997</v>
      </c>
      <c r="O25" s="319">
        <f>99.068*3</f>
        <v>297.20400000000001</v>
      </c>
      <c r="P25" s="319">
        <f>67.086*2</f>
        <v>134.172</v>
      </c>
      <c r="Q25" s="319">
        <f>100.724*2.1</f>
        <v>211.52040000000002</v>
      </c>
      <c r="R25" s="319">
        <f>99.068*3</f>
        <v>297.20400000000001</v>
      </c>
      <c r="S25" s="319">
        <f>23.506</f>
        <v>23.506</v>
      </c>
      <c r="T25" s="319">
        <f>99.068*1.5</f>
        <v>148.602</v>
      </c>
      <c r="U25" s="319">
        <f>147.793*0.25</f>
        <v>36.948250000000002</v>
      </c>
      <c r="V25" s="319">
        <f>147.793*4.5</f>
        <v>665.06850000000009</v>
      </c>
      <c r="W25" s="319"/>
      <c r="X25" s="319">
        <v>40.912999999999997</v>
      </c>
      <c r="Y25" s="319">
        <v>20.126000000000001</v>
      </c>
      <c r="Z25" s="319">
        <f>111.812*3</f>
        <v>335.43599999999998</v>
      </c>
      <c r="AA25" s="319"/>
      <c r="AB25" s="319"/>
      <c r="AC25" s="319"/>
      <c r="AD25" s="319"/>
      <c r="AE25" s="319"/>
      <c r="AF25" s="319">
        <f>99.068*3</f>
        <v>297.20400000000001</v>
      </c>
      <c r="AG25" s="319"/>
      <c r="AH25" s="319">
        <f>302.171</f>
        <v>302.17099999999999</v>
      </c>
      <c r="AI25" s="319"/>
      <c r="AJ25" s="319">
        <f>33.544*1.5</f>
        <v>50.315999999999995</v>
      </c>
      <c r="AK25" s="319">
        <v>73.896000000000001</v>
      </c>
      <c r="AL25" s="319"/>
      <c r="AM25" s="319"/>
      <c r="AN25" s="319"/>
      <c r="AO25" s="319">
        <v>551.38400000000001</v>
      </c>
      <c r="AP25" s="319">
        <v>19.312000000000001</v>
      </c>
      <c r="AQ25" s="319">
        <f>98.695*1.5</f>
        <v>148.04249999999999</v>
      </c>
      <c r="AR25" s="319">
        <f>98.695*6</f>
        <v>592.16999999999996</v>
      </c>
      <c r="AS25" s="319">
        <f>98.695*3</f>
        <v>296.08499999999998</v>
      </c>
      <c r="AT25" s="319"/>
      <c r="AU25" s="319">
        <f>147.236*2</f>
        <v>294.47199999999998</v>
      </c>
      <c r="AV25" s="319">
        <f>100.344*2.4</f>
        <v>240.82559999999998</v>
      </c>
      <c r="AW25" s="319"/>
      <c r="AX25" s="319">
        <f>501.721/5*3</f>
        <v>301.0326</v>
      </c>
      <c r="AY25" s="319">
        <f>501.721/5*2</f>
        <v>200.6884</v>
      </c>
      <c r="AZ25" s="319">
        <v>27.215</v>
      </c>
      <c r="BA25" s="319">
        <v>61.137999999999998</v>
      </c>
      <c r="BB25" s="319">
        <f>2.07+44.522</f>
        <v>46.591999999999999</v>
      </c>
      <c r="BC25" s="319">
        <f>66.834*4</f>
        <v>267.33600000000001</v>
      </c>
      <c r="BD25" s="319">
        <f>111.391*4</f>
        <v>445.56400000000002</v>
      </c>
      <c r="BE25" s="319">
        <f>147.236*2</f>
        <v>294.47199999999998</v>
      </c>
      <c r="BF25" s="319">
        <f>66.834*3</f>
        <v>200.50200000000001</v>
      </c>
      <c r="BG25" s="158">
        <f t="shared" si="11"/>
        <v>7970.8022500000006</v>
      </c>
      <c r="BH25" s="94"/>
      <c r="BI25" s="833"/>
      <c r="BJ25" s="319"/>
      <c r="BK25" s="319"/>
      <c r="BL25" s="319">
        <f>111.391*4</f>
        <v>445.56400000000002</v>
      </c>
      <c r="BM25" s="319">
        <f>200.841*5</f>
        <v>1004.205</v>
      </c>
      <c r="BN25" s="319">
        <f>177.334*5</f>
        <v>886.67000000000007</v>
      </c>
      <c r="BO25" s="319">
        <f>111.391*1.5</f>
        <v>167.0865</v>
      </c>
      <c r="BP25" s="319">
        <v>39.029000000000003</v>
      </c>
      <c r="BQ25" s="319"/>
      <c r="BR25" s="319">
        <v>33.417000000000002</v>
      </c>
      <c r="BS25" s="319">
        <v>296.084</v>
      </c>
      <c r="BT25" s="319">
        <f>294.473/2*0.8</f>
        <v>117.78920000000001</v>
      </c>
      <c r="BU25" s="319">
        <f>111.391*1.5</f>
        <v>167.0865</v>
      </c>
      <c r="BV25" s="319">
        <f>296.084/3*2</f>
        <v>197.38933333333333</v>
      </c>
      <c r="BW25" s="319">
        <f>27.215/0.5</f>
        <v>54.43</v>
      </c>
      <c r="BX25" s="319">
        <f>147.236*1.8</f>
        <v>265.02479999999997</v>
      </c>
      <c r="BY25" s="319"/>
      <c r="BZ25" s="319"/>
      <c r="CA25" s="319">
        <v>383.95800000000003</v>
      </c>
      <c r="CB25" s="319">
        <f>200.841*5</f>
        <v>1004.205</v>
      </c>
      <c r="CC25" s="319">
        <f>240.827/2.4*1.5</f>
        <v>150.516875</v>
      </c>
      <c r="CD25" s="319">
        <v>40.759</v>
      </c>
      <c r="CE25" s="319">
        <f>200.841*5</f>
        <v>1004.205</v>
      </c>
      <c r="CF25" s="319"/>
      <c r="CG25" s="319">
        <f>296.084/3*2.4</f>
        <v>236.86719999999997</v>
      </c>
      <c r="CH25" s="319">
        <f>111.391</f>
        <v>111.39100000000001</v>
      </c>
      <c r="CI25" s="319">
        <v>157.91200000000001</v>
      </c>
      <c r="CJ25" s="319"/>
      <c r="CK25" s="319">
        <f>100.252*5.5</f>
        <v>551.38599999999997</v>
      </c>
      <c r="CL25" s="319">
        <f>50.126/1.5*2.5</f>
        <v>83.543333333333322</v>
      </c>
      <c r="CM25" s="319"/>
      <c r="CN25" s="319"/>
      <c r="CO25" s="319">
        <f>342.72*1.3</f>
        <v>445.53600000000006</v>
      </c>
      <c r="CP25" s="319">
        <v>147.23599999999999</v>
      </c>
      <c r="CQ25" s="365">
        <f>147.236*1.5</f>
        <v>220.85399999999998</v>
      </c>
      <c r="CR25" s="419">
        <f t="shared" si="12"/>
        <v>8212.144741666667</v>
      </c>
      <c r="CS25" s="57"/>
      <c r="CT25" s="319">
        <f>2008.405/10*8</f>
        <v>1606.7239999999999</v>
      </c>
      <c r="CU25" s="319">
        <f>2008.405/10*2</f>
        <v>401.68099999999998</v>
      </c>
      <c r="CV25" s="319"/>
      <c r="CW25" s="319"/>
      <c r="CX25" s="319">
        <f>111.391*5</f>
        <v>556.95500000000004</v>
      </c>
      <c r="CY25" s="319">
        <f>147.236*2</f>
        <v>294.47199999999998</v>
      </c>
      <c r="CZ25" s="319">
        <f>66.834*3.8</f>
        <v>253.9692</v>
      </c>
      <c r="DA25" s="319">
        <f>982.8/15*3.7</f>
        <v>242.42400000000001</v>
      </c>
      <c r="DB25" s="319">
        <f>982.8/15*5.5</f>
        <v>360.35999999999996</v>
      </c>
      <c r="DC25" s="319">
        <v>301.03300000000002</v>
      </c>
      <c r="DD25" s="319">
        <v>78.058000000000007</v>
      </c>
      <c r="DE25" s="319"/>
      <c r="DF25" s="319">
        <v>19.312000000000001</v>
      </c>
      <c r="DG25" s="319">
        <f>111.391*4</f>
        <v>445.56400000000002</v>
      </c>
      <c r="DH25" s="319">
        <f>147.236</f>
        <v>147.23599999999999</v>
      </c>
      <c r="DI25" s="319">
        <f>66.834*7</f>
        <v>467.83800000000002</v>
      </c>
      <c r="DJ25" s="319">
        <f>87.34*0.6</f>
        <v>52.404000000000003</v>
      </c>
      <c r="DK25" s="319">
        <v>29.114999999999998</v>
      </c>
      <c r="DL25" s="319">
        <f>78.058*0.3</f>
        <v>23.417400000000001</v>
      </c>
      <c r="DM25" s="319"/>
      <c r="DN25" s="319"/>
      <c r="DO25" s="319">
        <v>111.39100000000001</v>
      </c>
      <c r="DP25" s="319">
        <f>592.167/6*3</f>
        <v>296.08350000000002</v>
      </c>
      <c r="DQ25" s="319">
        <f>982.8/15*5.8</f>
        <v>380.01599999999996</v>
      </c>
      <c r="DR25" s="319">
        <f>147.236*3.3</f>
        <v>485.87879999999996</v>
      </c>
      <c r="DS25" s="319"/>
      <c r="DT25" s="245">
        <f>30.075/0.9*0.6</f>
        <v>20.049999999999997</v>
      </c>
      <c r="DU25" s="271"/>
      <c r="DV25" s="177"/>
      <c r="DW25" s="177"/>
      <c r="DX25" s="319"/>
      <c r="DY25" s="319">
        <f>111.391*5</f>
        <v>556.95500000000004</v>
      </c>
      <c r="DZ25" s="319"/>
      <c r="EA25" s="319">
        <f>100.252*4</f>
        <v>401.00799999999998</v>
      </c>
      <c r="EB25" s="319">
        <v>147.23599999999999</v>
      </c>
      <c r="EC25" s="319">
        <v>148.04300000000001</v>
      </c>
      <c r="ED25" s="319">
        <v>66.256</v>
      </c>
      <c r="EE25" s="319">
        <f>100.344*2.2</f>
        <v>220.7568</v>
      </c>
      <c r="EF25" s="319">
        <f>147.236*0.8</f>
        <v>117.78879999999999</v>
      </c>
      <c r="EG25" s="319">
        <f>98.695*4</f>
        <v>394.78</v>
      </c>
      <c r="EH25" s="319">
        <f>33.417*4</f>
        <v>133.66800000000001</v>
      </c>
      <c r="EI25" s="319">
        <f>111.391*2</f>
        <v>222.78200000000001</v>
      </c>
      <c r="EJ25" s="319">
        <v>886.66899999999998</v>
      </c>
      <c r="EK25" s="245">
        <f>147.236</f>
        <v>147.23599999999999</v>
      </c>
      <c r="EL25" s="466">
        <f>33.417*1.3</f>
        <v>43.442100000000003</v>
      </c>
      <c r="EM25" s="319">
        <f>66.834*4.2</f>
        <v>280.70280000000002</v>
      </c>
      <c r="EN25" s="319">
        <f>66.834*2</f>
        <v>133.66800000000001</v>
      </c>
      <c r="EO25" s="319"/>
      <c r="EP25" s="319"/>
      <c r="EQ25" s="319">
        <f>147.236</f>
        <v>147.23599999999999</v>
      </c>
      <c r="ER25" s="319">
        <v>33.417000000000002</v>
      </c>
      <c r="ES25" s="319">
        <v>301.03300000000002</v>
      </c>
      <c r="ET25" s="319">
        <f>147.236</f>
        <v>147.23599999999999</v>
      </c>
      <c r="EU25" s="319">
        <f>236.867/2.4</f>
        <v>98.694583333333327</v>
      </c>
      <c r="EV25" s="319">
        <f>100.8*2</f>
        <v>201.6</v>
      </c>
      <c r="EW25" s="319">
        <f>50.126/1.5</f>
        <v>33.417333333333332</v>
      </c>
      <c r="EX25" s="319">
        <f>236.867/2.4*2</f>
        <v>197.38916666666665</v>
      </c>
      <c r="EY25" s="319">
        <v>111.39100000000001</v>
      </c>
      <c r="EZ25" s="319">
        <f>147.236*1.5</f>
        <v>220.85399999999998</v>
      </c>
      <c r="FA25" s="319">
        <v>240.827</v>
      </c>
      <c r="FB25" s="319">
        <v>56.808999999999997</v>
      </c>
      <c r="FC25" s="319">
        <f>81.518/1.2*0.6</f>
        <v>40.759</v>
      </c>
      <c r="FD25" s="319">
        <f>30.075/0.9*0.6</f>
        <v>20.049999999999997</v>
      </c>
      <c r="FE25" s="319"/>
      <c r="FF25" s="319"/>
      <c r="FG25" s="319"/>
      <c r="FH25" s="319"/>
      <c r="FI25" s="158">
        <f t="shared" si="13"/>
        <v>12325.686483333331</v>
      </c>
      <c r="FJ25" s="95"/>
      <c r="FK25" s="374"/>
      <c r="FL25" s="319"/>
      <c r="FM25" s="319"/>
      <c r="FN25" s="319"/>
      <c r="FO25" s="319"/>
      <c r="FP25" s="319"/>
      <c r="FQ25" s="319"/>
      <c r="FR25" s="319"/>
      <c r="FS25" s="319"/>
      <c r="FT25" s="319"/>
      <c r="FU25" s="319"/>
      <c r="FV25" s="319"/>
      <c r="FW25" s="319"/>
      <c r="FX25" s="319"/>
      <c r="FY25" s="28"/>
      <c r="FZ25" s="270"/>
      <c r="GA25" s="271"/>
      <c r="GB25" s="177"/>
      <c r="GC25" s="177"/>
      <c r="GD25" s="177"/>
      <c r="GE25" s="802"/>
      <c r="GF25" s="435"/>
      <c r="GG25" s="327">
        <f t="shared" si="14"/>
        <v>0</v>
      </c>
      <c r="GH25" s="445">
        <f t="shared" si="15"/>
        <v>15477.45</v>
      </c>
      <c r="GI25" s="605">
        <f t="shared" si="16"/>
        <v>15477.45</v>
      </c>
      <c r="GJ25" s="627">
        <f t="shared" si="17"/>
        <v>5337.99</v>
      </c>
      <c r="GK25" s="239">
        <f t="shared" si="18"/>
        <v>8212.14</v>
      </c>
      <c r="GL25" s="36" t="str">
        <f t="shared" si="19"/>
        <v>сульфат магния б/водный, магний с/кисл.</v>
      </c>
      <c r="GM25" s="664"/>
      <c r="GN25" s="22"/>
      <c r="GO25" s="22"/>
    </row>
    <row r="26" spans="1:197" x14ac:dyDescent="0.3">
      <c r="A26" s="127">
        <f t="shared" ref="A26:A66" si="20">A25+1</f>
        <v>15</v>
      </c>
      <c r="B26" s="280" t="s">
        <v>141</v>
      </c>
      <c r="C26" s="565">
        <f>'3_квартал'!G26</f>
        <v>1054.99</v>
      </c>
      <c r="D26" s="241">
        <v>0</v>
      </c>
      <c r="E26" s="241">
        <v>0</v>
      </c>
      <c r="F26" s="888">
        <v>0</v>
      </c>
      <c r="G26" s="299">
        <f t="shared" si="9"/>
        <v>0</v>
      </c>
      <c r="H26" s="93">
        <v>0</v>
      </c>
      <c r="I26" s="93">
        <v>0</v>
      </c>
      <c r="J26" s="94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  <c r="AY26" s="319"/>
      <c r="AZ26" s="319"/>
      <c r="BA26" s="319"/>
      <c r="BB26" s="319"/>
      <c r="BC26" s="319"/>
      <c r="BD26" s="319"/>
      <c r="BE26" s="319"/>
      <c r="BF26" s="319"/>
      <c r="BG26" s="158">
        <f t="shared" si="11"/>
        <v>0</v>
      </c>
      <c r="BH26" s="94"/>
      <c r="BI26" s="833"/>
      <c r="BJ26" s="319"/>
      <c r="BK26" s="319"/>
      <c r="BL26" s="319"/>
      <c r="BM26" s="319"/>
      <c r="BN26" s="319"/>
      <c r="BO26" s="319"/>
      <c r="BP26" s="319"/>
      <c r="BQ26" s="319"/>
      <c r="BR26" s="319"/>
      <c r="BS26" s="319"/>
      <c r="BT26" s="319"/>
      <c r="BU26" s="319"/>
      <c r="BV26" s="319"/>
      <c r="BW26" s="319"/>
      <c r="BX26" s="319"/>
      <c r="BY26" s="319"/>
      <c r="BZ26" s="319"/>
      <c r="CA26" s="319"/>
      <c r="CB26" s="319"/>
      <c r="CC26" s="319"/>
      <c r="CD26" s="319"/>
      <c r="CE26" s="319"/>
      <c r="CF26" s="319"/>
      <c r="CG26" s="319"/>
      <c r="CH26" s="319"/>
      <c r="CI26" s="319"/>
      <c r="CJ26" s="319"/>
      <c r="CK26" s="319"/>
      <c r="CL26" s="319"/>
      <c r="CM26" s="319"/>
      <c r="CN26" s="319"/>
      <c r="CO26" s="319"/>
      <c r="CP26" s="319"/>
      <c r="CQ26" s="365"/>
      <c r="CR26" s="419">
        <f t="shared" si="12"/>
        <v>0</v>
      </c>
      <c r="CS26" s="57"/>
      <c r="CT26" s="319"/>
      <c r="CU26" s="319"/>
      <c r="CV26" s="319"/>
      <c r="CW26" s="319"/>
      <c r="CX26" s="319"/>
      <c r="CY26" s="319"/>
      <c r="CZ26" s="319"/>
      <c r="DA26" s="319"/>
      <c r="DB26" s="319"/>
      <c r="DC26" s="319"/>
      <c r="DD26" s="319"/>
      <c r="DE26" s="319"/>
      <c r="DF26" s="319"/>
      <c r="DG26" s="319"/>
      <c r="DH26" s="319"/>
      <c r="DI26" s="319"/>
      <c r="DJ26" s="319"/>
      <c r="DK26" s="319"/>
      <c r="DL26" s="319"/>
      <c r="DM26" s="319"/>
      <c r="DN26" s="319"/>
      <c r="DO26" s="319"/>
      <c r="DP26" s="319"/>
      <c r="DQ26" s="319"/>
      <c r="DR26" s="319"/>
      <c r="DS26" s="319"/>
      <c r="DT26" s="245"/>
      <c r="DU26" s="271"/>
      <c r="DV26" s="177"/>
      <c r="DW26" s="177"/>
      <c r="DX26" s="319"/>
      <c r="DY26" s="319"/>
      <c r="DZ26" s="319"/>
      <c r="EA26" s="319"/>
      <c r="EB26" s="319"/>
      <c r="EC26" s="319"/>
      <c r="ED26" s="319"/>
      <c r="EE26" s="319"/>
      <c r="EF26" s="319"/>
      <c r="EG26" s="319"/>
      <c r="EH26" s="319"/>
      <c r="EI26" s="319"/>
      <c r="EJ26" s="319"/>
      <c r="EK26" s="245"/>
      <c r="EL26" s="466"/>
      <c r="EM26" s="319"/>
      <c r="EN26" s="319"/>
      <c r="EO26" s="319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19"/>
      <c r="FD26" s="319"/>
      <c r="FE26" s="319"/>
      <c r="FF26" s="319"/>
      <c r="FG26" s="319"/>
      <c r="FH26" s="319"/>
      <c r="FI26" s="158">
        <f t="shared" si="13"/>
        <v>0</v>
      </c>
      <c r="FJ26" s="95"/>
      <c r="FK26" s="374"/>
      <c r="FL26" s="319"/>
      <c r="FM26" s="319"/>
      <c r="FN26" s="319"/>
      <c r="FO26" s="319"/>
      <c r="FP26" s="319"/>
      <c r="FQ26" s="319"/>
      <c r="FR26" s="319"/>
      <c r="FS26" s="319"/>
      <c r="FT26" s="319"/>
      <c r="FU26" s="319"/>
      <c r="FV26" s="319"/>
      <c r="FW26" s="319"/>
      <c r="FX26" s="319"/>
      <c r="FY26" s="28"/>
      <c r="FZ26" s="270"/>
      <c r="GA26" s="271"/>
      <c r="GB26" s="177"/>
      <c r="GC26" s="177"/>
      <c r="GD26" s="177"/>
      <c r="GE26" s="802"/>
      <c r="GF26" s="435"/>
      <c r="GG26" s="327">
        <f t="shared" si="14"/>
        <v>0</v>
      </c>
      <c r="GH26" s="445">
        <f t="shared" si="15"/>
        <v>0</v>
      </c>
      <c r="GI26" s="605">
        <f t="shared" si="16"/>
        <v>0</v>
      </c>
      <c r="GJ26" s="627">
        <f t="shared" si="17"/>
        <v>1054.99</v>
      </c>
      <c r="GK26" s="239">
        <f t="shared" si="18"/>
        <v>0</v>
      </c>
      <c r="GL26" s="36" t="str">
        <f t="shared" si="19"/>
        <v>сульфат магния Кизерит</v>
      </c>
      <c r="GM26" s="664"/>
      <c r="GN26" s="22"/>
      <c r="GO26" s="22"/>
    </row>
    <row r="27" spans="1:197" x14ac:dyDescent="0.3">
      <c r="A27" s="127">
        <f t="shared" si="20"/>
        <v>16</v>
      </c>
      <c r="B27" s="278" t="s">
        <v>11</v>
      </c>
      <c r="C27" s="565">
        <f>'3_квартал'!G27</f>
        <v>775.07299999999998</v>
      </c>
      <c r="D27" s="346">
        <f>109.53+1271.69</f>
        <v>1381.22</v>
      </c>
      <c r="E27" s="241">
        <v>219.08</v>
      </c>
      <c r="F27" s="889">
        <f>69.23+71.59</f>
        <v>140.82</v>
      </c>
      <c r="G27" s="299">
        <f t="shared" si="9"/>
        <v>580.37300000000005</v>
      </c>
      <c r="H27" s="93">
        <v>69.23</v>
      </c>
      <c r="I27" s="93">
        <f>8.41+440</f>
        <v>448.41</v>
      </c>
      <c r="J27" s="94"/>
      <c r="K27" s="319"/>
      <c r="L27" s="319"/>
      <c r="M27" s="319">
        <f>10.182*2</f>
        <v>20.364000000000001</v>
      </c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>
        <f>1018.182/20*1.7</f>
        <v>86.545469999999995</v>
      </c>
      <c r="AB27" s="319"/>
      <c r="AC27" s="319">
        <f>1018.182/20*9</f>
        <v>458.18190000000004</v>
      </c>
      <c r="AD27" s="319">
        <f>1018.182/20*9.3</f>
        <v>473.45463000000007</v>
      </c>
      <c r="AE27" s="319">
        <f>1.018</f>
        <v>1.018</v>
      </c>
      <c r="AF27" s="319"/>
      <c r="AG27" s="319">
        <f>0.696/0.3*0.4</f>
        <v>0.92799999999999994</v>
      </c>
      <c r="AH27" s="319"/>
      <c r="AI27" s="319"/>
      <c r="AJ27" s="319"/>
      <c r="AK27" s="319"/>
      <c r="AL27" s="319"/>
      <c r="AM27" s="319"/>
      <c r="AN27" s="319"/>
      <c r="AO27" s="319"/>
      <c r="AP27" s="319">
        <v>4.4349999999999996</v>
      </c>
      <c r="AQ27" s="319"/>
      <c r="AR27" s="319"/>
      <c r="AS27" s="319"/>
      <c r="AT27" s="319">
        <f>504/10*6</f>
        <v>302.39999999999998</v>
      </c>
      <c r="AU27" s="319"/>
      <c r="AV27" s="319"/>
      <c r="AW27" s="319">
        <v>6.109</v>
      </c>
      <c r="AX27" s="319"/>
      <c r="AY27" s="319"/>
      <c r="AZ27" s="319"/>
      <c r="BA27" s="319">
        <v>2.3690000000000002</v>
      </c>
      <c r="BB27" s="319">
        <v>25.414000000000001</v>
      </c>
      <c r="BC27" s="319"/>
      <c r="BD27" s="319"/>
      <c r="BE27" s="319"/>
      <c r="BF27" s="319"/>
      <c r="BG27" s="158">
        <f t="shared" si="11"/>
        <v>1381.2190000000001</v>
      </c>
      <c r="BH27" s="94"/>
      <c r="BI27" s="833">
        <v>1.393</v>
      </c>
      <c r="BJ27" s="319"/>
      <c r="BK27" s="319">
        <v>1.478</v>
      </c>
      <c r="BL27" s="319"/>
      <c r="BM27" s="319"/>
      <c r="BN27" s="319"/>
      <c r="BO27" s="319"/>
      <c r="BP27" s="319"/>
      <c r="BQ27" s="319"/>
      <c r="BR27" s="319"/>
      <c r="BS27" s="319"/>
      <c r="BT27" s="319"/>
      <c r="BU27" s="319"/>
      <c r="BV27" s="319"/>
      <c r="BW27" s="319"/>
      <c r="BX27" s="319"/>
      <c r="BY27" s="319">
        <v>13.135</v>
      </c>
      <c r="BZ27" s="319">
        <v>1.478</v>
      </c>
      <c r="CA27" s="319"/>
      <c r="CB27" s="319"/>
      <c r="CC27" s="319"/>
      <c r="CD27" s="319"/>
      <c r="CE27" s="319"/>
      <c r="CF27" s="319"/>
      <c r="CG27" s="319"/>
      <c r="CH27" s="319"/>
      <c r="CI27" s="319"/>
      <c r="CJ27" s="319">
        <v>201.6</v>
      </c>
      <c r="CK27" s="319"/>
      <c r="CL27" s="319"/>
      <c r="CM27" s="319"/>
      <c r="CN27" s="319"/>
      <c r="CO27" s="319"/>
      <c r="CP27" s="319"/>
      <c r="CQ27" s="365"/>
      <c r="CR27" s="419">
        <f t="shared" si="12"/>
        <v>219.084</v>
      </c>
      <c r="CS27" s="57"/>
      <c r="CT27" s="319"/>
      <c r="CU27" s="319"/>
      <c r="CV27" s="319">
        <v>0.92900000000000005</v>
      </c>
      <c r="CW27" s="319"/>
      <c r="CX27" s="319"/>
      <c r="CY27" s="319"/>
      <c r="CZ27" s="319"/>
      <c r="DA27" s="319"/>
      <c r="DB27" s="319"/>
      <c r="DC27" s="319"/>
      <c r="DD27" s="319"/>
      <c r="DE27" s="319">
        <f>2.957*0.5</f>
        <v>1.4784999999999999</v>
      </c>
      <c r="DF27" s="319">
        <v>4.4349999999999996</v>
      </c>
      <c r="DG27" s="319"/>
      <c r="DH27" s="319"/>
      <c r="DI27" s="319"/>
      <c r="DJ27" s="319">
        <f>3.384*0.6</f>
        <v>2.0303999999999998</v>
      </c>
      <c r="DK27" s="319">
        <v>15.884</v>
      </c>
      <c r="DL27" s="319"/>
      <c r="DM27" s="319">
        <v>6.109</v>
      </c>
      <c r="DN27" s="319">
        <v>1.018</v>
      </c>
      <c r="DO27" s="319"/>
      <c r="DP27" s="319"/>
      <c r="DQ27" s="319"/>
      <c r="DR27" s="319"/>
      <c r="DS27" s="319">
        <v>1.5269999999999999</v>
      </c>
      <c r="DT27" s="245"/>
      <c r="DU27" s="271"/>
      <c r="DV27" s="177">
        <f>13.135*2</f>
        <v>26.27</v>
      </c>
      <c r="DW27" s="177">
        <f>10.182*4</f>
        <v>40.728000000000002</v>
      </c>
      <c r="DX27" s="319">
        <f>20.364/2*3</f>
        <v>30.545999999999999</v>
      </c>
      <c r="DY27" s="319"/>
      <c r="DZ27" s="319"/>
      <c r="EA27" s="319"/>
      <c r="EB27" s="319"/>
      <c r="EC27" s="319"/>
      <c r="ED27" s="319"/>
      <c r="EE27" s="319"/>
      <c r="EF27" s="319"/>
      <c r="EG27" s="319"/>
      <c r="EH27" s="319"/>
      <c r="EI27" s="319"/>
      <c r="EJ27" s="319"/>
      <c r="EK27" s="245"/>
      <c r="EL27" s="466"/>
      <c r="EM27" s="319"/>
      <c r="EN27" s="319"/>
      <c r="EO27" s="319"/>
      <c r="EP27" s="319"/>
      <c r="EQ27" s="319"/>
      <c r="ER27" s="319"/>
      <c r="ES27" s="319"/>
      <c r="ET27" s="319"/>
      <c r="EU27" s="319"/>
      <c r="EV27" s="319"/>
      <c r="EW27" s="319"/>
      <c r="EX27" s="319"/>
      <c r="EY27" s="319"/>
      <c r="EZ27" s="319"/>
      <c r="FA27" s="319"/>
      <c r="FB27" s="319"/>
      <c r="FC27" s="319"/>
      <c r="FD27" s="319"/>
      <c r="FE27" s="319"/>
      <c r="FF27" s="319"/>
      <c r="FG27" s="319"/>
      <c r="FH27" s="319">
        <f>6.567*1.5</f>
        <v>9.8505000000000003</v>
      </c>
      <c r="FI27" s="158">
        <f t="shared" si="13"/>
        <v>140.80540000000002</v>
      </c>
      <c r="FJ27" s="95"/>
      <c r="FK27" s="374"/>
      <c r="FL27" s="319"/>
      <c r="FM27" s="319"/>
      <c r="FN27" s="319"/>
      <c r="FO27" s="319"/>
      <c r="FP27" s="319"/>
      <c r="FQ27" s="319"/>
      <c r="FR27" s="319"/>
      <c r="FS27" s="319"/>
      <c r="FT27" s="319"/>
      <c r="FU27" s="319"/>
      <c r="FV27" s="319"/>
      <c r="FW27" s="319"/>
      <c r="FX27" s="319"/>
      <c r="FY27" s="28"/>
      <c r="FZ27" s="270"/>
      <c r="GA27" s="271"/>
      <c r="GB27" s="177"/>
      <c r="GC27" s="177"/>
      <c r="GD27" s="177"/>
      <c r="GE27" s="802"/>
      <c r="GF27" s="435"/>
      <c r="GG27" s="327">
        <f t="shared" si="14"/>
        <v>0</v>
      </c>
      <c r="GH27" s="445">
        <f t="shared" si="15"/>
        <v>448.41</v>
      </c>
      <c r="GI27" s="605">
        <f t="shared" si="16"/>
        <v>448.41</v>
      </c>
      <c r="GJ27" s="627">
        <f t="shared" si="17"/>
        <v>775.07299999999998</v>
      </c>
      <c r="GK27" s="239">
        <f t="shared" si="18"/>
        <v>219.08</v>
      </c>
      <c r="GL27" s="36" t="str">
        <f t="shared" si="19"/>
        <v>сера</v>
      </c>
      <c r="GM27" s="664"/>
      <c r="GN27" s="22"/>
      <c r="GO27" s="22"/>
    </row>
    <row r="28" spans="1:197" x14ac:dyDescent="0.3">
      <c r="A28" s="127">
        <f t="shared" si="20"/>
        <v>17</v>
      </c>
      <c r="B28" s="278" t="s">
        <v>12</v>
      </c>
      <c r="C28" s="565">
        <f>'3_квартал'!G28</f>
        <v>95.242999999999995</v>
      </c>
      <c r="D28" s="346">
        <f>69.97+32.37</f>
        <v>102.34</v>
      </c>
      <c r="E28" s="241">
        <v>8.67</v>
      </c>
      <c r="F28" s="889">
        <v>99.05</v>
      </c>
      <c r="G28" s="299">
        <f t="shared" si="9"/>
        <v>70.02</v>
      </c>
      <c r="H28" s="93">
        <v>158.96</v>
      </c>
      <c r="I28" s="93">
        <f>59.91+200</f>
        <v>259.90999999999997</v>
      </c>
      <c r="J28" s="94"/>
      <c r="K28" s="319"/>
      <c r="L28" s="319"/>
      <c r="M28" s="319">
        <f>10.08*2</f>
        <v>20.16</v>
      </c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>
        <f>(48.96+17.652)/20*1.7</f>
        <v>5.6620199999999992</v>
      </c>
      <c r="AB28" s="319">
        <f>0.224*0.5</f>
        <v>0.112</v>
      </c>
      <c r="AC28" s="319">
        <f>(48.96+17.652)/20*9</f>
        <v>29.975399999999997</v>
      </c>
      <c r="AD28" s="319">
        <f>(48.96+17.652)/20*9.3</f>
        <v>30.97458</v>
      </c>
      <c r="AE28" s="319">
        <f>0.975</f>
        <v>0.97499999999999998</v>
      </c>
      <c r="AF28" s="319"/>
      <c r="AG28" s="319">
        <f>0.195/0.3*0.4</f>
        <v>0.26</v>
      </c>
      <c r="AH28" s="319"/>
      <c r="AI28" s="319"/>
      <c r="AJ28" s="319"/>
      <c r="AK28" s="319"/>
      <c r="AL28" s="319"/>
      <c r="AM28" s="319">
        <v>0.13400000000000001</v>
      </c>
      <c r="AN28" s="319"/>
      <c r="AO28" s="319"/>
      <c r="AP28" s="319"/>
      <c r="AQ28" s="319"/>
      <c r="AR28" s="319"/>
      <c r="AS28" s="319"/>
      <c r="AT28" s="319">
        <f>20.16/10*6</f>
        <v>12.096</v>
      </c>
      <c r="AU28" s="319"/>
      <c r="AV28" s="319"/>
      <c r="AW28" s="319">
        <f>0.6+1.371</f>
        <v>1.9710000000000001</v>
      </c>
      <c r="AX28" s="319"/>
      <c r="AY28" s="319"/>
      <c r="AZ28" s="319"/>
      <c r="BA28" s="319"/>
      <c r="BB28" s="319"/>
      <c r="BC28" s="319"/>
      <c r="BD28" s="319"/>
      <c r="BE28" s="319"/>
      <c r="BF28" s="319"/>
      <c r="BG28" s="158">
        <f t="shared" si="11"/>
        <v>102.32000000000001</v>
      </c>
      <c r="BH28" s="94"/>
      <c r="BI28" s="833">
        <v>0.39</v>
      </c>
      <c r="BJ28" s="319"/>
      <c r="BK28" s="319"/>
      <c r="BL28" s="319"/>
      <c r="BM28" s="319"/>
      <c r="BN28" s="319"/>
      <c r="BO28" s="319"/>
      <c r="BP28" s="319"/>
      <c r="BQ28" s="319">
        <f>0.13/0.6</f>
        <v>0.21666666666666667</v>
      </c>
      <c r="BR28" s="319"/>
      <c r="BS28" s="319"/>
      <c r="BT28" s="319"/>
      <c r="BU28" s="319"/>
      <c r="BV28" s="319"/>
      <c r="BW28" s="319"/>
      <c r="BX28" s="319"/>
      <c r="BY28" s="319"/>
      <c r="BZ28" s="319"/>
      <c r="CA28" s="319"/>
      <c r="CB28" s="319"/>
      <c r="CC28" s="319"/>
      <c r="CD28" s="319"/>
      <c r="CE28" s="319"/>
      <c r="CF28" s="319"/>
      <c r="CG28" s="319"/>
      <c r="CH28" s="319"/>
      <c r="CI28" s="319"/>
      <c r="CJ28" s="319">
        <v>8.0640000000000001</v>
      </c>
      <c r="CK28" s="319"/>
      <c r="CL28" s="319"/>
      <c r="CM28" s="319"/>
      <c r="CN28" s="319"/>
      <c r="CO28" s="319"/>
      <c r="CP28" s="319"/>
      <c r="CQ28" s="365"/>
      <c r="CR28" s="419">
        <f t="shared" si="12"/>
        <v>8.6706666666666674</v>
      </c>
      <c r="CS28" s="57"/>
      <c r="CT28" s="319"/>
      <c r="CU28" s="319"/>
      <c r="CV28" s="319">
        <v>0.26</v>
      </c>
      <c r="CW28" s="319"/>
      <c r="CX28" s="319"/>
      <c r="CY28" s="319"/>
      <c r="CZ28" s="319"/>
      <c r="DA28" s="319"/>
      <c r="DB28" s="319"/>
      <c r="DC28" s="319"/>
      <c r="DD28" s="319"/>
      <c r="DE28" s="319"/>
      <c r="DF28" s="319"/>
      <c r="DG28" s="319"/>
      <c r="DH28" s="319"/>
      <c r="DI28" s="319"/>
      <c r="DJ28" s="319"/>
      <c r="DK28" s="319"/>
      <c r="DL28" s="319"/>
      <c r="DM28" s="319">
        <f>0.58+1.371</f>
        <v>1.9510000000000001</v>
      </c>
      <c r="DN28" s="319">
        <v>0.97499999999999998</v>
      </c>
      <c r="DO28" s="319"/>
      <c r="DP28" s="319"/>
      <c r="DQ28" s="319"/>
      <c r="DR28" s="319"/>
      <c r="DS28" s="319">
        <v>0.58499999999999996</v>
      </c>
      <c r="DT28" s="245"/>
      <c r="DU28" s="271">
        <f>3.252*8</f>
        <v>26.015999999999998</v>
      </c>
      <c r="DV28" s="177"/>
      <c r="DW28" s="177">
        <f>9.755*4</f>
        <v>39.020000000000003</v>
      </c>
      <c r="DX28" s="319">
        <f>19.51/2*3</f>
        <v>29.265000000000001</v>
      </c>
      <c r="DY28" s="319"/>
      <c r="DZ28" s="319"/>
      <c r="EA28" s="319"/>
      <c r="EB28" s="319"/>
      <c r="EC28" s="319"/>
      <c r="ED28" s="319"/>
      <c r="EE28" s="319"/>
      <c r="EF28" s="319"/>
      <c r="EG28" s="319"/>
      <c r="EH28" s="319"/>
      <c r="EI28" s="319"/>
      <c r="EJ28" s="319"/>
      <c r="EK28" s="245"/>
      <c r="EL28" s="466"/>
      <c r="EM28" s="319"/>
      <c r="EN28" s="319"/>
      <c r="EO28" s="319">
        <f>0.13</f>
        <v>0.13</v>
      </c>
      <c r="EP28" s="319">
        <v>8.6999999999999994E-2</v>
      </c>
      <c r="EQ28" s="319"/>
      <c r="ER28" s="319"/>
      <c r="ES28" s="319"/>
      <c r="ET28" s="319"/>
      <c r="EU28" s="319"/>
      <c r="EV28" s="319"/>
      <c r="EW28" s="319"/>
      <c r="EX28" s="319"/>
      <c r="EY28" s="319"/>
      <c r="EZ28" s="319"/>
      <c r="FA28" s="319"/>
      <c r="FB28" s="319"/>
      <c r="FC28" s="319"/>
      <c r="FD28" s="319"/>
      <c r="FE28" s="319"/>
      <c r="FF28" s="319">
        <f>0.191*2</f>
        <v>0.38200000000000001</v>
      </c>
      <c r="FG28" s="319">
        <f>0.191*2</f>
        <v>0.38200000000000001</v>
      </c>
      <c r="FH28" s="319"/>
      <c r="FI28" s="158">
        <f t="shared" si="13"/>
        <v>99.053000000000011</v>
      </c>
      <c r="FJ28" s="95"/>
      <c r="FK28" s="374"/>
      <c r="FL28" s="319"/>
      <c r="FM28" s="319"/>
      <c r="FN28" s="319"/>
      <c r="FO28" s="319"/>
      <c r="FP28" s="319"/>
      <c r="FQ28" s="319"/>
      <c r="FR28" s="319"/>
      <c r="FS28" s="319"/>
      <c r="FT28" s="319"/>
      <c r="FU28" s="319"/>
      <c r="FV28" s="319"/>
      <c r="FW28" s="319"/>
      <c r="FX28" s="319"/>
      <c r="FY28" s="28"/>
      <c r="FZ28" s="270"/>
      <c r="GA28" s="271"/>
      <c r="GB28" s="177"/>
      <c r="GC28" s="177"/>
      <c r="GD28" s="177"/>
      <c r="GE28" s="802"/>
      <c r="GF28" s="435"/>
      <c r="GG28" s="327">
        <f t="shared" si="14"/>
        <v>0</v>
      </c>
      <c r="GH28" s="445">
        <f t="shared" si="15"/>
        <v>259.90999999999997</v>
      </c>
      <c r="GI28" s="605">
        <f t="shared" si="16"/>
        <v>259.90999999999997</v>
      </c>
      <c r="GJ28" s="627">
        <f t="shared" si="17"/>
        <v>95.242999999999995</v>
      </c>
      <c r="GK28" s="239">
        <f t="shared" si="18"/>
        <v>8.67</v>
      </c>
      <c r="GL28" s="36" t="str">
        <f t="shared" si="19"/>
        <v>сульфат железа</v>
      </c>
      <c r="GM28" s="664"/>
      <c r="GN28" s="22"/>
      <c r="GO28" s="22"/>
    </row>
    <row r="29" spans="1:197" x14ac:dyDescent="0.3">
      <c r="A29" s="127">
        <f t="shared" si="20"/>
        <v>18</v>
      </c>
      <c r="B29" s="278" t="s">
        <v>9</v>
      </c>
      <c r="C29" s="565">
        <f>'3_квартал'!G29</f>
        <v>178.477</v>
      </c>
      <c r="D29" s="346">
        <v>266.07</v>
      </c>
      <c r="E29" s="241">
        <v>84.28</v>
      </c>
      <c r="F29" s="889">
        <f>71.702+127.488</f>
        <v>199.19</v>
      </c>
      <c r="G29" s="299">
        <f t="shared" si="9"/>
        <v>183.18</v>
      </c>
      <c r="H29" s="93">
        <f>71.702+1000</f>
        <v>1071.702</v>
      </c>
      <c r="I29" s="93">
        <v>872.51199999999994</v>
      </c>
      <c r="J29" s="94"/>
      <c r="K29" s="319"/>
      <c r="L29" s="319">
        <f>0.968*5</f>
        <v>4.84</v>
      </c>
      <c r="M29" s="319">
        <f>2.016*2</f>
        <v>4.032</v>
      </c>
      <c r="N29" s="319"/>
      <c r="O29" s="319">
        <f>4.435*3</f>
        <v>13.305</v>
      </c>
      <c r="P29" s="319">
        <f>0.968*2</f>
        <v>1.9359999999999999</v>
      </c>
      <c r="Q29" s="319"/>
      <c r="R29" s="319">
        <f>4.435*3</f>
        <v>13.305</v>
      </c>
      <c r="S29" s="319"/>
      <c r="T29" s="319">
        <f>6.653*1.5</f>
        <v>9.9794999999999998</v>
      </c>
      <c r="U29" s="319">
        <f>2.55*0.25</f>
        <v>0.63749999999999996</v>
      </c>
      <c r="V29" s="319"/>
      <c r="W29" s="319">
        <f>1.411*3</f>
        <v>4.2330000000000005</v>
      </c>
      <c r="X29" s="319"/>
      <c r="Y29" s="319"/>
      <c r="Z29" s="319">
        <f>1.21*3</f>
        <v>3.63</v>
      </c>
      <c r="AA29" s="319">
        <f>112.896/20*1.7</f>
        <v>9.5961599999999994</v>
      </c>
      <c r="AB29" s="319">
        <f>0.188*0.5</f>
        <v>9.4E-2</v>
      </c>
      <c r="AC29" s="319">
        <f>112.896/20*9</f>
        <v>50.803200000000004</v>
      </c>
      <c r="AD29" s="319">
        <f>112.896/20*9.3</f>
        <v>52.496640000000006</v>
      </c>
      <c r="AE29" s="319">
        <f>0.202</f>
        <v>0.20200000000000001</v>
      </c>
      <c r="AF29" s="319">
        <f>4.435*3</f>
        <v>13.305</v>
      </c>
      <c r="AG29" s="319">
        <f>0.036/0.3*0.4</f>
        <v>4.8000000000000001E-2</v>
      </c>
      <c r="AH29" s="319"/>
      <c r="AI29" s="319">
        <v>1.21</v>
      </c>
      <c r="AJ29" s="319"/>
      <c r="AK29" s="319"/>
      <c r="AL29" s="319"/>
      <c r="AM29" s="319">
        <v>0.113</v>
      </c>
      <c r="AN29" s="319">
        <v>4.3550000000000004</v>
      </c>
      <c r="AO29" s="319"/>
      <c r="AP29" s="319"/>
      <c r="AQ29" s="319">
        <f>6.653*1.5</f>
        <v>9.9794999999999998</v>
      </c>
      <c r="AR29" s="319">
        <f>4.435*6</f>
        <v>26.61</v>
      </c>
      <c r="AS29" s="319">
        <f>4.435*3</f>
        <v>13.305</v>
      </c>
      <c r="AT29" s="319">
        <f>29.736/10*6</f>
        <v>17.8416</v>
      </c>
      <c r="AU29" s="319"/>
      <c r="AV29" s="319"/>
      <c r="AW29" s="319"/>
      <c r="AX29" s="319"/>
      <c r="AY29" s="319"/>
      <c r="AZ29" s="319">
        <v>3.427</v>
      </c>
      <c r="BA29" s="319"/>
      <c r="BB29" s="319"/>
      <c r="BC29" s="319">
        <f>0.968*4</f>
        <v>3.8719999999999999</v>
      </c>
      <c r="BD29" s="319"/>
      <c r="BE29" s="319"/>
      <c r="BF29" s="319">
        <f>0.968*3</f>
        <v>2.9039999999999999</v>
      </c>
      <c r="BG29" s="158">
        <f t="shared" si="11"/>
        <v>266.06010000000003</v>
      </c>
      <c r="BH29" s="94"/>
      <c r="BI29" s="833">
        <v>7.2999999999999995E-2</v>
      </c>
      <c r="BJ29" s="319"/>
      <c r="BK29" s="319"/>
      <c r="BL29" s="319"/>
      <c r="BM29" s="319"/>
      <c r="BN29" s="319"/>
      <c r="BO29" s="319">
        <f>1.21*1.5</f>
        <v>1.8149999999999999</v>
      </c>
      <c r="BP29" s="319"/>
      <c r="BQ29" s="319">
        <f>0.113/0.6</f>
        <v>0.18833333333333335</v>
      </c>
      <c r="BR29" s="319">
        <v>0.96799999999999997</v>
      </c>
      <c r="BS29" s="319">
        <v>13.305999999999999</v>
      </c>
      <c r="BT29" s="319"/>
      <c r="BU29" s="319">
        <f>1.21*1.5</f>
        <v>1.8149999999999999</v>
      </c>
      <c r="BV29" s="319">
        <f>13.306/3*2</f>
        <v>8.8706666666666667</v>
      </c>
      <c r="BW29" s="319">
        <f>3.427/0.5</f>
        <v>6.8540000000000001</v>
      </c>
      <c r="BX29" s="319"/>
      <c r="BY29" s="319"/>
      <c r="BZ29" s="319"/>
      <c r="CA29" s="319">
        <v>10.08</v>
      </c>
      <c r="CB29" s="319"/>
      <c r="CC29" s="319"/>
      <c r="CD29" s="319"/>
      <c r="CE29" s="319"/>
      <c r="CF29" s="319">
        <f>1.21*0.5</f>
        <v>0.60499999999999998</v>
      </c>
      <c r="CG29" s="319">
        <f>13.306/3*2.4</f>
        <v>10.6448</v>
      </c>
      <c r="CH29" s="319">
        <f>1.21</f>
        <v>1.21</v>
      </c>
      <c r="CI29" s="319">
        <v>10.644</v>
      </c>
      <c r="CJ29" s="319">
        <v>11.894</v>
      </c>
      <c r="CK29" s="319"/>
      <c r="CL29" s="319"/>
      <c r="CM29" s="319">
        <v>1.8140000000000001</v>
      </c>
      <c r="CN29" s="319">
        <f>1.411*2.5</f>
        <v>3.5274999999999999</v>
      </c>
      <c r="CO29" s="319"/>
      <c r="CP29" s="319"/>
      <c r="CQ29" s="365"/>
      <c r="CR29" s="419">
        <f t="shared" si="12"/>
        <v>84.309300000000007</v>
      </c>
      <c r="CS29" s="57"/>
      <c r="CT29" s="319"/>
      <c r="CU29" s="319"/>
      <c r="CV29" s="319">
        <v>4.8000000000000001E-2</v>
      </c>
      <c r="CW29" s="319"/>
      <c r="CX29" s="319"/>
      <c r="CY29" s="319"/>
      <c r="CZ29" s="319">
        <f>0.968*3.8</f>
        <v>3.6783999999999999</v>
      </c>
      <c r="DA29" s="319">
        <f>90.72/15*3.7</f>
        <v>22.377600000000001</v>
      </c>
      <c r="DB29" s="319">
        <f>90.72/15*5.5</f>
        <v>33.264000000000003</v>
      </c>
      <c r="DC29" s="319"/>
      <c r="DD29" s="319"/>
      <c r="DE29" s="319"/>
      <c r="DF29" s="319"/>
      <c r="DG29" s="319"/>
      <c r="DH29" s="319"/>
      <c r="DI29" s="319">
        <f>0.968*7</f>
        <v>6.7759999999999998</v>
      </c>
      <c r="DJ29" s="319"/>
      <c r="DK29" s="319"/>
      <c r="DL29" s="319"/>
      <c r="DM29" s="319"/>
      <c r="DN29" s="319">
        <v>0.20200000000000001</v>
      </c>
      <c r="DO29" s="319">
        <v>1.21</v>
      </c>
      <c r="DP29" s="319">
        <f>26.611/6*3</f>
        <v>13.305499999999999</v>
      </c>
      <c r="DQ29" s="319">
        <f>90.72/15*5.8</f>
        <v>35.078400000000002</v>
      </c>
      <c r="DR29" s="319"/>
      <c r="DS29" s="319">
        <v>9.7000000000000003E-2</v>
      </c>
      <c r="DT29" s="245"/>
      <c r="DU29" s="271"/>
      <c r="DV29" s="177"/>
      <c r="DW29" s="177">
        <f>2.016*4</f>
        <v>8.0640000000000001</v>
      </c>
      <c r="DX29" s="319">
        <f>4.032/2*3</f>
        <v>6.048</v>
      </c>
      <c r="DY29" s="319"/>
      <c r="DZ29" s="319">
        <f>1.411*2.6</f>
        <v>3.6686000000000001</v>
      </c>
      <c r="EA29" s="319"/>
      <c r="EB29" s="319"/>
      <c r="EC29" s="319">
        <v>9.9789999999999992</v>
      </c>
      <c r="ED29" s="319">
        <v>1.1479999999999999</v>
      </c>
      <c r="EE29" s="319"/>
      <c r="EF29" s="319"/>
      <c r="EG29" s="319">
        <f>4.435*4</f>
        <v>17.739999999999998</v>
      </c>
      <c r="EH29" s="319">
        <f>0.968*4</f>
        <v>3.8719999999999999</v>
      </c>
      <c r="EI29" s="319">
        <f>1.21*2</f>
        <v>2.42</v>
      </c>
      <c r="EJ29" s="319"/>
      <c r="EK29" s="245"/>
      <c r="EL29" s="466"/>
      <c r="EM29" s="319">
        <f>0.968*4.2</f>
        <v>4.0655999999999999</v>
      </c>
      <c r="EN29" s="319">
        <f>0.968*2</f>
        <v>1.9359999999999999</v>
      </c>
      <c r="EO29" s="319">
        <f>0.113</f>
        <v>0.113</v>
      </c>
      <c r="EP29" s="319">
        <v>7.4999999999999997E-2</v>
      </c>
      <c r="EQ29" s="319">
        <f>2.55</f>
        <v>2.5499999999999998</v>
      </c>
      <c r="ER29" s="319">
        <v>0.96799999999999997</v>
      </c>
      <c r="ES29" s="319"/>
      <c r="ET29" s="319"/>
      <c r="EU29" s="319">
        <f>10.644/2.4</f>
        <v>4.4350000000000005</v>
      </c>
      <c r="EV29" s="319"/>
      <c r="EW29" s="319">
        <f>1.452/1.5</f>
        <v>0.96799999999999997</v>
      </c>
      <c r="EX29" s="319">
        <f>10.644/2.4*2</f>
        <v>8.870000000000001</v>
      </c>
      <c r="EY29" s="319">
        <v>1.21</v>
      </c>
      <c r="EZ29" s="319"/>
      <c r="FA29" s="319"/>
      <c r="FB29" s="319"/>
      <c r="FC29" s="319"/>
      <c r="FD29" s="319"/>
      <c r="FE29" s="319">
        <v>4.3550000000000004</v>
      </c>
      <c r="FF29" s="319">
        <f>0.166*2</f>
        <v>0.33200000000000002</v>
      </c>
      <c r="FG29" s="319">
        <f>0.166*2</f>
        <v>0.33200000000000002</v>
      </c>
      <c r="FH29" s="319"/>
      <c r="FI29" s="158">
        <f t="shared" si="13"/>
        <v>199.18609999999993</v>
      </c>
      <c r="FJ29" s="95"/>
      <c r="FK29" s="374"/>
      <c r="FL29" s="319"/>
      <c r="FM29" s="319"/>
      <c r="FN29" s="319"/>
      <c r="FO29" s="319"/>
      <c r="FP29" s="319"/>
      <c r="FQ29" s="319"/>
      <c r="FR29" s="319"/>
      <c r="FS29" s="319"/>
      <c r="FT29" s="319"/>
      <c r="FU29" s="319"/>
      <c r="FV29" s="319"/>
      <c r="FW29" s="319"/>
      <c r="FX29" s="319"/>
      <c r="FY29" s="28"/>
      <c r="FZ29" s="270"/>
      <c r="GA29" s="271"/>
      <c r="GB29" s="177"/>
      <c r="GC29" s="177"/>
      <c r="GD29" s="177"/>
      <c r="GE29" s="802"/>
      <c r="GF29" s="435"/>
      <c r="GG29" s="327">
        <f t="shared" si="14"/>
        <v>0</v>
      </c>
      <c r="GH29" s="445">
        <f t="shared" si="15"/>
        <v>872.51199999999994</v>
      </c>
      <c r="GI29" s="605">
        <f t="shared" si="16"/>
        <v>872.51199999999994</v>
      </c>
      <c r="GJ29" s="627">
        <f t="shared" si="17"/>
        <v>178.477</v>
      </c>
      <c r="GK29" s="239">
        <f t="shared" si="18"/>
        <v>84.28</v>
      </c>
      <c r="GL29" s="36" t="str">
        <f t="shared" si="19"/>
        <v>медный купорос</v>
      </c>
      <c r="GM29" s="664"/>
      <c r="GN29" s="22"/>
      <c r="GO29" s="22"/>
    </row>
    <row r="30" spans="1:197" x14ac:dyDescent="0.3">
      <c r="A30" s="127">
        <f t="shared" si="20"/>
        <v>19</v>
      </c>
      <c r="B30" s="279" t="s">
        <v>48</v>
      </c>
      <c r="C30" s="565">
        <f>'3_квартал'!G30</f>
        <v>901.45299999999997</v>
      </c>
      <c r="D30" s="346">
        <v>1278.49</v>
      </c>
      <c r="E30" s="241">
        <f>411.15+65.44</f>
        <v>476.59</v>
      </c>
      <c r="F30" s="889">
        <f>5.47+849.07</f>
        <v>854.54000000000008</v>
      </c>
      <c r="G30" s="299">
        <f t="shared" si="9"/>
        <v>869.87300000000005</v>
      </c>
      <c r="H30" s="93">
        <f>5.47+1934.56</f>
        <v>1940.03</v>
      </c>
      <c r="I30" s="93">
        <v>1085.49</v>
      </c>
      <c r="J30" s="94"/>
      <c r="K30" s="319"/>
      <c r="L30" s="319">
        <f>2.997*5</f>
        <v>14.984999999999999</v>
      </c>
      <c r="M30" s="319">
        <f>6.811*2</f>
        <v>13.622</v>
      </c>
      <c r="N30" s="319"/>
      <c r="O30" s="319">
        <f>19.07*3</f>
        <v>57.21</v>
      </c>
      <c r="P30" s="319">
        <f>2.997*2</f>
        <v>5.9939999999999998</v>
      </c>
      <c r="Q30" s="319"/>
      <c r="R30" s="319">
        <f>19.07*3</f>
        <v>57.21</v>
      </c>
      <c r="S30" s="319"/>
      <c r="T30" s="319">
        <f>28.605*1.5</f>
        <v>42.907499999999999</v>
      </c>
      <c r="U30" s="319">
        <f>2.942*0.25</f>
        <v>0.73550000000000004</v>
      </c>
      <c r="V30" s="319"/>
      <c r="W30" s="319">
        <f>3.405*3</f>
        <v>10.215</v>
      </c>
      <c r="X30" s="319"/>
      <c r="Y30" s="319"/>
      <c r="Z30" s="319">
        <f>1.308*3</f>
        <v>3.9240000000000004</v>
      </c>
      <c r="AA30" s="319">
        <f>653.838/20*1.7</f>
        <v>55.576229999999995</v>
      </c>
      <c r="AB30" s="319">
        <f>1.09*0.5</f>
        <v>0.54500000000000004</v>
      </c>
      <c r="AC30" s="319">
        <f>653.838/20*9</f>
        <v>294.22709999999995</v>
      </c>
      <c r="AD30" s="319">
        <f>653.838/20*9.3</f>
        <v>304.03467000000001</v>
      </c>
      <c r="AE30" s="319">
        <f>0.681</f>
        <v>0.68100000000000005</v>
      </c>
      <c r="AF30" s="319">
        <f>19.07*3</f>
        <v>57.21</v>
      </c>
      <c r="AG30" s="319">
        <f>0.572/0.3*0.4</f>
        <v>0.7626666666666666</v>
      </c>
      <c r="AH30" s="319"/>
      <c r="AI30" s="319">
        <v>2.8610000000000002</v>
      </c>
      <c r="AJ30" s="319"/>
      <c r="AK30" s="319"/>
      <c r="AL30" s="319"/>
      <c r="AM30" s="319">
        <v>0.65400000000000003</v>
      </c>
      <c r="AN30" s="319">
        <v>5.8849999999999998</v>
      </c>
      <c r="AO30" s="319"/>
      <c r="AP30" s="319"/>
      <c r="AQ30" s="319">
        <f>28.605*1.5</f>
        <v>42.907499999999999</v>
      </c>
      <c r="AR30" s="319">
        <f>19.07*6</f>
        <v>114.42</v>
      </c>
      <c r="AS30" s="319">
        <f>19.07*3</f>
        <v>57.21</v>
      </c>
      <c r="AT30" s="319">
        <f>168.034/10*6</f>
        <v>100.82040000000001</v>
      </c>
      <c r="AU30" s="319"/>
      <c r="AV30" s="319"/>
      <c r="AW30" s="319"/>
      <c r="AX30" s="319"/>
      <c r="AY30" s="319"/>
      <c r="AZ30" s="319">
        <v>12.941000000000001</v>
      </c>
      <c r="BA30" s="319"/>
      <c r="BB30" s="319"/>
      <c r="BC30" s="319">
        <f>2.997*4</f>
        <v>11.988</v>
      </c>
      <c r="BD30" s="319"/>
      <c r="BE30" s="319"/>
      <c r="BF30" s="319">
        <f>2.997*3</f>
        <v>8.9909999999999997</v>
      </c>
      <c r="BG30" s="158">
        <f t="shared" si="11"/>
        <v>1278.5175666666669</v>
      </c>
      <c r="BH30" s="94"/>
      <c r="BI30" s="833">
        <v>1.1439999999999999</v>
      </c>
      <c r="BJ30" s="319"/>
      <c r="BK30" s="319"/>
      <c r="BL30" s="319"/>
      <c r="BM30" s="319">
        <f>10.897*5</f>
        <v>54.484999999999999</v>
      </c>
      <c r="BN30" s="319"/>
      <c r="BO30" s="319">
        <f>1.308*1.5</f>
        <v>1.9620000000000002</v>
      </c>
      <c r="BP30" s="319"/>
      <c r="BQ30" s="319">
        <f>0.654/0.6</f>
        <v>1.0900000000000001</v>
      </c>
      <c r="BR30" s="319">
        <v>2.9969999999999999</v>
      </c>
      <c r="BS30" s="319">
        <v>57.210999999999999</v>
      </c>
      <c r="BT30" s="319"/>
      <c r="BU30" s="319">
        <f>1.308*1.5</f>
        <v>1.9620000000000002</v>
      </c>
      <c r="BV30" s="319">
        <f>57.211/3*2</f>
        <v>38.140666666666668</v>
      </c>
      <c r="BW30" s="319">
        <f>12.941/0.5</f>
        <v>25.882000000000001</v>
      </c>
      <c r="BX30" s="319"/>
      <c r="BY30" s="319"/>
      <c r="BZ30" s="319"/>
      <c r="CA30" s="319">
        <v>10.215999999999999</v>
      </c>
      <c r="CB30" s="319">
        <f>10.897*5</f>
        <v>54.484999999999999</v>
      </c>
      <c r="CC30" s="319"/>
      <c r="CD30" s="319"/>
      <c r="CE30" s="319">
        <f>10.897*5</f>
        <v>54.484999999999999</v>
      </c>
      <c r="CF30" s="319">
        <f>2.861*0.5</f>
        <v>1.4305000000000001</v>
      </c>
      <c r="CG30" s="319">
        <f>57.211/3*2.4</f>
        <v>45.768799999999999</v>
      </c>
      <c r="CH30" s="319">
        <f>1.308</f>
        <v>1.3080000000000001</v>
      </c>
      <c r="CI30" s="319">
        <v>45.768999999999998</v>
      </c>
      <c r="CJ30" s="319">
        <v>65.444999999999993</v>
      </c>
      <c r="CK30" s="319"/>
      <c r="CL30" s="319"/>
      <c r="CM30" s="319">
        <v>4.2910000000000004</v>
      </c>
      <c r="CN30" s="319">
        <f>3.405*2.5</f>
        <v>8.5124999999999993</v>
      </c>
      <c r="CO30" s="319"/>
      <c r="CP30" s="319"/>
      <c r="CQ30" s="365"/>
      <c r="CR30" s="419">
        <f t="shared" si="12"/>
        <v>476.58446666666669</v>
      </c>
      <c r="CS30" s="57"/>
      <c r="CT30" s="319">
        <f>(5.47+100.78)/10*8</f>
        <v>85</v>
      </c>
      <c r="CU30" s="319">
        <f>(5.47+100.78)/10*2</f>
        <v>21.25</v>
      </c>
      <c r="CV30" s="319">
        <v>0.74299999999999999</v>
      </c>
      <c r="CW30" s="319"/>
      <c r="CX30" s="319"/>
      <c r="CY30" s="319"/>
      <c r="CZ30" s="319">
        <f>2.918*3.8</f>
        <v>11.0884</v>
      </c>
      <c r="DA30" s="319">
        <f>372.032/15*3.7</f>
        <v>91.767893333333333</v>
      </c>
      <c r="DB30" s="319">
        <f>372.032/15*5.5</f>
        <v>136.41173333333333</v>
      </c>
      <c r="DC30" s="319"/>
      <c r="DD30" s="319"/>
      <c r="DE30" s="319"/>
      <c r="DF30" s="319"/>
      <c r="DG30" s="319"/>
      <c r="DH30" s="319"/>
      <c r="DI30" s="319">
        <f>2.918*7</f>
        <v>20.426000000000002</v>
      </c>
      <c r="DJ30" s="319">
        <f>2.631*0.6</f>
        <v>1.5785999999999998</v>
      </c>
      <c r="DK30" s="319"/>
      <c r="DL30" s="319"/>
      <c r="DM30" s="319"/>
      <c r="DN30" s="319">
        <v>0.66300000000000003</v>
      </c>
      <c r="DO30" s="319">
        <v>1.2729999999999999</v>
      </c>
      <c r="DP30" s="319">
        <f>111.411/6*3</f>
        <v>55.705500000000001</v>
      </c>
      <c r="DQ30" s="319">
        <f>372.032/15*5.8</f>
        <v>143.85237333333333</v>
      </c>
      <c r="DR30" s="319"/>
      <c r="DS30" s="319">
        <v>0.159</v>
      </c>
      <c r="DT30" s="245"/>
      <c r="DU30" s="271"/>
      <c r="DV30" s="177"/>
      <c r="DW30" s="177">
        <f>6.632*4</f>
        <v>26.527999999999999</v>
      </c>
      <c r="DX30" s="319">
        <f>13.263/2*3</f>
        <v>19.894500000000001</v>
      </c>
      <c r="DY30" s="319"/>
      <c r="DZ30" s="319">
        <f>3.316*2.6</f>
        <v>8.621599999999999</v>
      </c>
      <c r="EA30" s="319"/>
      <c r="EB30" s="319"/>
      <c r="EC30" s="319">
        <v>41.779000000000003</v>
      </c>
      <c r="ED30" s="319">
        <v>1.2889999999999999</v>
      </c>
      <c r="EE30" s="319"/>
      <c r="EF30" s="319"/>
      <c r="EG30" s="319">
        <f>18.568*4</f>
        <v>74.272000000000006</v>
      </c>
      <c r="EH30" s="319">
        <f>2.918*4</f>
        <v>11.672000000000001</v>
      </c>
      <c r="EI30" s="319">
        <f>1.273*2</f>
        <v>2.5459999999999998</v>
      </c>
      <c r="EJ30" s="319"/>
      <c r="EK30" s="245"/>
      <c r="EL30" s="466"/>
      <c r="EM30" s="319">
        <f>2.918*4.2</f>
        <v>12.255600000000001</v>
      </c>
      <c r="EN30" s="319">
        <f>2.918*2</f>
        <v>5.8360000000000003</v>
      </c>
      <c r="EO30" s="319">
        <f>0.637</f>
        <v>0.63700000000000001</v>
      </c>
      <c r="EP30" s="319">
        <v>0.42399999999999999</v>
      </c>
      <c r="EQ30" s="319">
        <f>2.865</f>
        <v>2.8650000000000002</v>
      </c>
      <c r="ER30" s="319">
        <v>2.9180000000000001</v>
      </c>
      <c r="ES30" s="319"/>
      <c r="ET30" s="319"/>
      <c r="EU30" s="319">
        <f>44.564/2.4</f>
        <v>18.568333333333335</v>
      </c>
      <c r="EV30" s="319">
        <f>1.857*2</f>
        <v>3.714</v>
      </c>
      <c r="EW30" s="319">
        <f>4.377/1.5</f>
        <v>2.9179999999999997</v>
      </c>
      <c r="EX30" s="319">
        <f>44.564/2.4*2</f>
        <v>37.13666666666667</v>
      </c>
      <c r="EY30" s="319">
        <v>1.2729999999999999</v>
      </c>
      <c r="EZ30" s="319"/>
      <c r="FA30" s="319"/>
      <c r="FB30" s="319"/>
      <c r="FC30" s="319"/>
      <c r="FD30" s="319"/>
      <c r="FE30" s="319">
        <v>5.73</v>
      </c>
      <c r="FF30" s="319">
        <f>0.936*2</f>
        <v>1.8720000000000001</v>
      </c>
      <c r="FG30" s="319">
        <f>0.936*2</f>
        <v>1.8720000000000001</v>
      </c>
      <c r="FH30" s="319"/>
      <c r="FI30" s="158">
        <f t="shared" si="13"/>
        <v>854.54020000000014</v>
      </c>
      <c r="FJ30" s="95"/>
      <c r="FK30" s="374"/>
      <c r="FL30" s="319"/>
      <c r="FM30" s="319"/>
      <c r="FN30" s="319"/>
      <c r="FO30" s="319"/>
      <c r="FP30" s="319"/>
      <c r="FQ30" s="319"/>
      <c r="FR30" s="319"/>
      <c r="FS30" s="319"/>
      <c r="FT30" s="319"/>
      <c r="FU30" s="319"/>
      <c r="FV30" s="319"/>
      <c r="FW30" s="319"/>
      <c r="FX30" s="319"/>
      <c r="FY30" s="28"/>
      <c r="FZ30" s="270"/>
      <c r="GA30" s="271"/>
      <c r="GB30" s="177"/>
      <c r="GC30" s="177"/>
      <c r="GD30" s="177"/>
      <c r="GE30" s="802"/>
      <c r="GF30" s="435"/>
      <c r="GG30" s="327">
        <f t="shared" si="14"/>
        <v>0</v>
      </c>
      <c r="GH30" s="445">
        <f t="shared" si="15"/>
        <v>1085.49</v>
      </c>
      <c r="GI30" s="605">
        <f t="shared" si="16"/>
        <v>1085.49</v>
      </c>
      <c r="GJ30" s="627">
        <f t="shared" si="17"/>
        <v>901.45299999999997</v>
      </c>
      <c r="GK30" s="239">
        <f t="shared" si="18"/>
        <v>476.59</v>
      </c>
      <c r="GL30" s="36" t="str">
        <f t="shared" si="19"/>
        <v>цинковый купорос+ сульфат цинка</v>
      </c>
      <c r="GM30" s="664"/>
      <c r="GN30" s="22"/>
      <c r="GO30" s="22"/>
    </row>
    <row r="31" spans="1:197" x14ac:dyDescent="0.3">
      <c r="A31" s="127">
        <f t="shared" si="20"/>
        <v>20</v>
      </c>
      <c r="B31" s="278" t="s">
        <v>13</v>
      </c>
      <c r="C31" s="565">
        <f>'3_квартал'!G31</f>
        <v>410.673</v>
      </c>
      <c r="D31" s="346">
        <v>558.73</v>
      </c>
      <c r="E31" s="241">
        <v>372.93</v>
      </c>
      <c r="F31" s="889">
        <f>479.34+154.75</f>
        <v>634.08999999999992</v>
      </c>
      <c r="G31" s="299">
        <f t="shared" si="9"/>
        <v>521.91700000000003</v>
      </c>
      <c r="H31" s="93">
        <v>479.34</v>
      </c>
      <c r="I31" s="93">
        <v>845.25</v>
      </c>
      <c r="J31" s="94"/>
      <c r="K31" s="319"/>
      <c r="L31" s="319">
        <f>1.89*5</f>
        <v>9.4499999999999993</v>
      </c>
      <c r="M31" s="319">
        <f>12.6*2</f>
        <v>25.2</v>
      </c>
      <c r="N31" s="319"/>
      <c r="O31" s="319">
        <f>11.813*3</f>
        <v>35.439</v>
      </c>
      <c r="P31" s="319">
        <f>1.89*2</f>
        <v>3.78</v>
      </c>
      <c r="Q31" s="319"/>
      <c r="R31" s="319">
        <f>11.813*3</f>
        <v>35.439</v>
      </c>
      <c r="S31" s="319"/>
      <c r="T31" s="319">
        <f>17.719*1.5</f>
        <v>26.578500000000002</v>
      </c>
      <c r="U31" s="319">
        <f>4.142*0.25</f>
        <v>1.0355000000000001</v>
      </c>
      <c r="V31" s="319"/>
      <c r="W31" s="319">
        <f>3.938*3</f>
        <v>11.814</v>
      </c>
      <c r="X31" s="319"/>
      <c r="Y31" s="319"/>
      <c r="Z31" s="319">
        <f>1.796*3</f>
        <v>5.3879999999999999</v>
      </c>
      <c r="AA31" s="319">
        <f>126/20*1.7</f>
        <v>10.709999999999999</v>
      </c>
      <c r="AB31" s="319">
        <f>0.104*0.5</f>
        <v>5.1999999999999998E-2</v>
      </c>
      <c r="AC31" s="319">
        <f>126/20*9</f>
        <v>56.699999999999996</v>
      </c>
      <c r="AD31" s="319">
        <f>126/20*9.3</f>
        <v>58.59</v>
      </c>
      <c r="AE31" s="319">
        <f>1.26</f>
        <v>1.26</v>
      </c>
      <c r="AF31" s="319">
        <f>11.813*3</f>
        <v>35.439</v>
      </c>
      <c r="AG31" s="319">
        <f>0.472/0.3*0.4</f>
        <v>0.6293333333333333</v>
      </c>
      <c r="AH31" s="319"/>
      <c r="AI31" s="319">
        <v>2.5990000000000002</v>
      </c>
      <c r="AJ31" s="319"/>
      <c r="AK31" s="319"/>
      <c r="AL31" s="319"/>
      <c r="AM31" s="319">
        <v>6.2E-2</v>
      </c>
      <c r="AN31" s="319">
        <v>3.4020000000000001</v>
      </c>
      <c r="AO31" s="319"/>
      <c r="AP31" s="319"/>
      <c r="AQ31" s="319">
        <f>17.719*1.5</f>
        <v>26.578500000000002</v>
      </c>
      <c r="AR31" s="319">
        <f>11.813*6</f>
        <v>70.878</v>
      </c>
      <c r="AS31" s="319">
        <f>11.813*3</f>
        <v>35.439</v>
      </c>
      <c r="AT31" s="319">
        <f>143.136/10*6</f>
        <v>85.881599999999992</v>
      </c>
      <c r="AU31" s="319"/>
      <c r="AV31" s="319"/>
      <c r="AW31" s="319"/>
      <c r="AX31" s="319"/>
      <c r="AY31" s="319"/>
      <c r="AZ31" s="319">
        <v>3.15</v>
      </c>
      <c r="BA31" s="319"/>
      <c r="BB31" s="319"/>
      <c r="BC31" s="319">
        <f>1.89*4</f>
        <v>7.56</v>
      </c>
      <c r="BD31" s="319"/>
      <c r="BE31" s="319"/>
      <c r="BF31" s="319">
        <f>1.89*3</f>
        <v>5.67</v>
      </c>
      <c r="BG31" s="158">
        <f t="shared" si="11"/>
        <v>558.7244333333332</v>
      </c>
      <c r="BH31" s="94"/>
      <c r="BI31" s="833">
        <v>0.94499999999999995</v>
      </c>
      <c r="BJ31" s="319"/>
      <c r="BK31" s="319"/>
      <c r="BL31" s="319"/>
      <c r="BM31" s="319">
        <f>10.71*5</f>
        <v>53.550000000000004</v>
      </c>
      <c r="BN31" s="319"/>
      <c r="BO31" s="319">
        <f>1.796*1.5</f>
        <v>2.694</v>
      </c>
      <c r="BP31" s="319"/>
      <c r="BQ31" s="319">
        <f>0.009/0.6</f>
        <v>1.4999999999999999E-2</v>
      </c>
      <c r="BR31" s="319">
        <v>1.89</v>
      </c>
      <c r="BS31" s="319">
        <v>35.438000000000002</v>
      </c>
      <c r="BT31" s="319"/>
      <c r="BU31" s="319">
        <f>1.796*1.5</f>
        <v>2.694</v>
      </c>
      <c r="BV31" s="319">
        <f>35.438/3*2</f>
        <v>23.625333333333334</v>
      </c>
      <c r="BW31" s="319">
        <f>3.15/0.5</f>
        <v>6.3</v>
      </c>
      <c r="BX31" s="319"/>
      <c r="BY31" s="319"/>
      <c r="BZ31" s="319"/>
      <c r="CA31" s="319">
        <v>7.875</v>
      </c>
      <c r="CB31" s="319">
        <f>10.71*5</f>
        <v>53.550000000000004</v>
      </c>
      <c r="CC31" s="319"/>
      <c r="CD31" s="319"/>
      <c r="CE31" s="319">
        <f>10.71*5</f>
        <v>53.550000000000004</v>
      </c>
      <c r="CF31" s="319">
        <f>2.599*0.5</f>
        <v>1.2995000000000001</v>
      </c>
      <c r="CG31" s="319">
        <f>35.438/3*2.4</f>
        <v>28.3504</v>
      </c>
      <c r="CH31" s="319">
        <f>1.796</f>
        <v>1.796</v>
      </c>
      <c r="CI31" s="319">
        <v>28.35</v>
      </c>
      <c r="CJ31" s="319">
        <v>57.253999999999998</v>
      </c>
      <c r="CK31" s="319"/>
      <c r="CL31" s="319"/>
      <c r="CM31" s="319">
        <v>3.8980000000000001</v>
      </c>
      <c r="CN31" s="319">
        <f>3.938*2.5</f>
        <v>9.8450000000000006</v>
      </c>
      <c r="CO31" s="319"/>
      <c r="CP31" s="319"/>
      <c r="CQ31" s="365"/>
      <c r="CR31" s="419">
        <f t="shared" si="12"/>
        <v>372.91923333333347</v>
      </c>
      <c r="CS31" s="57"/>
      <c r="CT31" s="319">
        <f>107.1/10*8</f>
        <v>85.679999999999993</v>
      </c>
      <c r="CU31" s="319">
        <f>107.1/10*2</f>
        <v>21.419999999999998</v>
      </c>
      <c r="CV31" s="319">
        <v>0.63</v>
      </c>
      <c r="CW31" s="319"/>
      <c r="CX31" s="319"/>
      <c r="CY31" s="319"/>
      <c r="CZ31" s="319">
        <f>1.89*3.8</f>
        <v>7.1819999999999995</v>
      </c>
      <c r="DA31" s="319">
        <f>219.713/15*3.7</f>
        <v>54.195873333333338</v>
      </c>
      <c r="DB31" s="319">
        <f>219.713/15*5.5</f>
        <v>80.561433333333341</v>
      </c>
      <c r="DC31" s="319"/>
      <c r="DD31" s="319"/>
      <c r="DE31" s="319"/>
      <c r="DF31" s="319"/>
      <c r="DG31" s="319"/>
      <c r="DH31" s="319"/>
      <c r="DI31" s="319">
        <f>1.89*7</f>
        <v>13.229999999999999</v>
      </c>
      <c r="DJ31" s="319"/>
      <c r="DK31" s="319"/>
      <c r="DL31" s="319"/>
      <c r="DM31" s="319"/>
      <c r="DN31" s="319">
        <v>1.26</v>
      </c>
      <c r="DO31" s="319">
        <v>1.796</v>
      </c>
      <c r="DP31" s="319">
        <f>70.875/6*3</f>
        <v>35.4375</v>
      </c>
      <c r="DQ31" s="319">
        <f>219.713/15*5.8</f>
        <v>84.955693333333329</v>
      </c>
      <c r="DR31" s="319"/>
      <c r="DS31" s="319">
        <v>0.189</v>
      </c>
      <c r="DT31" s="245"/>
      <c r="DU31" s="271"/>
      <c r="DV31" s="177"/>
      <c r="DW31" s="177">
        <f>12.6*4</f>
        <v>50.4</v>
      </c>
      <c r="DX31" s="319">
        <f>25.2/2*3</f>
        <v>37.799999999999997</v>
      </c>
      <c r="DY31" s="319"/>
      <c r="DZ31" s="319">
        <f>3.938*2.6</f>
        <v>10.238800000000001</v>
      </c>
      <c r="EA31" s="319"/>
      <c r="EB31" s="319"/>
      <c r="EC31" s="319">
        <v>26.577999999999999</v>
      </c>
      <c r="ED31" s="319">
        <v>1.8640000000000001</v>
      </c>
      <c r="EE31" s="319"/>
      <c r="EF31" s="319"/>
      <c r="EG31" s="319">
        <f>11.813*4</f>
        <v>47.252000000000002</v>
      </c>
      <c r="EH31" s="319">
        <f>1.89*4</f>
        <v>7.56</v>
      </c>
      <c r="EI31" s="319">
        <f>1.796*2</f>
        <v>3.5920000000000001</v>
      </c>
      <c r="EJ31" s="319"/>
      <c r="EK31" s="245"/>
      <c r="EL31" s="466"/>
      <c r="EM31" s="319">
        <f>1.89*4.2</f>
        <v>7.9379999999999997</v>
      </c>
      <c r="EN31" s="319">
        <f>1.89*2</f>
        <v>3.78</v>
      </c>
      <c r="EO31" s="319">
        <f>0.009</f>
        <v>8.9999999999999993E-3</v>
      </c>
      <c r="EP31" s="319">
        <v>4.2000000000000003E-2</v>
      </c>
      <c r="EQ31" s="319">
        <f>4.142</f>
        <v>4.1420000000000003</v>
      </c>
      <c r="ER31" s="319">
        <v>1.89</v>
      </c>
      <c r="ES31" s="319"/>
      <c r="ET31" s="319"/>
      <c r="EU31" s="319">
        <f>28.35/2.4</f>
        <v>11.812500000000002</v>
      </c>
      <c r="EV31" s="319">
        <f>0.787*2</f>
        <v>1.5740000000000001</v>
      </c>
      <c r="EW31" s="319">
        <f>2.835/1.5</f>
        <v>1.89</v>
      </c>
      <c r="EX31" s="319">
        <f>28.35/2.4*2</f>
        <v>23.625000000000004</v>
      </c>
      <c r="EY31" s="319">
        <v>1.796</v>
      </c>
      <c r="EZ31" s="319"/>
      <c r="FA31" s="319"/>
      <c r="FB31" s="319"/>
      <c r="FC31" s="319"/>
      <c r="FD31" s="319"/>
      <c r="FE31" s="319">
        <v>3.4020000000000001</v>
      </c>
      <c r="FF31" s="319">
        <f>0.097*2</f>
        <v>0.19400000000000001</v>
      </c>
      <c r="FG31" s="319">
        <f>0.092*2</f>
        <v>0.184</v>
      </c>
      <c r="FH31" s="319"/>
      <c r="FI31" s="158">
        <f t="shared" si="13"/>
        <v>634.10079999999994</v>
      </c>
      <c r="FJ31" s="95"/>
      <c r="FK31" s="374"/>
      <c r="FL31" s="319"/>
      <c r="FM31" s="319"/>
      <c r="FN31" s="319"/>
      <c r="FO31" s="319"/>
      <c r="FP31" s="319"/>
      <c r="FQ31" s="319"/>
      <c r="FR31" s="319"/>
      <c r="FS31" s="319"/>
      <c r="FT31" s="319"/>
      <c r="FU31" s="319"/>
      <c r="FV31" s="319"/>
      <c r="FW31" s="319"/>
      <c r="FX31" s="319"/>
      <c r="FY31" s="28"/>
      <c r="FZ31" s="270"/>
      <c r="GA31" s="271"/>
      <c r="GB31" s="177"/>
      <c r="GC31" s="177"/>
      <c r="GD31" s="177"/>
      <c r="GE31" s="802"/>
      <c r="GF31" s="435"/>
      <c r="GG31" s="327">
        <f t="shared" si="14"/>
        <v>0</v>
      </c>
      <c r="GH31" s="445">
        <f t="shared" si="15"/>
        <v>845.25</v>
      </c>
      <c r="GI31" s="605">
        <f t="shared" si="16"/>
        <v>845.25</v>
      </c>
      <c r="GJ31" s="627">
        <f t="shared" si="17"/>
        <v>410.673</v>
      </c>
      <c r="GK31" s="239">
        <f t="shared" si="18"/>
        <v>372.93</v>
      </c>
      <c r="GL31" s="36" t="str">
        <f t="shared" si="19"/>
        <v>сульфат марганца</v>
      </c>
      <c r="GM31" s="664"/>
      <c r="GN31" s="22"/>
      <c r="GO31" s="22"/>
    </row>
    <row r="32" spans="1:197" x14ac:dyDescent="0.3">
      <c r="A32" s="127">
        <f t="shared" si="20"/>
        <v>21</v>
      </c>
      <c r="B32" s="278" t="s">
        <v>7</v>
      </c>
      <c r="C32" s="565">
        <f>'3_квартал'!G32</f>
        <v>0</v>
      </c>
      <c r="D32" s="346">
        <v>2.11</v>
      </c>
      <c r="E32" s="241">
        <v>9.42</v>
      </c>
      <c r="F32" s="889">
        <f>17.59</f>
        <v>17.59</v>
      </c>
      <c r="G32" s="299">
        <f t="shared" si="9"/>
        <v>9.7070000000000007</v>
      </c>
      <c r="H32" s="93">
        <v>38.47</v>
      </c>
      <c r="I32" s="93">
        <v>20.88</v>
      </c>
      <c r="J32" s="94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>
        <f>1.096/5*3</f>
        <v>0.65759999999999996</v>
      </c>
      <c r="AY32" s="319">
        <f>1.096/5*2</f>
        <v>0.43840000000000001</v>
      </c>
      <c r="AZ32" s="319">
        <v>0.10199999999999999</v>
      </c>
      <c r="BA32" s="319">
        <v>3.6999999999999998E-2</v>
      </c>
      <c r="BB32" s="319">
        <v>8.2000000000000003E-2</v>
      </c>
      <c r="BC32" s="319">
        <f>0.044*4</f>
        <v>0.17599999999999999</v>
      </c>
      <c r="BD32" s="319">
        <f>0.053*4</f>
        <v>0.21199999999999999</v>
      </c>
      <c r="BE32" s="319">
        <f>0.139*2</f>
        <v>0.27800000000000002</v>
      </c>
      <c r="BF32" s="319">
        <f>0.044*3</f>
        <v>0.13200000000000001</v>
      </c>
      <c r="BG32" s="158">
        <f t="shared" si="11"/>
        <v>2.1150000000000002</v>
      </c>
      <c r="BH32" s="94"/>
      <c r="BI32" s="833">
        <v>6.0000000000000001E-3</v>
      </c>
      <c r="BJ32" s="319">
        <v>0.11</v>
      </c>
      <c r="BK32" s="319"/>
      <c r="BL32" s="319">
        <f>0.053*4</f>
        <v>0.21199999999999999</v>
      </c>
      <c r="BM32" s="319"/>
      <c r="BN32" s="319"/>
      <c r="BO32" s="319">
        <f>0.053*1.5</f>
        <v>7.9500000000000001E-2</v>
      </c>
      <c r="BP32" s="319">
        <v>0.17499999999999999</v>
      </c>
      <c r="BQ32" s="319"/>
      <c r="BR32" s="319"/>
      <c r="BS32" s="319">
        <v>0.65700000000000003</v>
      </c>
      <c r="BT32" s="319">
        <f>0.278/2*0.8</f>
        <v>0.11120000000000002</v>
      </c>
      <c r="BU32" s="319">
        <f>0.053*1.5</f>
        <v>7.9500000000000001E-2</v>
      </c>
      <c r="BV32" s="319">
        <f>0.657/3*2</f>
        <v>0.438</v>
      </c>
      <c r="BW32" s="319">
        <f>0.102/0.5</f>
        <v>0.20399999999999999</v>
      </c>
      <c r="BX32" s="319">
        <f>0.139*1.8</f>
        <v>0.25020000000000003</v>
      </c>
      <c r="BY32" s="319">
        <v>0.35099999999999998</v>
      </c>
      <c r="BZ32" s="319"/>
      <c r="CA32" s="319">
        <v>0.877</v>
      </c>
      <c r="CB32" s="319"/>
      <c r="CC32" s="319">
        <f>0.526/2.4*1.5</f>
        <v>0.32874999999999999</v>
      </c>
      <c r="CD32" s="319">
        <v>3.2000000000000001E-2</v>
      </c>
      <c r="CE32" s="319"/>
      <c r="CF32" s="319">
        <f>0.076*0.5</f>
        <v>3.7999999999999999E-2</v>
      </c>
      <c r="CG32" s="319">
        <f>0.657/3*2.4</f>
        <v>0.52559999999999996</v>
      </c>
      <c r="CH32" s="319">
        <f>0.053</f>
        <v>5.2999999999999999E-2</v>
      </c>
      <c r="CI32" s="319">
        <v>0.35099999999999998</v>
      </c>
      <c r="CJ32" s="319">
        <v>2.464</v>
      </c>
      <c r="CK32" s="319">
        <f>0.219*5.5</f>
        <v>1.2044999999999999</v>
      </c>
      <c r="CL32" s="319">
        <f>0.066/1.5*2.5</f>
        <v>0.11000000000000001</v>
      </c>
      <c r="CM32" s="319">
        <v>6.0999999999999999E-2</v>
      </c>
      <c r="CN32" s="319">
        <f>0.14*2.5</f>
        <v>0.35000000000000003</v>
      </c>
      <c r="CO32" s="319"/>
      <c r="CP32" s="319">
        <v>0.153</v>
      </c>
      <c r="CQ32" s="365">
        <f>0.139*1.5</f>
        <v>0.20850000000000002</v>
      </c>
      <c r="CR32" s="419">
        <f t="shared" si="12"/>
        <v>9.4297499999999985</v>
      </c>
      <c r="CS32" s="57"/>
      <c r="CT32" s="319"/>
      <c r="CU32" s="319"/>
      <c r="CV32" s="319">
        <v>4.0000000000000001E-3</v>
      </c>
      <c r="CW32" s="319"/>
      <c r="CX32" s="319">
        <f>0.053*5</f>
        <v>0.26500000000000001</v>
      </c>
      <c r="CY32" s="319">
        <f>0.139*2</f>
        <v>0.27800000000000002</v>
      </c>
      <c r="CZ32" s="319">
        <f>0.044*3.8</f>
        <v>0.16719999999999999</v>
      </c>
      <c r="DA32" s="319">
        <f>2.63/15*3.7</f>
        <v>0.64873333333333327</v>
      </c>
      <c r="DB32" s="319">
        <f>2.63/15*5.5</f>
        <v>0.96433333333333326</v>
      </c>
      <c r="DC32" s="319">
        <v>0.65700000000000003</v>
      </c>
      <c r="DD32" s="319">
        <v>0.35099999999999998</v>
      </c>
      <c r="DE32" s="319"/>
      <c r="DF32" s="319"/>
      <c r="DG32" s="319">
        <f>0.053*4</f>
        <v>0.21199999999999999</v>
      </c>
      <c r="DH32" s="319">
        <f>0.139</f>
        <v>0.13900000000000001</v>
      </c>
      <c r="DI32" s="319">
        <f>0.044*7</f>
        <v>0.308</v>
      </c>
      <c r="DJ32" s="319">
        <f>0.053*0.6</f>
        <v>3.1799999999999995E-2</v>
      </c>
      <c r="DK32" s="319">
        <v>5.0999999999999997E-2</v>
      </c>
      <c r="DL32" s="319">
        <f>0.351*0.3</f>
        <v>0.10529999999999999</v>
      </c>
      <c r="DM32" s="319">
        <v>8.7999999999999995E-2</v>
      </c>
      <c r="DN32" s="319">
        <v>2E-3</v>
      </c>
      <c r="DO32" s="319">
        <v>5.2999999999999999E-2</v>
      </c>
      <c r="DP32" s="319">
        <f>1.315/6*3</f>
        <v>0.65749999999999997</v>
      </c>
      <c r="DQ32" s="319">
        <f>2.63/15*5.8</f>
        <v>1.0169333333333332</v>
      </c>
      <c r="DR32" s="319">
        <f>0.139*3.3</f>
        <v>0.4587</v>
      </c>
      <c r="DS32" s="319">
        <v>4.0000000000000001E-3</v>
      </c>
      <c r="DT32" s="245">
        <f>0.039/0.9*0.6</f>
        <v>2.5999999999999999E-2</v>
      </c>
      <c r="DU32" s="271">
        <f>0.365*8</f>
        <v>2.92</v>
      </c>
      <c r="DV32" s="177">
        <f>0.351*2</f>
        <v>0.70199999999999996</v>
      </c>
      <c r="DW32" s="177">
        <f>0.018*4</f>
        <v>7.1999999999999995E-2</v>
      </c>
      <c r="DX32" s="319">
        <f>0.035/2*3</f>
        <v>5.2500000000000005E-2</v>
      </c>
      <c r="DY32" s="319">
        <f>0.053*5</f>
        <v>0.26500000000000001</v>
      </c>
      <c r="DZ32" s="319">
        <f>0.14*2.6</f>
        <v>0.36400000000000005</v>
      </c>
      <c r="EA32" s="319">
        <f>0.219*4</f>
        <v>0.876</v>
      </c>
      <c r="EB32" s="319">
        <v>0.153</v>
      </c>
      <c r="EC32" s="319">
        <v>0.32900000000000001</v>
      </c>
      <c r="ED32" s="319">
        <v>6.2E-2</v>
      </c>
      <c r="EE32" s="319">
        <f>0.219*2.2</f>
        <v>0.48180000000000006</v>
      </c>
      <c r="EF32" s="319">
        <f>0.139*0.8</f>
        <v>0.11120000000000002</v>
      </c>
      <c r="EG32" s="319">
        <f>0.219*4</f>
        <v>0.876</v>
      </c>
      <c r="EH32" s="319">
        <f>0.044*4</f>
        <v>0.17599999999999999</v>
      </c>
      <c r="EI32" s="319">
        <f>0.053*2</f>
        <v>0.106</v>
      </c>
      <c r="EJ32" s="319"/>
      <c r="EK32" s="245">
        <f>0.139</f>
        <v>0.13900000000000001</v>
      </c>
      <c r="EL32" s="466">
        <f>0.044*1.3</f>
        <v>5.7200000000000001E-2</v>
      </c>
      <c r="EM32" s="319">
        <f>0.044*4.2</f>
        <v>0.18479999999999999</v>
      </c>
      <c r="EN32" s="319">
        <f>0.044*2</f>
        <v>8.7999999999999995E-2</v>
      </c>
      <c r="EO32" s="319">
        <v>1.4999999999999999E-2</v>
      </c>
      <c r="EP32" s="319">
        <v>0.01</v>
      </c>
      <c r="EQ32" s="319">
        <f>0.139</f>
        <v>0.13900000000000001</v>
      </c>
      <c r="ER32" s="319">
        <v>4.3999999999999997E-2</v>
      </c>
      <c r="ES32" s="319">
        <v>0.65700000000000003</v>
      </c>
      <c r="ET32" s="319">
        <f>0.139</f>
        <v>0.13900000000000001</v>
      </c>
      <c r="EU32" s="319">
        <f>0.526/2.4</f>
        <v>0.21916666666666668</v>
      </c>
      <c r="EV32" s="319"/>
      <c r="EW32" s="319">
        <f>0.066/1.5</f>
        <v>4.4000000000000004E-2</v>
      </c>
      <c r="EX32" s="319">
        <f>0.526/2.4*2</f>
        <v>0.43833333333333335</v>
      </c>
      <c r="EY32" s="319">
        <v>5.2999999999999999E-2</v>
      </c>
      <c r="EZ32" s="319">
        <f>0.139*1.5</f>
        <v>0.20850000000000002</v>
      </c>
      <c r="FA32" s="319">
        <v>0.52600000000000002</v>
      </c>
      <c r="FB32" s="319">
        <v>7.4999999999999997E-2</v>
      </c>
      <c r="FC32" s="319">
        <f>0.063/1.2*0.6</f>
        <v>3.15E-2</v>
      </c>
      <c r="FD32" s="319">
        <f>0.039/0.9*0.6</f>
        <v>2.5999999999999999E-2</v>
      </c>
      <c r="FE32" s="319">
        <v>0.189</v>
      </c>
      <c r="FF32" s="319">
        <f>0.021*2</f>
        <v>4.2000000000000003E-2</v>
      </c>
      <c r="FG32" s="319">
        <f>0.021*2</f>
        <v>4.2000000000000003E-2</v>
      </c>
      <c r="FH32" s="319">
        <f>0.175*1.5</f>
        <v>0.26249999999999996</v>
      </c>
      <c r="FI32" s="158">
        <f t="shared" si="13"/>
        <v>17.664999999999999</v>
      </c>
      <c r="FJ32" s="95"/>
      <c r="FK32" s="374"/>
      <c r="FL32" s="319"/>
      <c r="FM32" s="319"/>
      <c r="FN32" s="319"/>
      <c r="FO32" s="319"/>
      <c r="FP32" s="319"/>
      <c r="FQ32" s="319"/>
      <c r="FR32" s="319"/>
      <c r="FS32" s="319"/>
      <c r="FT32" s="319"/>
      <c r="FU32" s="319"/>
      <c r="FV32" s="319"/>
      <c r="FW32" s="319"/>
      <c r="FX32" s="319"/>
      <c r="FY32" s="28"/>
      <c r="FZ32" s="270"/>
      <c r="GA32" s="271"/>
      <c r="GB32" s="177"/>
      <c r="GC32" s="177"/>
      <c r="GD32" s="177"/>
      <c r="GE32" s="802"/>
      <c r="GF32" s="435"/>
      <c r="GG32" s="327">
        <f t="shared" si="14"/>
        <v>0</v>
      </c>
      <c r="GH32" s="445">
        <f t="shared" si="15"/>
        <v>20.88</v>
      </c>
      <c r="GI32" s="605">
        <f t="shared" si="16"/>
        <v>20.88</v>
      </c>
      <c r="GJ32" s="627">
        <f t="shared" si="17"/>
        <v>0</v>
      </c>
      <c r="GK32" s="239">
        <f t="shared" si="18"/>
        <v>9.42</v>
      </c>
      <c r="GL32" s="36" t="str">
        <f t="shared" si="19"/>
        <v>калий йод</v>
      </c>
      <c r="GM32" s="664"/>
      <c r="GN32" s="22"/>
      <c r="GO32" s="22"/>
    </row>
    <row r="33" spans="1:202" x14ac:dyDescent="0.3">
      <c r="A33" s="127">
        <f t="shared" si="20"/>
        <v>22</v>
      </c>
      <c r="B33" s="278" t="s">
        <v>117</v>
      </c>
      <c r="C33" s="565">
        <f>'3_квартал'!G33</f>
        <v>20.209</v>
      </c>
      <c r="D33" s="346">
        <v>23.602</v>
      </c>
      <c r="E33" s="241">
        <v>0.13900000000000001</v>
      </c>
      <c r="F33" s="889">
        <v>0</v>
      </c>
      <c r="G33" s="299">
        <f t="shared" si="9"/>
        <v>7.9139999999999997</v>
      </c>
      <c r="H33" s="93">
        <v>0</v>
      </c>
      <c r="I33" s="93">
        <v>0</v>
      </c>
      <c r="J33" s="94"/>
      <c r="K33" s="319">
        <f>0.059*4</f>
        <v>0.23599999999999999</v>
      </c>
      <c r="L33" s="319">
        <f>0.049*5</f>
        <v>0.245</v>
      </c>
      <c r="M33" s="319">
        <f>0.02*2</f>
        <v>0.04</v>
      </c>
      <c r="N33" s="319"/>
      <c r="O33" s="319">
        <f>0.244*3</f>
        <v>0.73199999999999998</v>
      </c>
      <c r="P33" s="319">
        <f>0.049*2</f>
        <v>9.8000000000000004E-2</v>
      </c>
      <c r="Q33" s="319">
        <f>0.244*2.1</f>
        <v>0.51239999999999997</v>
      </c>
      <c r="R33" s="319">
        <f>0.244*3</f>
        <v>0.73199999999999998</v>
      </c>
      <c r="S33" s="319">
        <f>0.117</f>
        <v>0.11700000000000001</v>
      </c>
      <c r="T33" s="319">
        <f>0.244*1.5</f>
        <v>0.36599999999999999</v>
      </c>
      <c r="U33" s="319">
        <f>0.154*0.25</f>
        <v>3.85E-2</v>
      </c>
      <c r="V33" s="319">
        <f>0.154*4.5</f>
        <v>0.69299999999999995</v>
      </c>
      <c r="W33" s="319">
        <f>0.156*3</f>
        <v>0.46799999999999997</v>
      </c>
      <c r="X33" s="319">
        <v>3.5000000000000003E-2</v>
      </c>
      <c r="Y33" s="319">
        <v>2.9000000000000001E-2</v>
      </c>
      <c r="Z33" s="319">
        <f>0.059*3</f>
        <v>0.17699999999999999</v>
      </c>
      <c r="AA33" s="319">
        <f>8.129/20*1.7</f>
        <v>0.69096499999999994</v>
      </c>
      <c r="AB33" s="319">
        <f>0.027*0.5</f>
        <v>1.35E-2</v>
      </c>
      <c r="AC33" s="319">
        <f>8.129/20*9</f>
        <v>3.6580499999999998</v>
      </c>
      <c r="AD33" s="319">
        <f>8.129/20*9.3</f>
        <v>3.7799849999999999</v>
      </c>
      <c r="AE33" s="319">
        <f>0.002</f>
        <v>2E-3</v>
      </c>
      <c r="AF33" s="319">
        <f>0.244*3</f>
        <v>0.73199999999999998</v>
      </c>
      <c r="AG33" s="319">
        <f>0.003/0.3*0.4</f>
        <v>4.0000000000000001E-3</v>
      </c>
      <c r="AH33" s="319">
        <f>0.732</f>
        <v>0.73199999999999998</v>
      </c>
      <c r="AI33" s="319">
        <v>8.5000000000000006E-2</v>
      </c>
      <c r="AJ33" s="319">
        <f>0.049*1.5</f>
        <v>7.350000000000001E-2</v>
      </c>
      <c r="AK33" s="319">
        <v>8.5000000000000006E-2</v>
      </c>
      <c r="AL33" s="319"/>
      <c r="AM33" s="319">
        <v>1.6E-2</v>
      </c>
      <c r="AN33" s="319">
        <v>0.21099999999999999</v>
      </c>
      <c r="AO33" s="319">
        <v>1.341</v>
      </c>
      <c r="AP33" s="319"/>
      <c r="AQ33" s="319">
        <f>0.244*1.5</f>
        <v>0.36599999999999999</v>
      </c>
      <c r="AR33" s="319">
        <f>0.244*6</f>
        <v>1.464</v>
      </c>
      <c r="AS33" s="319">
        <f>0.244*3</f>
        <v>0.73199999999999998</v>
      </c>
      <c r="AT33" s="319">
        <f>6.854/10*6</f>
        <v>4.1124000000000001</v>
      </c>
      <c r="AU33" s="319">
        <f>0.154*2</f>
        <v>0.308</v>
      </c>
      <c r="AV33" s="319">
        <f>0.244*2.4</f>
        <v>0.58560000000000001</v>
      </c>
      <c r="AW33" s="319">
        <v>9.8000000000000004E-2</v>
      </c>
      <c r="AX33" s="319"/>
      <c r="AY33" s="319"/>
      <c r="AZ33" s="319"/>
      <c r="BA33" s="319"/>
      <c r="BB33" s="319"/>
      <c r="BC33" s="319"/>
      <c r="BD33" s="319"/>
      <c r="BE33" s="319"/>
      <c r="BF33" s="319"/>
      <c r="BG33" s="158">
        <f t="shared" si="11"/>
        <v>23.608899999999998</v>
      </c>
      <c r="BH33" s="94"/>
      <c r="BI33" s="833"/>
      <c r="BJ33" s="319"/>
      <c r="BK33" s="319"/>
      <c r="BL33" s="319"/>
      <c r="BM33" s="319"/>
      <c r="BN33" s="319"/>
      <c r="BO33" s="319"/>
      <c r="BP33" s="319"/>
      <c r="BQ33" s="319">
        <f>0.016/0.6</f>
        <v>2.6666666666666668E-2</v>
      </c>
      <c r="BR33" s="319">
        <v>4.9000000000000002E-2</v>
      </c>
      <c r="BS33" s="319"/>
      <c r="BT33" s="319"/>
      <c r="BU33" s="319"/>
      <c r="BV33" s="319"/>
      <c r="BW33" s="319"/>
      <c r="BX33" s="319"/>
      <c r="BY33" s="319"/>
      <c r="BZ33" s="319"/>
      <c r="CA33" s="319"/>
      <c r="CB33" s="319"/>
      <c r="CC33" s="319"/>
      <c r="CD33" s="319"/>
      <c r="CE33" s="319"/>
      <c r="CF33" s="319"/>
      <c r="CG33" s="319"/>
      <c r="CH33" s="319"/>
      <c r="CI33" s="319"/>
      <c r="CJ33" s="319"/>
      <c r="CK33" s="319"/>
      <c r="CL33" s="319"/>
      <c r="CM33" s="319">
        <v>5.8999999999999997E-2</v>
      </c>
      <c r="CN33" s="319"/>
      <c r="CO33" s="319"/>
      <c r="CP33" s="319"/>
      <c r="CQ33" s="365"/>
      <c r="CR33" s="419">
        <f t="shared" si="12"/>
        <v>0.13466666666666666</v>
      </c>
      <c r="CS33" s="57"/>
      <c r="CT33" s="319"/>
      <c r="CU33" s="319"/>
      <c r="CV33" s="319"/>
      <c r="CW33" s="319"/>
      <c r="CX33" s="319"/>
      <c r="CY33" s="319"/>
      <c r="CZ33" s="319"/>
      <c r="DA33" s="319"/>
      <c r="DB33" s="319"/>
      <c r="DC33" s="319"/>
      <c r="DD33" s="319"/>
      <c r="DE33" s="319"/>
      <c r="DF33" s="319"/>
      <c r="DG33" s="319"/>
      <c r="DH33" s="319"/>
      <c r="DI33" s="319"/>
      <c r="DJ33" s="319"/>
      <c r="DK33" s="319"/>
      <c r="DL33" s="319"/>
      <c r="DM33" s="319"/>
      <c r="DN33" s="319"/>
      <c r="DO33" s="319"/>
      <c r="DP33" s="319"/>
      <c r="DQ33" s="319"/>
      <c r="DR33" s="319"/>
      <c r="DS33" s="319"/>
      <c r="DT33" s="245"/>
      <c r="DU33" s="271"/>
      <c r="DV33" s="177"/>
      <c r="DW33" s="177"/>
      <c r="DX33" s="319"/>
      <c r="DY33" s="319"/>
      <c r="DZ33" s="319"/>
      <c r="EA33" s="319"/>
      <c r="EB33" s="319"/>
      <c r="EC33" s="319"/>
      <c r="ED33" s="319"/>
      <c r="EE33" s="319"/>
      <c r="EF33" s="319"/>
      <c r="EG33" s="319"/>
      <c r="EH33" s="319"/>
      <c r="EI33" s="319"/>
      <c r="EJ33" s="319"/>
      <c r="EK33" s="245"/>
      <c r="EL33" s="466"/>
      <c r="EM33" s="319"/>
      <c r="EN33" s="319"/>
      <c r="EO33" s="319"/>
      <c r="EP33" s="319"/>
      <c r="EQ33" s="319"/>
      <c r="ER33" s="319"/>
      <c r="ES33" s="319"/>
      <c r="ET33" s="319"/>
      <c r="EU33" s="319"/>
      <c r="EV33" s="319"/>
      <c r="EW33" s="319"/>
      <c r="EX33" s="319"/>
      <c r="EY33" s="319"/>
      <c r="EZ33" s="319"/>
      <c r="FA33" s="319"/>
      <c r="FB33" s="319"/>
      <c r="FC33" s="319"/>
      <c r="FD33" s="319"/>
      <c r="FE33" s="319"/>
      <c r="FF33" s="319"/>
      <c r="FG33" s="319"/>
      <c r="FH33" s="319"/>
      <c r="FI33" s="158">
        <f t="shared" si="13"/>
        <v>0</v>
      </c>
      <c r="FJ33" s="95"/>
      <c r="FK33" s="374"/>
      <c r="FL33" s="319"/>
      <c r="FM33" s="319"/>
      <c r="FN33" s="319"/>
      <c r="FO33" s="319"/>
      <c r="FP33" s="319"/>
      <c r="FQ33" s="319"/>
      <c r="FR33" s="319"/>
      <c r="FS33" s="319"/>
      <c r="FT33" s="319"/>
      <c r="FU33" s="319"/>
      <c r="FV33" s="319"/>
      <c r="FW33" s="319"/>
      <c r="FX33" s="319"/>
      <c r="FY33" s="28"/>
      <c r="FZ33" s="270"/>
      <c r="GA33" s="271"/>
      <c r="GB33" s="177"/>
      <c r="GC33" s="177"/>
      <c r="GD33" s="177"/>
      <c r="GE33" s="802"/>
      <c r="GF33" s="435"/>
      <c r="GG33" s="327">
        <f t="shared" si="14"/>
        <v>0</v>
      </c>
      <c r="GH33" s="445">
        <f t="shared" si="15"/>
        <v>0</v>
      </c>
      <c r="GI33" s="605">
        <f t="shared" si="16"/>
        <v>0</v>
      </c>
      <c r="GJ33" s="627">
        <f t="shared" si="17"/>
        <v>20.209</v>
      </c>
      <c r="GK33" s="239">
        <f t="shared" si="18"/>
        <v>0.13900000000000001</v>
      </c>
      <c r="GL33" s="36" t="str">
        <f t="shared" si="19"/>
        <v>йодат кальция</v>
      </c>
      <c r="GM33" s="664"/>
      <c r="GN33" s="22"/>
      <c r="GO33" s="22"/>
    </row>
    <row r="34" spans="1:202" x14ac:dyDescent="0.3">
      <c r="A34" s="127">
        <f t="shared" si="20"/>
        <v>23</v>
      </c>
      <c r="B34" s="278" t="s">
        <v>8</v>
      </c>
      <c r="C34" s="565">
        <f>'3_квартал'!G34</f>
        <v>15.285</v>
      </c>
      <c r="D34" s="346">
        <v>18.22</v>
      </c>
      <c r="E34" s="241">
        <v>5.2</v>
      </c>
      <c r="F34" s="889">
        <f>2.445+10.61</f>
        <v>13.055</v>
      </c>
      <c r="G34" s="299">
        <f t="shared" si="9"/>
        <v>12.157999999999999</v>
      </c>
      <c r="H34" s="93">
        <f>2.445+50</f>
        <v>52.445</v>
      </c>
      <c r="I34" s="93">
        <v>39.39</v>
      </c>
      <c r="J34" s="94"/>
      <c r="K34" s="319">
        <f>0.031*4</f>
        <v>0.124</v>
      </c>
      <c r="L34" s="319">
        <f>0.026*5</f>
        <v>0.13</v>
      </c>
      <c r="M34" s="319">
        <f>0.197*2</f>
        <v>0.39400000000000002</v>
      </c>
      <c r="N34" s="319"/>
      <c r="O34" s="319">
        <f>0.131*3</f>
        <v>0.39300000000000002</v>
      </c>
      <c r="P34" s="319">
        <f>0.026*2</f>
        <v>5.1999999999999998E-2</v>
      </c>
      <c r="Q34" s="319">
        <f>0.131*2.1</f>
        <v>0.27510000000000001</v>
      </c>
      <c r="R34" s="319">
        <f>0.131*3</f>
        <v>0.39300000000000002</v>
      </c>
      <c r="S34" s="319">
        <f>0.026</f>
        <v>2.5999999999999999E-2</v>
      </c>
      <c r="T34" s="319">
        <f>0.131*1.5</f>
        <v>0.19650000000000001</v>
      </c>
      <c r="U34" s="319">
        <f>0.077*0.25</f>
        <v>1.925E-2</v>
      </c>
      <c r="V34" s="319">
        <f>0.077*4.5</f>
        <v>0.34649999999999997</v>
      </c>
      <c r="W34" s="319">
        <f>0.066*3</f>
        <v>0.19800000000000001</v>
      </c>
      <c r="X34" s="319">
        <v>1.7999999999999999E-2</v>
      </c>
      <c r="Y34" s="319">
        <v>1.6E-2</v>
      </c>
      <c r="Z34" s="319">
        <f>0.031*3</f>
        <v>9.2999999999999999E-2</v>
      </c>
      <c r="AA34" s="319">
        <f>8.765/20*1.7</f>
        <v>0.74502500000000005</v>
      </c>
      <c r="AB34" s="319">
        <f>0.029*0.5</f>
        <v>1.4500000000000001E-2</v>
      </c>
      <c r="AC34" s="319">
        <f>8.765/20*9</f>
        <v>3.9442500000000003</v>
      </c>
      <c r="AD34" s="319">
        <f>8.765/20*9.3</f>
        <v>4.0757250000000003</v>
      </c>
      <c r="AE34" s="319">
        <f>0.02</f>
        <v>0.02</v>
      </c>
      <c r="AF34" s="319">
        <f>0.131*3</f>
        <v>0.39300000000000002</v>
      </c>
      <c r="AG34" s="319">
        <f>0.007/0.3*0.4</f>
        <v>9.3333333333333341E-3</v>
      </c>
      <c r="AH34" s="319">
        <f>0.394</f>
        <v>0.39400000000000002</v>
      </c>
      <c r="AI34" s="319">
        <v>4.8000000000000001E-2</v>
      </c>
      <c r="AJ34" s="319">
        <f>0.026*1.5</f>
        <v>3.9E-2</v>
      </c>
      <c r="AK34" s="319">
        <v>3.7999999999999999E-2</v>
      </c>
      <c r="AL34" s="319"/>
      <c r="AM34" s="319">
        <v>1.7000000000000001E-2</v>
      </c>
      <c r="AN34" s="319">
        <v>9.5000000000000001E-2</v>
      </c>
      <c r="AO34" s="319">
        <v>0.72299999999999998</v>
      </c>
      <c r="AP34" s="319"/>
      <c r="AQ34" s="319">
        <f>0.131*1.5</f>
        <v>0.19650000000000001</v>
      </c>
      <c r="AR34" s="319">
        <f>0.131*6</f>
        <v>0.78600000000000003</v>
      </c>
      <c r="AS34" s="319">
        <f>0.131*3</f>
        <v>0.39300000000000002</v>
      </c>
      <c r="AT34" s="319">
        <f>3.125/10*6</f>
        <v>1.875</v>
      </c>
      <c r="AU34" s="319">
        <f>0.077*2</f>
        <v>0.154</v>
      </c>
      <c r="AV34" s="319">
        <f>0.131*2.4</f>
        <v>0.31440000000000001</v>
      </c>
      <c r="AW34" s="319">
        <v>9.9000000000000005E-2</v>
      </c>
      <c r="AX34" s="319">
        <f>0.657/5*3</f>
        <v>0.39420000000000005</v>
      </c>
      <c r="AY34" s="319">
        <f>0.657/5*2</f>
        <v>0.26280000000000003</v>
      </c>
      <c r="AZ34" s="319">
        <v>3.7999999999999999E-2</v>
      </c>
      <c r="BA34" s="319">
        <v>2.1000000000000001E-2</v>
      </c>
      <c r="BB34" s="319">
        <v>1.4E-2</v>
      </c>
      <c r="BC34" s="319">
        <f>0.026*4</f>
        <v>0.104</v>
      </c>
      <c r="BD34" s="319">
        <f>0.031*4</f>
        <v>0.124</v>
      </c>
      <c r="BE34" s="319">
        <f>0.077*2</f>
        <v>0.154</v>
      </c>
      <c r="BF34" s="319">
        <f>0.026*3</f>
        <v>7.8E-2</v>
      </c>
      <c r="BG34" s="158">
        <f t="shared" si="11"/>
        <v>18.238083333333332</v>
      </c>
      <c r="BH34" s="94"/>
      <c r="BI34" s="833">
        <v>1.2999999999999999E-2</v>
      </c>
      <c r="BJ34" s="319">
        <v>6.6000000000000003E-2</v>
      </c>
      <c r="BK34" s="319"/>
      <c r="BL34" s="319">
        <f>0.031*4</f>
        <v>0.124</v>
      </c>
      <c r="BM34" s="319"/>
      <c r="BN34" s="319"/>
      <c r="BO34" s="319">
        <f>0.031*1.5</f>
        <v>4.65E-2</v>
      </c>
      <c r="BP34" s="319">
        <v>4.3999999999999997E-2</v>
      </c>
      <c r="BQ34" s="319">
        <f>0.017/0.6</f>
        <v>2.8333333333333335E-2</v>
      </c>
      <c r="BR34" s="319">
        <v>2.5999999999999999E-2</v>
      </c>
      <c r="BS34" s="319">
        <v>0.39400000000000002</v>
      </c>
      <c r="BT34" s="319">
        <f>0.153/2*0.8</f>
        <v>6.1200000000000004E-2</v>
      </c>
      <c r="BU34" s="319">
        <f>0.031*1.5</f>
        <v>4.65E-2</v>
      </c>
      <c r="BV34" s="319">
        <f>0.394/3*2</f>
        <v>0.26266666666666666</v>
      </c>
      <c r="BW34" s="319">
        <f>0.038/0.5</f>
        <v>7.5999999999999998E-2</v>
      </c>
      <c r="BX34" s="319">
        <f>0.077*1.8</f>
        <v>0.1386</v>
      </c>
      <c r="BY34" s="319">
        <v>0.17499999999999999</v>
      </c>
      <c r="BZ34" s="319"/>
      <c r="CA34" s="319">
        <v>0.438</v>
      </c>
      <c r="CB34" s="319"/>
      <c r="CC34" s="319">
        <f>0.316/2.4*1.5</f>
        <v>0.19750000000000001</v>
      </c>
      <c r="CD34" s="319">
        <v>1.7999999999999999E-2</v>
      </c>
      <c r="CE34" s="319"/>
      <c r="CF34" s="319">
        <f>0.048*0.5</f>
        <v>2.4E-2</v>
      </c>
      <c r="CG34" s="319">
        <f>0.394/3*2.4</f>
        <v>0.31519999999999998</v>
      </c>
      <c r="CH34" s="319">
        <f>0.031</f>
        <v>3.1E-2</v>
      </c>
      <c r="CI34" s="319">
        <v>0.21</v>
      </c>
      <c r="CJ34" s="319">
        <v>1.25</v>
      </c>
      <c r="CK34" s="319">
        <f>0.131*5.5</f>
        <v>0.72050000000000003</v>
      </c>
      <c r="CL34" s="319">
        <f>0.039/1.5*2.5</f>
        <v>6.5000000000000002E-2</v>
      </c>
      <c r="CM34" s="319">
        <v>7.1999999999999995E-2</v>
      </c>
      <c r="CN34" s="319">
        <f>0.068*2.5</f>
        <v>0.17</v>
      </c>
      <c r="CO34" s="319"/>
      <c r="CP34" s="319">
        <v>7.6999999999999999E-2</v>
      </c>
      <c r="CQ34" s="365">
        <f>0.077*1.5</f>
        <v>0.11549999999999999</v>
      </c>
      <c r="CR34" s="419">
        <f t="shared" si="12"/>
        <v>5.2055000000000007</v>
      </c>
      <c r="CS34" s="57"/>
      <c r="CT34" s="319"/>
      <c r="CU34" s="319"/>
      <c r="CV34" s="319">
        <v>8.9999999999999993E-3</v>
      </c>
      <c r="CW34" s="319"/>
      <c r="CX34" s="319">
        <f>0.031*5</f>
        <v>0.155</v>
      </c>
      <c r="CY34" s="319">
        <f>0.077*2</f>
        <v>0.154</v>
      </c>
      <c r="CZ34" s="319">
        <f>0.026*3.8</f>
        <v>9.8799999999999985E-2</v>
      </c>
      <c r="DA34" s="319">
        <f>1.448/15*3.7</f>
        <v>0.35717333333333334</v>
      </c>
      <c r="DB34" s="319">
        <f>1.448/15*5.5</f>
        <v>0.53093333333333337</v>
      </c>
      <c r="DC34" s="319">
        <v>0.39400000000000002</v>
      </c>
      <c r="DD34" s="319">
        <v>8.7999999999999995E-2</v>
      </c>
      <c r="DE34" s="319"/>
      <c r="DF34" s="319"/>
      <c r="DG34" s="319">
        <f>0.031*4</f>
        <v>0.124</v>
      </c>
      <c r="DH34" s="319">
        <f>0.077</f>
        <v>7.6999999999999999E-2</v>
      </c>
      <c r="DI34" s="319">
        <f>0.026*7</f>
        <v>0.182</v>
      </c>
      <c r="DJ34" s="319">
        <f>0.031*0.6</f>
        <v>1.8599999999999998E-2</v>
      </c>
      <c r="DK34" s="319">
        <v>8.9999999999999993E-3</v>
      </c>
      <c r="DL34" s="319">
        <f>0.088*0.3</f>
        <v>2.6399999999999996E-2</v>
      </c>
      <c r="DM34" s="319">
        <v>9.9000000000000005E-2</v>
      </c>
      <c r="DN34" s="319">
        <v>0.02</v>
      </c>
      <c r="DO34" s="319">
        <v>3.1E-2</v>
      </c>
      <c r="DP34" s="319">
        <f>0.772/6*3</f>
        <v>0.38600000000000001</v>
      </c>
      <c r="DQ34" s="319">
        <f>1.448/15*5.8</f>
        <v>0.55989333333333335</v>
      </c>
      <c r="DR34" s="319">
        <f>0.077*3.3</f>
        <v>0.25409999999999999</v>
      </c>
      <c r="DS34" s="319">
        <v>2.3E-2</v>
      </c>
      <c r="DT34" s="245">
        <f>0.023/0.9*0.6</f>
        <v>1.5333333333333331E-2</v>
      </c>
      <c r="DU34" s="271">
        <f>0.429*8</f>
        <v>3.4319999999999999</v>
      </c>
      <c r="DV34" s="177">
        <f>0.172*2</f>
        <v>0.34399999999999997</v>
      </c>
      <c r="DW34" s="177">
        <f>0.193*4</f>
        <v>0.77200000000000002</v>
      </c>
      <c r="DX34" s="319">
        <f>0.386/2*3</f>
        <v>0.57899999999999996</v>
      </c>
      <c r="DY34" s="319">
        <f>0.03*5</f>
        <v>0.15</v>
      </c>
      <c r="DZ34" s="319">
        <f>0.064*2.6</f>
        <v>0.16640000000000002</v>
      </c>
      <c r="EA34" s="319">
        <f>0.129*4</f>
        <v>0.51600000000000001</v>
      </c>
      <c r="EB34" s="319">
        <v>7.6999999999999999E-2</v>
      </c>
      <c r="EC34" s="319">
        <v>0.193</v>
      </c>
      <c r="ED34" s="319">
        <v>3.4000000000000002E-2</v>
      </c>
      <c r="EE34" s="319">
        <f>0.129*2.2</f>
        <v>0.28380000000000005</v>
      </c>
      <c r="EF34" s="319">
        <f>0.075*0.8</f>
        <v>0.06</v>
      </c>
      <c r="EG34" s="319">
        <f>0.129*4</f>
        <v>0.51600000000000001</v>
      </c>
      <c r="EH34" s="319">
        <f>0.026*4</f>
        <v>0.104</v>
      </c>
      <c r="EI34" s="319">
        <f>0.03*2</f>
        <v>0.06</v>
      </c>
      <c r="EJ34" s="319"/>
      <c r="EK34" s="245">
        <f>0.077</f>
        <v>7.6999999999999999E-2</v>
      </c>
      <c r="EL34" s="466">
        <f>0.026*1.3</f>
        <v>3.3799999999999997E-2</v>
      </c>
      <c r="EM34" s="319">
        <f>0.026*4.2</f>
        <v>0.10920000000000001</v>
      </c>
      <c r="EN34" s="319">
        <f>0.026*2</f>
        <v>5.1999999999999998E-2</v>
      </c>
      <c r="EO34" s="319">
        <f>0.017</f>
        <v>1.7000000000000001E-2</v>
      </c>
      <c r="EP34" s="319">
        <v>1.0999999999999999E-2</v>
      </c>
      <c r="EQ34" s="319">
        <f>0.075</f>
        <v>7.4999999999999997E-2</v>
      </c>
      <c r="ER34" s="319">
        <v>2.5999999999999999E-2</v>
      </c>
      <c r="ES34" s="319">
        <v>0.39400000000000002</v>
      </c>
      <c r="ET34" s="319">
        <f>0.075</f>
        <v>7.4999999999999997E-2</v>
      </c>
      <c r="EU34" s="319">
        <f>0.309/2.4</f>
        <v>0.12875</v>
      </c>
      <c r="EV34" s="319">
        <f>0.011*2</f>
        <v>2.1999999999999999E-2</v>
      </c>
      <c r="EW34" s="319">
        <f>0.039/1.5</f>
        <v>2.5999999999999999E-2</v>
      </c>
      <c r="EX34" s="319">
        <f>0.309/2.4*2</f>
        <v>0.25750000000000001</v>
      </c>
      <c r="EY34" s="319">
        <v>0.03</v>
      </c>
      <c r="EZ34" s="319">
        <f>0.075*1.5</f>
        <v>0.11249999999999999</v>
      </c>
      <c r="FA34" s="319">
        <f>0.015+0.294</f>
        <v>0.309</v>
      </c>
      <c r="FB34" s="319">
        <v>4.3999999999999997E-2</v>
      </c>
      <c r="FC34" s="319">
        <f>0.036/1.2*0.6</f>
        <v>1.7999999999999999E-2</v>
      </c>
      <c r="FD34" s="319">
        <f>0.023/0.9*0.6</f>
        <v>1.5333333333333331E-2</v>
      </c>
      <c r="FE34" s="319">
        <v>9.2999999999999999E-2</v>
      </c>
      <c r="FF34" s="319">
        <f>0.025*2</f>
        <v>0.05</v>
      </c>
      <c r="FG34" s="319">
        <f>0.025*2</f>
        <v>0.05</v>
      </c>
      <c r="FH34" s="319">
        <f>0.086*1.5</f>
        <v>0.129</v>
      </c>
      <c r="FI34" s="158">
        <f t="shared" si="13"/>
        <v>13.054516666666665</v>
      </c>
      <c r="FJ34" s="95"/>
      <c r="FK34" s="374"/>
      <c r="FL34" s="319"/>
      <c r="FM34" s="319"/>
      <c r="FN34" s="319"/>
      <c r="FO34" s="319"/>
      <c r="FP34" s="319"/>
      <c r="FQ34" s="319"/>
      <c r="FR34" s="319"/>
      <c r="FS34" s="319"/>
      <c r="FT34" s="319"/>
      <c r="FU34" s="319"/>
      <c r="FV34" s="319"/>
      <c r="FW34" s="319"/>
      <c r="FX34" s="319"/>
      <c r="FY34" s="28"/>
      <c r="FZ34" s="270"/>
      <c r="GA34" s="271"/>
      <c r="GB34" s="177"/>
      <c r="GC34" s="177"/>
      <c r="GD34" s="177"/>
      <c r="GE34" s="802"/>
      <c r="GF34" s="435"/>
      <c r="GG34" s="327">
        <f t="shared" si="14"/>
        <v>0</v>
      </c>
      <c r="GH34" s="445">
        <f t="shared" si="15"/>
        <v>39.39</v>
      </c>
      <c r="GI34" s="605">
        <f t="shared" si="16"/>
        <v>39.39</v>
      </c>
      <c r="GJ34" s="627">
        <f t="shared" si="17"/>
        <v>15.285</v>
      </c>
      <c r="GK34" s="239">
        <f t="shared" si="18"/>
        <v>5.2</v>
      </c>
      <c r="GL34" s="36" t="str">
        <f t="shared" si="19"/>
        <v>кобальт у/к</v>
      </c>
      <c r="GM34" s="664"/>
      <c r="GN34" s="22"/>
      <c r="GO34" s="22"/>
    </row>
    <row r="35" spans="1:202" x14ac:dyDescent="0.3">
      <c r="A35" s="127">
        <f t="shared" si="20"/>
        <v>24</v>
      </c>
      <c r="B35" s="278" t="s">
        <v>10</v>
      </c>
      <c r="C35" s="565">
        <f>'3_квартал'!G35</f>
        <v>2.1859999999999999</v>
      </c>
      <c r="D35" s="346">
        <v>2.9790000000000001</v>
      </c>
      <c r="E35" s="241">
        <v>1.306</v>
      </c>
      <c r="F35" s="889">
        <v>2.3090000000000002</v>
      </c>
      <c r="G35" s="299">
        <f t="shared" si="9"/>
        <v>2.198</v>
      </c>
      <c r="H35" s="93">
        <v>9.18</v>
      </c>
      <c r="I35" s="93">
        <v>6.8710000000000004</v>
      </c>
      <c r="J35" s="112"/>
      <c r="K35" s="319"/>
      <c r="L35" s="319"/>
      <c r="M35" s="319">
        <f>0.038*2</f>
        <v>7.5999999999999998E-2</v>
      </c>
      <c r="N35" s="319"/>
      <c r="O35" s="319">
        <f>0.078*3</f>
        <v>0.23399999999999999</v>
      </c>
      <c r="P35" s="319"/>
      <c r="Q35" s="319"/>
      <c r="R35" s="319">
        <f>0.078*3</f>
        <v>0.23399999999999999</v>
      </c>
      <c r="S35" s="319"/>
      <c r="T35" s="319">
        <f>0.118*1.5</f>
        <v>0.17699999999999999</v>
      </c>
      <c r="U35" s="319">
        <f>0.024*0.25</f>
        <v>6.0000000000000001E-3</v>
      </c>
      <c r="V35" s="319"/>
      <c r="W35" s="319">
        <f>0.016*3</f>
        <v>4.8000000000000001E-2</v>
      </c>
      <c r="X35" s="319"/>
      <c r="Y35" s="319"/>
      <c r="Z35" s="319"/>
      <c r="AA35" s="319">
        <f>0.896/20*1.7</f>
        <v>7.6159999999999992E-2</v>
      </c>
      <c r="AB35" s="319">
        <f>0.004*0.5</f>
        <v>2E-3</v>
      </c>
      <c r="AC35" s="319">
        <f>0.896/20*9</f>
        <v>0.4032</v>
      </c>
      <c r="AD35" s="319">
        <f>0.896/20*9.3</f>
        <v>0.41664000000000001</v>
      </c>
      <c r="AE35" s="319">
        <f>0.004</f>
        <v>4.0000000000000001E-3</v>
      </c>
      <c r="AF35" s="319">
        <f>0.078*3</f>
        <v>0.23399999999999999</v>
      </c>
      <c r="AG35" s="319">
        <f>0.001/0.3*0.4</f>
        <v>1.3333333333333335E-3</v>
      </c>
      <c r="AH35" s="319"/>
      <c r="AI35" s="319">
        <v>1.6E-2</v>
      </c>
      <c r="AJ35" s="319"/>
      <c r="AK35" s="319"/>
      <c r="AL35" s="319">
        <v>1.2999999999999999E-2</v>
      </c>
      <c r="AM35" s="319">
        <v>3.0000000000000001E-3</v>
      </c>
      <c r="AN35" s="319">
        <v>0.02</v>
      </c>
      <c r="AO35" s="319"/>
      <c r="AP35" s="319"/>
      <c r="AQ35" s="319">
        <f>0.118*1.5</f>
        <v>0.17699999999999999</v>
      </c>
      <c r="AR35" s="319">
        <f>0.078*6</f>
        <v>0.46799999999999997</v>
      </c>
      <c r="AS35" s="319">
        <f>0.078*3</f>
        <v>0.23399999999999999</v>
      </c>
      <c r="AT35" s="319">
        <f>0.121/10*6</f>
        <v>7.2599999999999998E-2</v>
      </c>
      <c r="AU35" s="319"/>
      <c r="AV35" s="319"/>
      <c r="AW35" s="319"/>
      <c r="AX35" s="319"/>
      <c r="AY35" s="319"/>
      <c r="AZ35" s="319">
        <v>2.8000000000000001E-2</v>
      </c>
      <c r="BA35" s="319"/>
      <c r="BB35" s="319"/>
      <c r="BC35" s="319"/>
      <c r="BD35" s="319"/>
      <c r="BE35" s="319"/>
      <c r="BF35" s="319"/>
      <c r="BG35" s="158">
        <f t="shared" si="11"/>
        <v>2.9439333333333333</v>
      </c>
      <c r="BH35" s="112"/>
      <c r="BI35" s="833">
        <v>2E-3</v>
      </c>
      <c r="BJ35" s="319"/>
      <c r="BK35" s="319"/>
      <c r="BL35" s="319"/>
      <c r="BM35" s="319">
        <f>0.016*5</f>
        <v>0.08</v>
      </c>
      <c r="BN35" s="319"/>
      <c r="BO35" s="319"/>
      <c r="BP35" s="319"/>
      <c r="BQ35" s="319">
        <f>0.003/0.6</f>
        <v>5.0000000000000001E-3</v>
      </c>
      <c r="BR35" s="319"/>
      <c r="BS35" s="319">
        <v>0.23499999999999999</v>
      </c>
      <c r="BT35" s="319"/>
      <c r="BU35" s="319"/>
      <c r="BV35" s="319">
        <f>0.235/3*2</f>
        <v>0.15666666666666665</v>
      </c>
      <c r="BW35" s="319">
        <f>0.028/0.5</f>
        <v>5.6000000000000001E-2</v>
      </c>
      <c r="BX35" s="319"/>
      <c r="BY35" s="319"/>
      <c r="BZ35" s="319"/>
      <c r="CA35" s="319">
        <v>9.5000000000000001E-2</v>
      </c>
      <c r="CB35" s="319">
        <f>0.016*5</f>
        <v>0.08</v>
      </c>
      <c r="CC35" s="319"/>
      <c r="CD35" s="319"/>
      <c r="CE35" s="319">
        <f>0.016*5</f>
        <v>0.08</v>
      </c>
      <c r="CF35" s="319">
        <f>0.016*0.5</f>
        <v>8.0000000000000002E-3</v>
      </c>
      <c r="CG35" s="319">
        <f>0.235/3*2.4</f>
        <v>0.18799999999999997</v>
      </c>
      <c r="CH35" s="319"/>
      <c r="CI35" s="319">
        <v>0.188</v>
      </c>
      <c r="CJ35" s="319">
        <v>4.8000000000000001E-2</v>
      </c>
      <c r="CK35" s="319"/>
      <c r="CL35" s="319"/>
      <c r="CM35" s="319">
        <v>2.4E-2</v>
      </c>
      <c r="CN35" s="319">
        <f>0.016*2.5</f>
        <v>0.04</v>
      </c>
      <c r="CO35" s="319"/>
      <c r="CP35" s="319"/>
      <c r="CQ35" s="365"/>
      <c r="CR35" s="419">
        <f t="shared" si="12"/>
        <v>1.2856666666666667</v>
      </c>
      <c r="CS35" s="57"/>
      <c r="CT35" s="319">
        <f>0.157/10*8</f>
        <v>0.12559999999999999</v>
      </c>
      <c r="CU35" s="319">
        <f>0.157/10*2</f>
        <v>3.1399999999999997E-2</v>
      </c>
      <c r="CV35" s="319">
        <v>1E-3</v>
      </c>
      <c r="CW35" s="319">
        <v>1.2999999999999999E-2</v>
      </c>
      <c r="CX35" s="319"/>
      <c r="CY35" s="319"/>
      <c r="CZ35" s="319"/>
      <c r="DA35" s="319">
        <f>0.672/15*3.7</f>
        <v>0.16576000000000002</v>
      </c>
      <c r="DB35" s="319">
        <f>0.672/15*5.5</f>
        <v>0.24640000000000001</v>
      </c>
      <c r="DC35" s="319"/>
      <c r="DD35" s="319"/>
      <c r="DE35" s="319"/>
      <c r="DF35" s="319"/>
      <c r="DG35" s="319"/>
      <c r="DH35" s="319"/>
      <c r="DI35" s="319"/>
      <c r="DJ35" s="319"/>
      <c r="DK35" s="319"/>
      <c r="DL35" s="319"/>
      <c r="DM35" s="319"/>
      <c r="DN35" s="319">
        <v>4.0000000000000001E-3</v>
      </c>
      <c r="DO35" s="319"/>
      <c r="DP35" s="319">
        <f>0.47/6*3</f>
        <v>0.23499999999999999</v>
      </c>
      <c r="DQ35" s="319">
        <f>0.672/15*5.8</f>
        <v>0.25984000000000002</v>
      </c>
      <c r="DR35" s="319"/>
      <c r="DS35" s="319"/>
      <c r="DT35" s="245"/>
      <c r="DU35" s="271">
        <f>0.009*8</f>
        <v>7.1999999999999995E-2</v>
      </c>
      <c r="DV35" s="177"/>
      <c r="DW35" s="177">
        <f>0.038*4</f>
        <v>0.152</v>
      </c>
      <c r="DX35" s="319">
        <f>0.076/2*3</f>
        <v>0.11399999999999999</v>
      </c>
      <c r="DY35" s="319"/>
      <c r="DZ35" s="319">
        <f>0.016*2.6</f>
        <v>4.1600000000000005E-2</v>
      </c>
      <c r="EA35" s="319"/>
      <c r="EB35" s="319"/>
      <c r="EC35" s="319">
        <v>0.17599999999999999</v>
      </c>
      <c r="ED35" s="319">
        <v>1.0999999999999999E-2</v>
      </c>
      <c r="EE35" s="319"/>
      <c r="EF35" s="319"/>
      <c r="EG35" s="319">
        <f>0.078*4</f>
        <v>0.312</v>
      </c>
      <c r="EH35" s="319"/>
      <c r="EI35" s="319"/>
      <c r="EJ35" s="319"/>
      <c r="EK35" s="245"/>
      <c r="EL35" s="466"/>
      <c r="EM35" s="319"/>
      <c r="EN35" s="319"/>
      <c r="EO35" s="319">
        <f>0.003</f>
        <v>3.0000000000000001E-3</v>
      </c>
      <c r="EP35" s="319">
        <v>2E-3</v>
      </c>
      <c r="EQ35" s="319">
        <f>0.024</f>
        <v>2.4E-2</v>
      </c>
      <c r="ER35" s="319"/>
      <c r="ES35" s="319"/>
      <c r="ET35" s="319"/>
      <c r="EU35" s="319">
        <f>0.188/2.4</f>
        <v>7.8333333333333338E-2</v>
      </c>
      <c r="EV35" s="319">
        <f>0.034*2</f>
        <v>6.8000000000000005E-2</v>
      </c>
      <c r="EW35" s="319"/>
      <c r="EX35" s="319">
        <f>0.188/2.4*2</f>
        <v>0.15666666666666668</v>
      </c>
      <c r="EY35" s="319"/>
      <c r="EZ35" s="319"/>
      <c r="FA35" s="319"/>
      <c r="FB35" s="319"/>
      <c r="FC35" s="319"/>
      <c r="FD35" s="319"/>
      <c r="FE35" s="319">
        <v>0.02</v>
      </c>
      <c r="FF35" s="319">
        <f>0.004*2</f>
        <v>8.0000000000000002E-3</v>
      </c>
      <c r="FG35" s="319">
        <f>0.004*2</f>
        <v>8.0000000000000002E-3</v>
      </c>
      <c r="FH35" s="319"/>
      <c r="FI35" s="158">
        <f t="shared" si="13"/>
        <v>2.3285999999999998</v>
      </c>
      <c r="FJ35" s="113"/>
      <c r="FK35" s="374"/>
      <c r="FL35" s="319"/>
      <c r="FM35" s="319"/>
      <c r="FN35" s="319"/>
      <c r="FO35" s="319"/>
      <c r="FP35" s="319"/>
      <c r="FQ35" s="319"/>
      <c r="FR35" s="319"/>
      <c r="FS35" s="319"/>
      <c r="FT35" s="319"/>
      <c r="FU35" s="319"/>
      <c r="FV35" s="319"/>
      <c r="FW35" s="319"/>
      <c r="FX35" s="319"/>
      <c r="FY35" s="28"/>
      <c r="FZ35" s="270"/>
      <c r="GA35" s="271"/>
      <c r="GB35" s="177"/>
      <c r="GC35" s="177"/>
      <c r="GD35" s="177"/>
      <c r="GE35" s="802"/>
      <c r="GF35" s="435"/>
      <c r="GG35" s="327">
        <f t="shared" si="14"/>
        <v>0</v>
      </c>
      <c r="GH35" s="445">
        <f t="shared" si="15"/>
        <v>6.8710000000000004</v>
      </c>
      <c r="GI35" s="605">
        <f t="shared" si="16"/>
        <v>6.8710000000000004</v>
      </c>
      <c r="GJ35" s="627">
        <f t="shared" si="17"/>
        <v>2.1859999999999999</v>
      </c>
      <c r="GK35" s="239">
        <f t="shared" si="18"/>
        <v>1.306</v>
      </c>
      <c r="GL35" s="36" t="str">
        <f t="shared" si="19"/>
        <v>селенит натрия</v>
      </c>
      <c r="GM35" s="664"/>
      <c r="GN35" s="14"/>
      <c r="GO35" s="14"/>
    </row>
    <row r="36" spans="1:202" x14ac:dyDescent="0.3">
      <c r="A36" s="127">
        <f t="shared" si="20"/>
        <v>25</v>
      </c>
      <c r="B36" s="278" t="s">
        <v>16</v>
      </c>
      <c r="C36" s="565">
        <f>'3_квартал'!G36</f>
        <v>780.06</v>
      </c>
      <c r="D36" s="346">
        <v>1436.99</v>
      </c>
      <c r="E36" s="241">
        <f>1222.83+78.98</f>
        <v>1301.81</v>
      </c>
      <c r="F36" s="889">
        <v>1921.02</v>
      </c>
      <c r="G36" s="299">
        <f t="shared" si="9"/>
        <v>1553.2729999999999</v>
      </c>
      <c r="H36" s="93">
        <f>921.02+1000</f>
        <v>1921.02</v>
      </c>
      <c r="I36" s="93">
        <v>0</v>
      </c>
      <c r="J36" s="112"/>
      <c r="K36" s="319">
        <f>54.432*4</f>
        <v>217.72800000000001</v>
      </c>
      <c r="L36" s="319"/>
      <c r="M36" s="319">
        <f>16.128*2</f>
        <v>32.256</v>
      </c>
      <c r="N36" s="319">
        <f>5.04*1.5</f>
        <v>7.5600000000000005</v>
      </c>
      <c r="O36" s="319">
        <f>12.701*3</f>
        <v>38.103000000000002</v>
      </c>
      <c r="P36" s="319"/>
      <c r="Q36" s="319">
        <f>5.04*2.1</f>
        <v>10.584000000000001</v>
      </c>
      <c r="R36" s="319">
        <f>10.08*3</f>
        <v>30.240000000000002</v>
      </c>
      <c r="S36" s="319">
        <f>7.862</f>
        <v>7.8620000000000001</v>
      </c>
      <c r="T36" s="319">
        <f>5.04*1.5</f>
        <v>7.5600000000000005</v>
      </c>
      <c r="U36" s="319"/>
      <c r="V36" s="319">
        <f>10.08*4.5</f>
        <v>45.36</v>
      </c>
      <c r="W36" s="319"/>
      <c r="X36" s="319">
        <v>18.143999999999998</v>
      </c>
      <c r="Y36" s="319">
        <v>7.2560000000000002</v>
      </c>
      <c r="Z36" s="319">
        <f>53.424*3</f>
        <v>160.27199999999999</v>
      </c>
      <c r="AA36" s="319">
        <f>100.8/20*1.7</f>
        <v>8.5679999999999996</v>
      </c>
      <c r="AB36" s="319">
        <f>5.04*0.5</f>
        <v>2.52</v>
      </c>
      <c r="AC36" s="319">
        <f>100.8/20*9</f>
        <v>45.36</v>
      </c>
      <c r="AD36" s="319">
        <f>100.8/20*9.3</f>
        <v>46.872000000000007</v>
      </c>
      <c r="AE36" s="319">
        <f>1.512</f>
        <v>1.512</v>
      </c>
      <c r="AF36" s="319">
        <f>15.322*3</f>
        <v>45.965999999999994</v>
      </c>
      <c r="AG36" s="319">
        <f>1.512/0.3*0.4</f>
        <v>2.016</v>
      </c>
      <c r="AH36" s="319">
        <f>15.12</f>
        <v>15.12</v>
      </c>
      <c r="AI36" s="319"/>
      <c r="AJ36" s="319"/>
      <c r="AK36" s="319"/>
      <c r="AL36" s="319">
        <v>48.384</v>
      </c>
      <c r="AM36" s="319">
        <v>3.024</v>
      </c>
      <c r="AN36" s="319">
        <v>6.048</v>
      </c>
      <c r="AO36" s="319"/>
      <c r="AP36" s="319"/>
      <c r="AQ36" s="319">
        <f>5.04*1.5</f>
        <v>7.5600000000000005</v>
      </c>
      <c r="AR36" s="319">
        <f>5.04*6</f>
        <v>30.240000000000002</v>
      </c>
      <c r="AS36" s="319">
        <f>17.136*3</f>
        <v>51.408000000000001</v>
      </c>
      <c r="AT36" s="319"/>
      <c r="AU36" s="319">
        <f>5.04*2</f>
        <v>10.08</v>
      </c>
      <c r="AV36" s="319">
        <f>5.544*2.4</f>
        <v>13.305599999999998</v>
      </c>
      <c r="AW36" s="319">
        <v>15.12</v>
      </c>
      <c r="AX36" s="319">
        <f>85.68/5*3</f>
        <v>51.408000000000008</v>
      </c>
      <c r="AY36" s="319">
        <f>85.68/5*2</f>
        <v>34.272000000000006</v>
      </c>
      <c r="AZ36" s="319">
        <v>15.12</v>
      </c>
      <c r="BA36" s="319">
        <v>14.112</v>
      </c>
      <c r="BB36" s="319">
        <v>56.448</v>
      </c>
      <c r="BC36" s="319">
        <f>1.008*4</f>
        <v>4.032</v>
      </c>
      <c r="BD36" s="319">
        <f>67.536*4</f>
        <v>270.14400000000001</v>
      </c>
      <c r="BE36" s="319">
        <f>26.208*2</f>
        <v>52.415999999999997</v>
      </c>
      <c r="BF36" s="319">
        <f>1.008*3</f>
        <v>3.024</v>
      </c>
      <c r="BG36" s="158">
        <f t="shared" si="11"/>
        <v>1437.0045999999998</v>
      </c>
      <c r="BH36" s="112"/>
      <c r="BI36" s="833">
        <v>3.024</v>
      </c>
      <c r="BJ36" s="319">
        <v>27.72</v>
      </c>
      <c r="BK36" s="319">
        <v>5.5439999999999996</v>
      </c>
      <c r="BL36" s="319">
        <f>67.536*4</f>
        <v>270.14400000000001</v>
      </c>
      <c r="BM36" s="319">
        <f>13.104*5</f>
        <v>65.52</v>
      </c>
      <c r="BN36" s="319">
        <f>8.366*5</f>
        <v>41.83</v>
      </c>
      <c r="BO36" s="319">
        <f>65.52*1.5</f>
        <v>98.28</v>
      </c>
      <c r="BP36" s="319">
        <v>20.16</v>
      </c>
      <c r="BQ36" s="319">
        <f>4.234/0.6</f>
        <v>7.0566666666666666</v>
      </c>
      <c r="BR36" s="319">
        <v>58.463999999999999</v>
      </c>
      <c r="BS36" s="319">
        <v>81.647999999999996</v>
      </c>
      <c r="BT36" s="319">
        <f>100.195/2*0.8</f>
        <v>40.078000000000003</v>
      </c>
      <c r="BU36" s="319">
        <f>66.528*1.5</f>
        <v>99.792000000000002</v>
      </c>
      <c r="BV36" s="319">
        <f>81.648/3*2</f>
        <v>54.431999999999995</v>
      </c>
      <c r="BW36" s="319">
        <f>15.12/0.5</f>
        <v>30.24</v>
      </c>
      <c r="BX36" s="319">
        <f>29.736*1.8</f>
        <v>53.524799999999999</v>
      </c>
      <c r="BY36" s="319">
        <v>29.231999999999999</v>
      </c>
      <c r="BZ36" s="319">
        <v>5.5439999999999996</v>
      </c>
      <c r="CA36" s="319"/>
      <c r="CB36" s="319">
        <f>13.104*5</f>
        <v>65.52</v>
      </c>
      <c r="CC36" s="319">
        <f>14.515/2.4*1.5</f>
        <v>9.0718750000000021</v>
      </c>
      <c r="CD36" s="319">
        <v>25.582999999999998</v>
      </c>
      <c r="CE36" s="319">
        <f>13.104*5</f>
        <v>65.52</v>
      </c>
      <c r="CF36" s="319">
        <f>15.12*0.5</f>
        <v>7.56</v>
      </c>
      <c r="CG36" s="319">
        <f>89.208/3*2.4</f>
        <v>71.366399999999999</v>
      </c>
      <c r="CH36" s="319">
        <v>64.924999999999997</v>
      </c>
      <c r="CI36" s="319"/>
      <c r="CJ36" s="319"/>
      <c r="CK36" s="319"/>
      <c r="CL36" s="319"/>
      <c r="CM36" s="319"/>
      <c r="CN36" s="319"/>
      <c r="CO36" s="319"/>
      <c r="CP36" s="319"/>
      <c r="CQ36" s="365"/>
      <c r="CR36" s="419">
        <f t="shared" si="12"/>
        <v>1301.7797416666665</v>
      </c>
      <c r="CS36" s="57"/>
      <c r="CT36" s="319">
        <f>105.84/10*8</f>
        <v>84.671999999999997</v>
      </c>
      <c r="CU36" s="319">
        <f>105.84/10*2</f>
        <v>21.167999999999999</v>
      </c>
      <c r="CV36" s="319">
        <v>2.016</v>
      </c>
      <c r="CW36" s="319">
        <v>35.381</v>
      </c>
      <c r="CX36" s="319">
        <f>66.024*5</f>
        <v>330.12</v>
      </c>
      <c r="CY36" s="319">
        <f>24.192*2</f>
        <v>48.384</v>
      </c>
      <c r="CZ36" s="319">
        <f>3.024*3.8</f>
        <v>11.491199999999999</v>
      </c>
      <c r="DA36" s="319">
        <f>34.776/15*3.7</f>
        <v>8.5780799999999999</v>
      </c>
      <c r="DB36" s="319">
        <f>34.776/15*5.5</f>
        <v>12.751200000000001</v>
      </c>
      <c r="DC36" s="319"/>
      <c r="DD36" s="319">
        <v>36.590000000000003</v>
      </c>
      <c r="DE36" s="319">
        <f>7.258*0.5</f>
        <v>3.629</v>
      </c>
      <c r="DF36" s="319"/>
      <c r="DG36" s="319">
        <f>66.024*4</f>
        <v>264.096</v>
      </c>
      <c r="DH36" s="319">
        <f>24.192</f>
        <v>24.192</v>
      </c>
      <c r="DI36" s="319">
        <f>3.024*7</f>
        <v>21.167999999999999</v>
      </c>
      <c r="DJ36" s="319">
        <f>18.648*0.6</f>
        <v>11.188799999999999</v>
      </c>
      <c r="DK36" s="319">
        <v>40.32</v>
      </c>
      <c r="DL36" s="319">
        <f>36.59*0.3</f>
        <v>10.977</v>
      </c>
      <c r="DM36" s="319"/>
      <c r="DN36" s="319"/>
      <c r="DO36" s="319">
        <v>65.52</v>
      </c>
      <c r="DP36" s="319">
        <f>88.301/6*3</f>
        <v>44.150500000000001</v>
      </c>
      <c r="DQ36" s="319">
        <f>34.776/15*5.8</f>
        <v>13.446719999999999</v>
      </c>
      <c r="DR36" s="319">
        <f>24.192*3.3</f>
        <v>79.83359999999999</v>
      </c>
      <c r="DS36" s="319"/>
      <c r="DT36" s="245">
        <f>14.969/0.9*0.6</f>
        <v>9.9793333333333329</v>
      </c>
      <c r="DU36" s="271"/>
      <c r="DV36" s="177"/>
      <c r="DW36" s="177"/>
      <c r="DX36" s="319"/>
      <c r="DY36" s="319">
        <f>65.772*5</f>
        <v>328.86</v>
      </c>
      <c r="DZ36" s="319"/>
      <c r="EA36" s="319"/>
      <c r="EB36" s="319"/>
      <c r="EC36" s="319"/>
      <c r="ED36" s="319"/>
      <c r="EE36" s="319">
        <f>3.024*2.2</f>
        <v>6.6528000000000009</v>
      </c>
      <c r="EF36" s="319"/>
      <c r="EG36" s="319"/>
      <c r="EH36" s="319">
        <f>74.088*4</f>
        <v>296.35199999999998</v>
      </c>
      <c r="EI36" s="319"/>
      <c r="EJ36" s="319">
        <v>40.32</v>
      </c>
      <c r="EK36" s="245"/>
      <c r="EL36" s="466"/>
      <c r="EM36" s="319">
        <f>2.722*4.2</f>
        <v>11.432400000000001</v>
      </c>
      <c r="EN36" s="319">
        <f>2.722*2</f>
        <v>5.444</v>
      </c>
      <c r="EO36" s="319"/>
      <c r="EP36" s="319"/>
      <c r="EQ36" s="319"/>
      <c r="ER36" s="319"/>
      <c r="ES36" s="319"/>
      <c r="ET36" s="319"/>
      <c r="EU36" s="319"/>
      <c r="EV36" s="319"/>
      <c r="EW36" s="319"/>
      <c r="EX36" s="319"/>
      <c r="EY36" s="319"/>
      <c r="EZ36" s="319"/>
      <c r="FA36" s="319">
        <v>12.75</v>
      </c>
      <c r="FB36" s="319"/>
      <c r="FC36" s="319">
        <f>56.972/1.2*0.6</f>
        <v>28.486000000000001</v>
      </c>
      <c r="FD36" s="319">
        <f>16.602/0.9*0.6</f>
        <v>11.068</v>
      </c>
      <c r="FE36" s="319"/>
      <c r="FF36" s="319"/>
      <c r="FG36" s="319"/>
      <c r="FH36" s="319"/>
      <c r="FI36" s="158">
        <f t="shared" si="13"/>
        <v>1921.0176333333334</v>
      </c>
      <c r="FJ36" s="113"/>
      <c r="FK36" s="374"/>
      <c r="FL36" s="319"/>
      <c r="FM36" s="319"/>
      <c r="FN36" s="319"/>
      <c r="FO36" s="319"/>
      <c r="FP36" s="319"/>
      <c r="FQ36" s="319"/>
      <c r="FR36" s="319"/>
      <c r="FS36" s="319"/>
      <c r="FT36" s="319"/>
      <c r="FU36" s="319"/>
      <c r="FV36" s="319"/>
      <c r="FW36" s="319"/>
      <c r="FX36" s="319"/>
      <c r="FY36" s="28"/>
      <c r="FZ36" s="270"/>
      <c r="GA36" s="271"/>
      <c r="GB36" s="177"/>
      <c r="GC36" s="177"/>
      <c r="GD36" s="177"/>
      <c r="GE36" s="802"/>
      <c r="GF36" s="435"/>
      <c r="GG36" s="327">
        <f t="shared" si="14"/>
        <v>0</v>
      </c>
      <c r="GH36" s="525">
        <f t="shared" si="15"/>
        <v>0</v>
      </c>
      <c r="GI36" s="605">
        <f t="shared" si="16"/>
        <v>0</v>
      </c>
      <c r="GJ36" s="627">
        <f t="shared" si="17"/>
        <v>780.06</v>
      </c>
      <c r="GK36" s="239">
        <f t="shared" si="18"/>
        <v>1301.81</v>
      </c>
      <c r="GL36" s="36" t="str">
        <f t="shared" si="19"/>
        <v>Метионин</v>
      </c>
      <c r="GM36" s="38"/>
      <c r="GN36" s="14"/>
      <c r="GO36" s="14"/>
    </row>
    <row r="37" spans="1:202" x14ac:dyDescent="0.3">
      <c r="A37" s="127">
        <f t="shared" si="20"/>
        <v>26</v>
      </c>
      <c r="B37" s="276" t="s">
        <v>312</v>
      </c>
      <c r="C37" s="565">
        <f>'3_квартал'!G37</f>
        <v>20.420000000000002</v>
      </c>
      <c r="D37" s="346">
        <v>153.96</v>
      </c>
      <c r="E37" s="241">
        <v>124.55</v>
      </c>
      <c r="F37" s="889">
        <f>60.23+110.33</f>
        <v>170.56</v>
      </c>
      <c r="G37" s="299">
        <f t="shared" si="9"/>
        <v>149.69</v>
      </c>
      <c r="H37" s="93">
        <v>60.23</v>
      </c>
      <c r="I37" s="93">
        <v>789.67</v>
      </c>
      <c r="J37" s="112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>
        <v>24.106000000000002</v>
      </c>
      <c r="Y37" s="319">
        <v>24.106000000000002</v>
      </c>
      <c r="Z37" s="319"/>
      <c r="AA37" s="319"/>
      <c r="AB37" s="319"/>
      <c r="AC37" s="319"/>
      <c r="AD37" s="319"/>
      <c r="AE37" s="319"/>
      <c r="AF37" s="319"/>
      <c r="AG37" s="319"/>
      <c r="AH37" s="319"/>
      <c r="AI37" s="319"/>
      <c r="AJ37" s="319">
        <f>40.176*1.5</f>
        <v>60.264000000000003</v>
      </c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  <c r="AY37" s="319"/>
      <c r="AZ37" s="319"/>
      <c r="BA37" s="319">
        <v>18.748999999999999</v>
      </c>
      <c r="BB37" s="319">
        <v>26.725999999999999</v>
      </c>
      <c r="BC37" s="319"/>
      <c r="BD37" s="319"/>
      <c r="BE37" s="319"/>
      <c r="BF37" s="319"/>
      <c r="BG37" s="158">
        <f t="shared" si="11"/>
        <v>153.95099999999999</v>
      </c>
      <c r="BH37" s="112"/>
      <c r="BI37" s="833"/>
      <c r="BJ37" s="319"/>
      <c r="BK37" s="319"/>
      <c r="BL37" s="319"/>
      <c r="BM37" s="319"/>
      <c r="BN37" s="319"/>
      <c r="BO37" s="319"/>
      <c r="BP37" s="319"/>
      <c r="BQ37" s="319"/>
      <c r="BR37" s="319"/>
      <c r="BS37" s="319"/>
      <c r="BT37" s="319"/>
      <c r="BU37" s="319"/>
      <c r="BV37" s="319"/>
      <c r="BW37" s="319"/>
      <c r="BX37" s="319"/>
      <c r="BY37" s="319"/>
      <c r="BZ37" s="319"/>
      <c r="CA37" s="319"/>
      <c r="CB37" s="319"/>
      <c r="CC37" s="319"/>
      <c r="CD37" s="319">
        <v>24.106000000000002</v>
      </c>
      <c r="CE37" s="319"/>
      <c r="CF37" s="319"/>
      <c r="CG37" s="319"/>
      <c r="CH37" s="319"/>
      <c r="CI37" s="319"/>
      <c r="CJ37" s="319"/>
      <c r="CK37" s="319"/>
      <c r="CL37" s="319">
        <f>60.264/1.5*2.5</f>
        <v>100.44</v>
      </c>
      <c r="CM37" s="319"/>
      <c r="CN37" s="319"/>
      <c r="CO37" s="319"/>
      <c r="CP37" s="319"/>
      <c r="CQ37" s="365"/>
      <c r="CR37" s="419">
        <f t="shared" si="12"/>
        <v>124.54599999999999</v>
      </c>
      <c r="CS37" s="57"/>
      <c r="CT37" s="319"/>
      <c r="CU37" s="319"/>
      <c r="CV37" s="319"/>
      <c r="CW37" s="319"/>
      <c r="CX37" s="319"/>
      <c r="CY37" s="319"/>
      <c r="CZ37" s="319"/>
      <c r="DA37" s="319"/>
      <c r="DB37" s="319"/>
      <c r="DC37" s="319"/>
      <c r="DD37" s="319"/>
      <c r="DE37" s="319"/>
      <c r="DF37" s="319"/>
      <c r="DG37" s="319"/>
      <c r="DH37" s="319"/>
      <c r="DI37" s="319"/>
      <c r="DJ37" s="319">
        <f>26.784*0.6</f>
        <v>16.070399999999999</v>
      </c>
      <c r="DK37" s="319">
        <v>16.704000000000001</v>
      </c>
      <c r="DL37" s="319"/>
      <c r="DM37" s="319"/>
      <c r="DN37" s="319"/>
      <c r="DO37" s="319"/>
      <c r="DP37" s="319"/>
      <c r="DQ37" s="319"/>
      <c r="DR37" s="319"/>
      <c r="DS37" s="319"/>
      <c r="DT37" s="245">
        <f>36.158/0.9*0.6</f>
        <v>24.105333333333331</v>
      </c>
      <c r="DU37" s="271"/>
      <c r="DV37" s="177"/>
      <c r="DW37" s="177"/>
      <c r="DX37" s="319"/>
      <c r="DY37" s="319"/>
      <c r="DZ37" s="319"/>
      <c r="EA37" s="319"/>
      <c r="EB37" s="319"/>
      <c r="EC37" s="319"/>
      <c r="ED37" s="319"/>
      <c r="EE37" s="319"/>
      <c r="EF37" s="319"/>
      <c r="EG37" s="319"/>
      <c r="EH37" s="319"/>
      <c r="EI37" s="319"/>
      <c r="EJ37" s="319"/>
      <c r="EK37" s="245"/>
      <c r="EL37" s="466"/>
      <c r="EM37" s="319"/>
      <c r="EN37" s="319"/>
      <c r="EO37" s="319"/>
      <c r="EP37" s="319"/>
      <c r="EQ37" s="319"/>
      <c r="ER37" s="319"/>
      <c r="ES37" s="319"/>
      <c r="ET37" s="319"/>
      <c r="EU37" s="319"/>
      <c r="EV37" s="319"/>
      <c r="EW37" s="319"/>
      <c r="EX37" s="319"/>
      <c r="EY37" s="319"/>
      <c r="EZ37" s="319"/>
      <c r="FA37" s="319"/>
      <c r="FB37" s="319">
        <v>65.459999999999994</v>
      </c>
      <c r="FC37" s="319">
        <f>48.211/1.2*0.6</f>
        <v>24.105500000000003</v>
      </c>
      <c r="FD37" s="319">
        <f>36.158/0.9*0.6</f>
        <v>24.105333333333331</v>
      </c>
      <c r="FE37" s="319"/>
      <c r="FF37" s="319"/>
      <c r="FG37" s="319"/>
      <c r="FH37" s="319"/>
      <c r="FI37" s="158">
        <f t="shared" si="13"/>
        <v>170.55056666666667</v>
      </c>
      <c r="FJ37" s="113"/>
      <c r="FK37" s="374"/>
      <c r="FL37" s="319"/>
      <c r="FM37" s="319"/>
      <c r="FN37" s="319"/>
      <c r="FO37" s="319"/>
      <c r="FP37" s="319"/>
      <c r="FQ37" s="319"/>
      <c r="FR37" s="319"/>
      <c r="FS37" s="319"/>
      <c r="FT37" s="319"/>
      <c r="FU37" s="319"/>
      <c r="FV37" s="319"/>
      <c r="FW37" s="319"/>
      <c r="FX37" s="319"/>
      <c r="FY37" s="28"/>
      <c r="FZ37" s="270"/>
      <c r="GA37" s="271"/>
      <c r="GB37" s="177"/>
      <c r="GC37" s="177"/>
      <c r="GD37" s="177"/>
      <c r="GE37" s="802"/>
      <c r="GF37" s="435"/>
      <c r="GG37" s="327">
        <f t="shared" si="14"/>
        <v>0</v>
      </c>
      <c r="GH37" s="445">
        <f t="shared" si="15"/>
        <v>789.67</v>
      </c>
      <c r="GI37" s="605">
        <f t="shared" si="16"/>
        <v>789.67</v>
      </c>
      <c r="GJ37" s="627">
        <f t="shared" si="17"/>
        <v>20.420000000000002</v>
      </c>
      <c r="GK37" s="239">
        <f t="shared" si="18"/>
        <v>124.55</v>
      </c>
      <c r="GL37" s="36" t="str">
        <f t="shared" si="19"/>
        <v>МиТаргет (Метионин защищённый)</v>
      </c>
      <c r="GM37" s="38"/>
      <c r="GN37" s="14"/>
      <c r="GO37" s="22"/>
    </row>
    <row r="38" spans="1:202" x14ac:dyDescent="0.3">
      <c r="A38" s="127">
        <f t="shared" si="20"/>
        <v>27</v>
      </c>
      <c r="B38" s="278" t="s">
        <v>14</v>
      </c>
      <c r="C38" s="565">
        <f>'3_квартал'!G38</f>
        <v>6241.2330000000002</v>
      </c>
      <c r="D38" s="346">
        <v>7474.78</v>
      </c>
      <c r="E38" s="241">
        <v>4042.81</v>
      </c>
      <c r="F38" s="889">
        <f>5640.84</f>
        <v>5640.84</v>
      </c>
      <c r="G38" s="299">
        <f t="shared" si="9"/>
        <v>5719.4769999999999</v>
      </c>
      <c r="H38" s="93">
        <f>5705.05+20000</f>
        <v>25705.05</v>
      </c>
      <c r="I38" s="93">
        <f>64.21+17000</f>
        <v>17064.21</v>
      </c>
      <c r="J38" s="112"/>
      <c r="K38" s="319"/>
      <c r="L38" s="319"/>
      <c r="M38" s="319"/>
      <c r="N38" s="319"/>
      <c r="O38" s="319">
        <f>158.256*3</f>
        <v>474.76800000000003</v>
      </c>
      <c r="P38" s="319"/>
      <c r="Q38" s="319">
        <f>150.696*2.1</f>
        <v>316.46160000000003</v>
      </c>
      <c r="R38" s="319">
        <f>158.76*3</f>
        <v>476.28</v>
      </c>
      <c r="S38" s="319">
        <f>79.834</f>
        <v>79.834000000000003</v>
      </c>
      <c r="T38" s="319">
        <f>158.256*1.5</f>
        <v>237.38400000000001</v>
      </c>
      <c r="U38" s="319">
        <f>34.272*0.25</f>
        <v>8.5679999999999996</v>
      </c>
      <c r="V38" s="319">
        <f>34.272*4.5</f>
        <v>154.22399999999999</v>
      </c>
      <c r="W38" s="319">
        <f>132.149*3</f>
        <v>396.447</v>
      </c>
      <c r="X38" s="319"/>
      <c r="Y38" s="319">
        <v>10.282</v>
      </c>
      <c r="Z38" s="319"/>
      <c r="AA38" s="319"/>
      <c r="AB38" s="319"/>
      <c r="AC38" s="319"/>
      <c r="AD38" s="319"/>
      <c r="AE38" s="319"/>
      <c r="AF38" s="319">
        <f>158.256*3</f>
        <v>474.76800000000003</v>
      </c>
      <c r="AG38" s="319">
        <f>30.24/0.3*0.4</f>
        <v>40.32</v>
      </c>
      <c r="AH38" s="319">
        <f>479.304</f>
        <v>479.30399999999997</v>
      </c>
      <c r="AI38" s="319">
        <v>110.376</v>
      </c>
      <c r="AJ38" s="319">
        <f>17.136*1.5</f>
        <v>25.704000000000001</v>
      </c>
      <c r="AK38" s="319">
        <v>16.632000000000001</v>
      </c>
      <c r="AL38" s="319"/>
      <c r="AM38" s="319"/>
      <c r="AN38" s="319"/>
      <c r="AO38" s="319">
        <v>875.952</v>
      </c>
      <c r="AP38" s="319"/>
      <c r="AQ38" s="319">
        <f>158.256*1.5</f>
        <v>237.38400000000001</v>
      </c>
      <c r="AR38" s="319">
        <f>157.752*6</f>
        <v>946.51200000000006</v>
      </c>
      <c r="AS38" s="319">
        <f>158.256*3</f>
        <v>474.76800000000003</v>
      </c>
      <c r="AT38" s="319"/>
      <c r="AU38" s="319">
        <f>34.272*2</f>
        <v>68.543999999999997</v>
      </c>
      <c r="AV38" s="319">
        <f>150.696*2.4</f>
        <v>361.67039999999997</v>
      </c>
      <c r="AW38" s="319">
        <v>302.39999999999998</v>
      </c>
      <c r="AX38" s="319">
        <f>774.144/5*3</f>
        <v>464.4864</v>
      </c>
      <c r="AY38" s="319">
        <f>774.144/5*2</f>
        <v>309.6576</v>
      </c>
      <c r="AZ38" s="319">
        <v>63.527999999999999</v>
      </c>
      <c r="BA38" s="319"/>
      <c r="BB38" s="319"/>
      <c r="BC38" s="319"/>
      <c r="BD38" s="319"/>
      <c r="BE38" s="319">
        <f>34.272*2</f>
        <v>68.543999999999997</v>
      </c>
      <c r="BF38" s="319"/>
      <c r="BG38" s="158">
        <f t="shared" si="11"/>
        <v>7474.7990000000009</v>
      </c>
      <c r="BH38" s="112"/>
      <c r="BI38" s="833">
        <v>60.48</v>
      </c>
      <c r="BJ38" s="319"/>
      <c r="BK38" s="319"/>
      <c r="BL38" s="319"/>
      <c r="BM38" s="319"/>
      <c r="BN38" s="319"/>
      <c r="BO38" s="319"/>
      <c r="BP38" s="319">
        <v>133.05600000000001</v>
      </c>
      <c r="BQ38" s="319"/>
      <c r="BR38" s="319"/>
      <c r="BS38" s="319">
        <v>476.28</v>
      </c>
      <c r="BT38" s="319">
        <f>68.544/2*0.8</f>
        <v>27.4176</v>
      </c>
      <c r="BU38" s="319"/>
      <c r="BV38" s="319">
        <f>476.28/3*2</f>
        <v>317.52</v>
      </c>
      <c r="BW38" s="319">
        <f>63.528/0.5</f>
        <v>127.056</v>
      </c>
      <c r="BX38" s="319">
        <f>34.272*1.8</f>
        <v>61.689599999999999</v>
      </c>
      <c r="BY38" s="319"/>
      <c r="BZ38" s="319"/>
      <c r="CA38" s="319">
        <v>428.4</v>
      </c>
      <c r="CB38" s="319"/>
      <c r="CC38" s="319">
        <f>361.67/2.4*1.5</f>
        <v>226.04375000000005</v>
      </c>
      <c r="CD38" s="319"/>
      <c r="CE38" s="319"/>
      <c r="CF38" s="319">
        <f>110.376*0.5</f>
        <v>55.188000000000002</v>
      </c>
      <c r="CG38" s="319">
        <f>475.373/3*2.4</f>
        <v>380.29839999999996</v>
      </c>
      <c r="CH38" s="319"/>
      <c r="CI38" s="319">
        <v>249.98400000000001</v>
      </c>
      <c r="CJ38" s="319"/>
      <c r="CK38" s="319">
        <f>159.264*5.5</f>
        <v>875.952</v>
      </c>
      <c r="CL38" s="319">
        <f>25.704/1.5*2.5</f>
        <v>42.839999999999996</v>
      </c>
      <c r="CM38" s="319">
        <v>165.56399999999999</v>
      </c>
      <c r="CN38" s="319">
        <f>132.149*2.5</f>
        <v>330.3725</v>
      </c>
      <c r="CO38" s="319"/>
      <c r="CP38" s="319">
        <v>33.264000000000003</v>
      </c>
      <c r="CQ38" s="365">
        <f>34.272*1.5</f>
        <v>51.408000000000001</v>
      </c>
      <c r="CR38" s="419">
        <f t="shared" si="12"/>
        <v>4042.81385</v>
      </c>
      <c r="CS38" s="57"/>
      <c r="CT38" s="319"/>
      <c r="CU38" s="319"/>
      <c r="CV38" s="319">
        <v>40.32</v>
      </c>
      <c r="CW38" s="319"/>
      <c r="CX38" s="319"/>
      <c r="CY38" s="319">
        <f>34.272*2</f>
        <v>68.543999999999997</v>
      </c>
      <c r="CZ38" s="319"/>
      <c r="DA38" s="319"/>
      <c r="DB38" s="319"/>
      <c r="DC38" s="319">
        <v>468.72</v>
      </c>
      <c r="DD38" s="319">
        <v>266.11200000000002</v>
      </c>
      <c r="DE38" s="319"/>
      <c r="DF38" s="319"/>
      <c r="DG38" s="319"/>
      <c r="DH38" s="319">
        <f>34.272</f>
        <v>34.271999999999998</v>
      </c>
      <c r="DI38" s="319"/>
      <c r="DJ38" s="319"/>
      <c r="DK38" s="319"/>
      <c r="DL38" s="319">
        <f>266.112*0.3</f>
        <v>79.833600000000004</v>
      </c>
      <c r="DM38" s="319">
        <v>302.39999999999998</v>
      </c>
      <c r="DN38" s="319"/>
      <c r="DO38" s="319"/>
      <c r="DP38" s="319">
        <f>947.722/6*3</f>
        <v>473.86099999999999</v>
      </c>
      <c r="DQ38" s="319"/>
      <c r="DR38" s="319">
        <f>34.272*3.3</f>
        <v>113.09759999999999</v>
      </c>
      <c r="DS38" s="319"/>
      <c r="DT38" s="245">
        <f>15.422/0.9*0.6</f>
        <v>10.281333333333333</v>
      </c>
      <c r="DU38" s="271"/>
      <c r="DV38" s="177"/>
      <c r="DW38" s="177"/>
      <c r="DX38" s="319"/>
      <c r="DY38" s="319"/>
      <c r="DZ38" s="319">
        <f>132.149*2.6</f>
        <v>343.5874</v>
      </c>
      <c r="EA38" s="319">
        <f>159.264*4</f>
        <v>637.05600000000004</v>
      </c>
      <c r="EB38" s="319">
        <v>33.264000000000003</v>
      </c>
      <c r="EC38" s="319">
        <v>234.36</v>
      </c>
      <c r="ED38" s="319">
        <v>15.422000000000001</v>
      </c>
      <c r="EE38" s="319">
        <f>150.696*2.2</f>
        <v>331.53120000000001</v>
      </c>
      <c r="EF38" s="319">
        <f>34.272*0.8</f>
        <v>27.4176</v>
      </c>
      <c r="EG38" s="319">
        <f>158.76*4</f>
        <v>635.04</v>
      </c>
      <c r="EH38" s="319"/>
      <c r="EI38" s="319"/>
      <c r="EJ38" s="319"/>
      <c r="EK38" s="245">
        <f>34.272</f>
        <v>34.271999999999998</v>
      </c>
      <c r="EL38" s="466">
        <f>17.136*1.3</f>
        <v>22.276800000000001</v>
      </c>
      <c r="EM38" s="319"/>
      <c r="EN38" s="319"/>
      <c r="EO38" s="319"/>
      <c r="EP38" s="319"/>
      <c r="EQ38" s="319">
        <f>34.272</f>
        <v>34.271999999999998</v>
      </c>
      <c r="ER38" s="319"/>
      <c r="ES38" s="319">
        <v>468.72</v>
      </c>
      <c r="ET38" s="319">
        <f>34.272</f>
        <v>34.271999999999998</v>
      </c>
      <c r="EU38" s="319">
        <f>382.959/2.4</f>
        <v>159.56625</v>
      </c>
      <c r="EV38" s="319"/>
      <c r="EW38" s="319"/>
      <c r="EX38" s="319">
        <f>382.959/2.4*2</f>
        <v>319.13249999999999</v>
      </c>
      <c r="EY38" s="319"/>
      <c r="EZ38" s="319">
        <f>34.272*1.5</f>
        <v>51.408000000000001</v>
      </c>
      <c r="FA38" s="319">
        <v>362.39600000000002</v>
      </c>
      <c r="FB38" s="319">
        <v>29.131</v>
      </c>
      <c r="FC38" s="319"/>
      <c r="FD38" s="319">
        <f>15.422/0.9*0.6</f>
        <v>10.281333333333333</v>
      </c>
      <c r="FE38" s="319"/>
      <c r="FF38" s="319"/>
      <c r="FG38" s="319"/>
      <c r="FH38" s="319"/>
      <c r="FI38" s="158">
        <f t="shared" si="13"/>
        <v>5640.8476166666669</v>
      </c>
      <c r="FJ38" s="95"/>
      <c r="FK38" s="374"/>
      <c r="FL38" s="319"/>
      <c r="FM38" s="319"/>
      <c r="FN38" s="319"/>
      <c r="FO38" s="319"/>
      <c r="FP38" s="319"/>
      <c r="FQ38" s="319"/>
      <c r="FR38" s="319"/>
      <c r="FS38" s="319"/>
      <c r="FT38" s="319"/>
      <c r="FU38" s="319"/>
      <c r="FV38" s="319"/>
      <c r="FW38" s="319"/>
      <c r="FX38" s="319"/>
      <c r="FY38" s="28"/>
      <c r="FZ38" s="270"/>
      <c r="GA38" s="271"/>
      <c r="GB38" s="177"/>
      <c r="GC38" s="177"/>
      <c r="GD38" s="177"/>
      <c r="GE38" s="802"/>
      <c r="GF38" s="435"/>
      <c r="GG38" s="327">
        <f t="shared" si="14"/>
        <v>0</v>
      </c>
      <c r="GH38" s="445">
        <f t="shared" si="15"/>
        <v>17064.21</v>
      </c>
      <c r="GI38" s="605">
        <f t="shared" si="16"/>
        <v>17064.21</v>
      </c>
      <c r="GJ38" s="627">
        <f t="shared" si="17"/>
        <v>6241.2330000000002</v>
      </c>
      <c r="GK38" s="239">
        <f t="shared" si="18"/>
        <v>4042.81</v>
      </c>
      <c r="GL38" s="36" t="str">
        <f t="shared" si="19"/>
        <v>монокальцийфосфат (МКФ)</v>
      </c>
      <c r="GM38" s="38"/>
      <c r="GN38" s="22"/>
      <c r="GO38" s="22"/>
    </row>
    <row r="39" spans="1:202" x14ac:dyDescent="0.3">
      <c r="A39" s="127">
        <f t="shared" si="20"/>
        <v>28</v>
      </c>
      <c r="B39" s="278" t="s">
        <v>15</v>
      </c>
      <c r="C39" s="565">
        <f>'3_квартал'!G39</f>
        <v>0</v>
      </c>
      <c r="D39" s="346">
        <v>0</v>
      </c>
      <c r="E39" s="241">
        <v>0</v>
      </c>
      <c r="F39" s="889">
        <v>0</v>
      </c>
      <c r="G39" s="299">
        <f t="shared" si="9"/>
        <v>0</v>
      </c>
      <c r="H39" s="93">
        <v>0</v>
      </c>
      <c r="I39" s="93">
        <v>0</v>
      </c>
      <c r="J39" s="94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158">
        <f t="shared" si="11"/>
        <v>0</v>
      </c>
      <c r="BH39" s="94"/>
      <c r="BI39" s="833"/>
      <c r="BJ39" s="319"/>
      <c r="BK39" s="319"/>
      <c r="BL39" s="319"/>
      <c r="BM39" s="319"/>
      <c r="BN39" s="319"/>
      <c r="BO39" s="319"/>
      <c r="BP39" s="319"/>
      <c r="BQ39" s="319"/>
      <c r="BR39" s="319"/>
      <c r="BS39" s="319"/>
      <c r="BT39" s="319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65"/>
      <c r="CR39" s="419">
        <f t="shared" si="12"/>
        <v>0</v>
      </c>
      <c r="CS39" s="57"/>
      <c r="CT39" s="319"/>
      <c r="CU39" s="319"/>
      <c r="CV39" s="319"/>
      <c r="CW39" s="319"/>
      <c r="CX39" s="319"/>
      <c r="CY39" s="319"/>
      <c r="CZ39" s="319"/>
      <c r="DA39" s="319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319"/>
      <c r="DT39" s="245"/>
      <c r="DU39" s="271"/>
      <c r="DV39" s="177"/>
      <c r="DW39" s="177"/>
      <c r="DX39" s="319"/>
      <c r="DY39" s="319"/>
      <c r="DZ39" s="319"/>
      <c r="EA39" s="319"/>
      <c r="EB39" s="319"/>
      <c r="EC39" s="319"/>
      <c r="ED39" s="319"/>
      <c r="EE39" s="319"/>
      <c r="EF39" s="319"/>
      <c r="EG39" s="319"/>
      <c r="EH39" s="319"/>
      <c r="EI39" s="319"/>
      <c r="EJ39" s="319"/>
      <c r="EK39" s="245"/>
      <c r="EL39" s="466"/>
      <c r="EM39" s="319"/>
      <c r="EN39" s="319"/>
      <c r="EO39" s="319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158">
        <f t="shared" si="13"/>
        <v>0</v>
      </c>
      <c r="FJ39" s="95"/>
      <c r="FK39" s="374"/>
      <c r="FL39" s="319"/>
      <c r="FM39" s="319"/>
      <c r="FN39" s="319"/>
      <c r="FO39" s="319"/>
      <c r="FP39" s="319"/>
      <c r="FQ39" s="319"/>
      <c r="FR39" s="319"/>
      <c r="FS39" s="319"/>
      <c r="FT39" s="319"/>
      <c r="FU39" s="319"/>
      <c r="FV39" s="319"/>
      <c r="FW39" s="319"/>
      <c r="FX39" s="319"/>
      <c r="FY39" s="28"/>
      <c r="FZ39" s="270"/>
      <c r="GA39" s="271"/>
      <c r="GB39" s="177"/>
      <c r="GC39" s="177"/>
      <c r="GD39" s="177"/>
      <c r="GE39" s="802"/>
      <c r="GF39" s="435"/>
      <c r="GG39" s="327">
        <f t="shared" si="14"/>
        <v>0</v>
      </c>
      <c r="GH39" s="445">
        <f t="shared" si="15"/>
        <v>0</v>
      </c>
      <c r="GI39" s="605">
        <f t="shared" si="16"/>
        <v>0</v>
      </c>
      <c r="GJ39" s="627">
        <f t="shared" si="17"/>
        <v>0</v>
      </c>
      <c r="GK39" s="239">
        <f t="shared" si="18"/>
        <v>0</v>
      </c>
      <c r="GL39" s="36" t="str">
        <f t="shared" si="19"/>
        <v>фосфат дефторированный (ДФФ)</v>
      </c>
      <c r="GM39" s="664"/>
      <c r="GN39" s="22"/>
      <c r="GO39" s="22"/>
    </row>
    <row r="40" spans="1:202" x14ac:dyDescent="0.3">
      <c r="A40" s="127">
        <f t="shared" si="20"/>
        <v>29</v>
      </c>
      <c r="B40" s="278" t="s">
        <v>98</v>
      </c>
      <c r="C40" s="565">
        <f>'3_квартал'!G40</f>
        <v>0</v>
      </c>
      <c r="D40" s="263">
        <v>0</v>
      </c>
      <c r="E40" s="241">
        <v>0</v>
      </c>
      <c r="F40" s="888">
        <v>0</v>
      </c>
      <c r="G40" s="299">
        <f t="shared" si="9"/>
        <v>0</v>
      </c>
      <c r="H40" s="93">
        <v>0</v>
      </c>
      <c r="I40" s="93">
        <v>0</v>
      </c>
      <c r="J40" s="112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/>
      <c r="AI40" s="319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/>
      <c r="BD40" s="319"/>
      <c r="BE40" s="319"/>
      <c r="BF40" s="319"/>
      <c r="BG40" s="158">
        <f t="shared" si="11"/>
        <v>0</v>
      </c>
      <c r="BH40" s="112"/>
      <c r="BI40" s="833"/>
      <c r="BJ40" s="319"/>
      <c r="BK40" s="319"/>
      <c r="BL40" s="319"/>
      <c r="BM40" s="319"/>
      <c r="BN40" s="319"/>
      <c r="BO40" s="319"/>
      <c r="BP40" s="319"/>
      <c r="BQ40" s="319"/>
      <c r="BR40" s="319"/>
      <c r="BS40" s="319"/>
      <c r="BT40" s="319"/>
      <c r="BU40" s="319"/>
      <c r="BV40" s="319"/>
      <c r="BW40" s="319"/>
      <c r="BX40" s="319"/>
      <c r="BY40" s="319"/>
      <c r="BZ40" s="319"/>
      <c r="CA40" s="319"/>
      <c r="CB40" s="319"/>
      <c r="CC40" s="319"/>
      <c r="CD40" s="319"/>
      <c r="CE40" s="319"/>
      <c r="CF40" s="319"/>
      <c r="CG40" s="319"/>
      <c r="CH40" s="319"/>
      <c r="CI40" s="319"/>
      <c r="CJ40" s="319"/>
      <c r="CK40" s="319"/>
      <c r="CL40" s="319"/>
      <c r="CM40" s="319"/>
      <c r="CN40" s="319"/>
      <c r="CO40" s="319"/>
      <c r="CP40" s="319"/>
      <c r="CQ40" s="365"/>
      <c r="CR40" s="419">
        <f t="shared" si="12"/>
        <v>0</v>
      </c>
      <c r="CS40" s="57"/>
      <c r="CT40" s="319"/>
      <c r="CU40" s="319"/>
      <c r="CV40" s="319"/>
      <c r="CW40" s="319"/>
      <c r="CX40" s="319"/>
      <c r="CY40" s="319"/>
      <c r="CZ40" s="319"/>
      <c r="DA40" s="319"/>
      <c r="DB40" s="319"/>
      <c r="DC40" s="319"/>
      <c r="DD40" s="319"/>
      <c r="DE40" s="319"/>
      <c r="DF40" s="319"/>
      <c r="DG40" s="319"/>
      <c r="DH40" s="319"/>
      <c r="DI40" s="319"/>
      <c r="DJ40" s="319"/>
      <c r="DK40" s="319"/>
      <c r="DL40" s="319"/>
      <c r="DM40" s="319"/>
      <c r="DN40" s="319"/>
      <c r="DO40" s="319"/>
      <c r="DP40" s="319"/>
      <c r="DQ40" s="319"/>
      <c r="DR40" s="319"/>
      <c r="DS40" s="319"/>
      <c r="DT40" s="245"/>
      <c r="DU40" s="271"/>
      <c r="DV40" s="177"/>
      <c r="DW40" s="177"/>
      <c r="DX40" s="319"/>
      <c r="DY40" s="319"/>
      <c r="DZ40" s="319"/>
      <c r="EA40" s="319"/>
      <c r="EB40" s="319"/>
      <c r="EC40" s="319"/>
      <c r="ED40" s="319"/>
      <c r="EE40" s="319"/>
      <c r="EF40" s="319"/>
      <c r="EG40" s="319"/>
      <c r="EH40" s="319"/>
      <c r="EI40" s="319"/>
      <c r="EJ40" s="319"/>
      <c r="EK40" s="245"/>
      <c r="EL40" s="466"/>
      <c r="EM40" s="319"/>
      <c r="EN40" s="319"/>
      <c r="EO40" s="319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19"/>
      <c r="FC40" s="319"/>
      <c r="FD40" s="319"/>
      <c r="FE40" s="319"/>
      <c r="FF40" s="319"/>
      <c r="FG40" s="319"/>
      <c r="FH40" s="319"/>
      <c r="FI40" s="158">
        <f t="shared" si="13"/>
        <v>0</v>
      </c>
      <c r="FJ40" s="113"/>
      <c r="FK40" s="374"/>
      <c r="FL40" s="319"/>
      <c r="FM40" s="319"/>
      <c r="FN40" s="319"/>
      <c r="FO40" s="319"/>
      <c r="FP40" s="319"/>
      <c r="FQ40" s="319"/>
      <c r="FR40" s="319"/>
      <c r="FS40" s="319"/>
      <c r="FT40" s="319"/>
      <c r="FU40" s="319"/>
      <c r="FV40" s="319"/>
      <c r="FW40" s="319"/>
      <c r="FX40" s="319"/>
      <c r="FY40" s="28"/>
      <c r="FZ40" s="270"/>
      <c r="GA40" s="271"/>
      <c r="GB40" s="177"/>
      <c r="GC40" s="177"/>
      <c r="GD40" s="177"/>
      <c r="GE40" s="802"/>
      <c r="GF40" s="435"/>
      <c r="GG40" s="327">
        <f t="shared" si="14"/>
        <v>0</v>
      </c>
      <c r="GH40" s="445">
        <f t="shared" si="15"/>
        <v>0</v>
      </c>
      <c r="GI40" s="605">
        <f t="shared" si="16"/>
        <v>0</v>
      </c>
      <c r="GJ40" s="627">
        <f t="shared" si="17"/>
        <v>0</v>
      </c>
      <c r="GK40" s="239">
        <f t="shared" si="18"/>
        <v>0</v>
      </c>
      <c r="GL40" s="36" t="str">
        <f t="shared" si="19"/>
        <v>Трикальцийфосфат</v>
      </c>
      <c r="GM40" s="664"/>
      <c r="GN40" s="14"/>
      <c r="GO40" s="14"/>
      <c r="GP40" s="169"/>
    </row>
    <row r="41" spans="1:202" x14ac:dyDescent="0.3">
      <c r="A41" s="127">
        <f>A40+1</f>
        <v>30</v>
      </c>
      <c r="B41" s="278" t="s">
        <v>114</v>
      </c>
      <c r="C41" s="565">
        <f>'3_квартал'!G41</f>
        <v>25197.96</v>
      </c>
      <c r="D41" s="590">
        <v>26169.86</v>
      </c>
      <c r="E41" s="241">
        <v>18223.5</v>
      </c>
      <c r="F41" s="890">
        <f>32457.14</f>
        <v>32457.14</v>
      </c>
      <c r="G41" s="299">
        <f t="shared" si="9"/>
        <v>25616.832999999999</v>
      </c>
      <c r="H41" s="93">
        <f>14558.345+67000</f>
        <v>81558.345000000001</v>
      </c>
      <c r="I41" s="93">
        <v>49101.205000000002</v>
      </c>
      <c r="J41" s="94"/>
      <c r="K41" s="319">
        <f>282.24*4</f>
        <v>1128.96</v>
      </c>
      <c r="L41" s="319">
        <f>100.8*5</f>
        <v>504</v>
      </c>
      <c r="M41" s="319">
        <f>403.2*2</f>
        <v>806.4</v>
      </c>
      <c r="N41" s="319">
        <f>220.046*1.5</f>
        <v>330.06899999999996</v>
      </c>
      <c r="O41" s="319">
        <f>274.378*3</f>
        <v>823.13400000000001</v>
      </c>
      <c r="P41" s="319">
        <f>100.8*2</f>
        <v>201.6</v>
      </c>
      <c r="Q41" s="319">
        <f>161.28*2.1</f>
        <v>338.68800000000005</v>
      </c>
      <c r="R41" s="319">
        <f>274.378*3</f>
        <v>823.13400000000001</v>
      </c>
      <c r="S41" s="319">
        <f>56.398</f>
        <v>56.398000000000003</v>
      </c>
      <c r="T41" s="319">
        <f>274.378*1.5</f>
        <v>411.56700000000001</v>
      </c>
      <c r="U41" s="319">
        <f>38.808*0.25</f>
        <v>9.702</v>
      </c>
      <c r="V41" s="319">
        <f>38.808*4.5</f>
        <v>174.636</v>
      </c>
      <c r="W41" s="319">
        <f>478.195*3</f>
        <v>1434.585</v>
      </c>
      <c r="X41" s="319">
        <v>75.599999999999994</v>
      </c>
      <c r="Y41" s="319"/>
      <c r="Z41" s="319">
        <f>282.24*3</f>
        <v>846.72</v>
      </c>
      <c r="AA41" s="319">
        <f>8064/20*1.7</f>
        <v>685.43999999999994</v>
      </c>
      <c r="AB41" s="319"/>
      <c r="AC41" s="319">
        <f>8064/20*9</f>
        <v>3628.7999999999997</v>
      </c>
      <c r="AD41" s="319">
        <f>8064/20*9.3</f>
        <v>3749.76</v>
      </c>
      <c r="AE41" s="319">
        <f>229.488</f>
        <v>229.488</v>
      </c>
      <c r="AF41" s="319">
        <f>274.378*3</f>
        <v>823.13400000000001</v>
      </c>
      <c r="AG41" s="319">
        <f>30.24/0.3*0.4</f>
        <v>40.32</v>
      </c>
      <c r="AH41" s="319"/>
      <c r="AI41" s="319">
        <v>558.029</v>
      </c>
      <c r="AJ41" s="319"/>
      <c r="AK41" s="319">
        <v>18.295000000000002</v>
      </c>
      <c r="AL41" s="319">
        <v>104.54</v>
      </c>
      <c r="AM41" s="319">
        <v>94.195999999999998</v>
      </c>
      <c r="AN41" s="319">
        <v>252.38300000000001</v>
      </c>
      <c r="AO41" s="319"/>
      <c r="AP41" s="319">
        <v>45.36</v>
      </c>
      <c r="AQ41" s="319">
        <f>274.378*1.5</f>
        <v>411.56700000000001</v>
      </c>
      <c r="AR41" s="319">
        <f>274.378*6</f>
        <v>1646.268</v>
      </c>
      <c r="AS41" s="319">
        <f>274.378*3</f>
        <v>823.13400000000001</v>
      </c>
      <c r="AT41" s="319">
        <f>2520/10*6</f>
        <v>1512</v>
      </c>
      <c r="AU41" s="319">
        <f>38.808*2</f>
        <v>77.616</v>
      </c>
      <c r="AV41" s="319">
        <f>161.28*2.4</f>
        <v>387.072</v>
      </c>
      <c r="AW41" s="319">
        <v>302.39999999999998</v>
      </c>
      <c r="AX41" s="319">
        <f>806.4/5*3</f>
        <v>483.84000000000003</v>
      </c>
      <c r="AY41" s="319">
        <f>806.4/5*2</f>
        <v>322.56</v>
      </c>
      <c r="AZ41" s="319">
        <v>80.888999999999996</v>
      </c>
      <c r="BA41" s="319"/>
      <c r="BB41" s="319">
        <v>15.384</v>
      </c>
      <c r="BC41" s="319">
        <f>100.8*4</f>
        <v>403.2</v>
      </c>
      <c r="BD41" s="319">
        <f>282.24*4</f>
        <v>1128.96</v>
      </c>
      <c r="BE41" s="319">
        <f>38.808*2</f>
        <v>77.616</v>
      </c>
      <c r="BF41" s="319">
        <f>100.8*3</f>
        <v>302.39999999999998</v>
      </c>
      <c r="BG41" s="158">
        <f t="shared" si="11"/>
        <v>26169.844000000005</v>
      </c>
      <c r="BH41" s="94"/>
      <c r="BI41" s="833">
        <v>60.48</v>
      </c>
      <c r="BJ41" s="319"/>
      <c r="BK41" s="319">
        <v>194.363</v>
      </c>
      <c r="BL41" s="319">
        <f>282.24*4</f>
        <v>1128.96</v>
      </c>
      <c r="BM41" s="319">
        <f>403.2*5</f>
        <v>2016</v>
      </c>
      <c r="BN41" s="319">
        <f>215.736*5</f>
        <v>1078.6799999999998</v>
      </c>
      <c r="BO41" s="319">
        <f>282.24*1.5</f>
        <v>423.36</v>
      </c>
      <c r="BP41" s="319">
        <v>93.995999999999995</v>
      </c>
      <c r="BQ41" s="319"/>
      <c r="BR41" s="319">
        <v>100.8</v>
      </c>
      <c r="BS41" s="319">
        <v>823.13300000000004</v>
      </c>
      <c r="BT41" s="319">
        <f>77.616/2*0.8</f>
        <v>31.046400000000002</v>
      </c>
      <c r="BU41" s="319">
        <f>282.24*1.5</f>
        <v>423.36</v>
      </c>
      <c r="BV41" s="319">
        <f>823.133/3*2</f>
        <v>548.7553333333334</v>
      </c>
      <c r="BW41" s="319">
        <f>80.889/0.5</f>
        <v>161.77799999999999</v>
      </c>
      <c r="BX41" s="319">
        <f>38.808*1.8</f>
        <v>69.854399999999998</v>
      </c>
      <c r="BY41" s="319">
        <v>197.01300000000001</v>
      </c>
      <c r="BZ41" s="319">
        <v>194.363</v>
      </c>
      <c r="CA41" s="319">
        <v>1098.72</v>
      </c>
      <c r="CB41" s="319">
        <f>403.2*5</f>
        <v>2016</v>
      </c>
      <c r="CC41" s="319">
        <f>387.072/2.4*1.5</f>
        <v>241.92000000000002</v>
      </c>
      <c r="CD41" s="319">
        <v>75.599999999999994</v>
      </c>
      <c r="CE41" s="319">
        <f>403.2*5</f>
        <v>2016</v>
      </c>
      <c r="CF41" s="319">
        <f>558.029*0.5</f>
        <v>279.0145</v>
      </c>
      <c r="CG41" s="319">
        <f>823.133/3*2.4</f>
        <v>658.5064000000001</v>
      </c>
      <c r="CH41" s="319">
        <f>282.24</f>
        <v>282.24</v>
      </c>
      <c r="CI41" s="319">
        <v>439.00400000000002</v>
      </c>
      <c r="CJ41" s="319">
        <v>1008</v>
      </c>
      <c r="CK41" s="319"/>
      <c r="CL41" s="319"/>
      <c r="CM41" s="319">
        <v>837.04300000000001</v>
      </c>
      <c r="CN41" s="319">
        <f>478.195*2.5</f>
        <v>1195.4875</v>
      </c>
      <c r="CO41" s="319">
        <f>334.795*1.3</f>
        <v>435.23350000000005</v>
      </c>
      <c r="CP41" s="319">
        <v>36.590000000000003</v>
      </c>
      <c r="CQ41" s="365">
        <f>38.808*1.5</f>
        <v>58.212000000000003</v>
      </c>
      <c r="CR41" s="419">
        <f t="shared" si="12"/>
        <v>18223.513033333333</v>
      </c>
      <c r="CS41" s="57"/>
      <c r="CT41" s="319">
        <f>4032/10*8</f>
        <v>3225.6</v>
      </c>
      <c r="CU41" s="319">
        <f>4032/10*2</f>
        <v>806.4</v>
      </c>
      <c r="CV41" s="319">
        <v>40.32</v>
      </c>
      <c r="CW41" s="319">
        <v>104.54</v>
      </c>
      <c r="CX41" s="319">
        <f>282.24*5</f>
        <v>1411.2</v>
      </c>
      <c r="CY41" s="319">
        <f>38.808*2</f>
        <v>77.616</v>
      </c>
      <c r="CZ41" s="319">
        <f>100.8*3.8</f>
        <v>383.03999999999996</v>
      </c>
      <c r="DA41" s="319">
        <f>6530.903/15*3.7</f>
        <v>1610.9560733333333</v>
      </c>
      <c r="DB41" s="319">
        <f>6530.903/15*5.5</f>
        <v>2394.6644333333334</v>
      </c>
      <c r="DC41" s="319">
        <v>483.84</v>
      </c>
      <c r="DD41" s="319">
        <v>187.99199999999999</v>
      </c>
      <c r="DE41" s="319">
        <f>388.726*0.5</f>
        <v>194.363</v>
      </c>
      <c r="DF41" s="319">
        <v>45.36</v>
      </c>
      <c r="DG41" s="319">
        <f>282.24*4</f>
        <v>1128.96</v>
      </c>
      <c r="DH41" s="319">
        <f>38.808</f>
        <v>38.808</v>
      </c>
      <c r="DI41" s="319">
        <f>100.8*7</f>
        <v>705.6</v>
      </c>
      <c r="DJ41" s="319"/>
      <c r="DK41" s="319">
        <v>9.6150000000000002</v>
      </c>
      <c r="DL41" s="319">
        <f>187.992*0.3</f>
        <v>56.397599999999997</v>
      </c>
      <c r="DM41" s="319">
        <v>302.39999999999998</v>
      </c>
      <c r="DN41" s="319">
        <v>229.488</v>
      </c>
      <c r="DO41" s="319">
        <v>282.24</v>
      </c>
      <c r="DP41" s="319">
        <f>1646.266/6*3</f>
        <v>823.13300000000004</v>
      </c>
      <c r="DQ41" s="319">
        <f>6530.903/15*5.8</f>
        <v>2525.2824933333332</v>
      </c>
      <c r="DR41" s="319">
        <f>38.808*3.3</f>
        <v>128.06639999999999</v>
      </c>
      <c r="DS41" s="319"/>
      <c r="DT41" s="245"/>
      <c r="DU41" s="271">
        <f>161.28*8</f>
        <v>1290.24</v>
      </c>
      <c r="DV41" s="177">
        <f>191.52*2</f>
        <v>383.04</v>
      </c>
      <c r="DW41" s="177">
        <f>262.08*4</f>
        <v>1048.32</v>
      </c>
      <c r="DX41" s="319">
        <f>806.4/2*3</f>
        <v>1209.5999999999999</v>
      </c>
      <c r="DY41" s="319">
        <f>282.24*5</f>
        <v>1411.2</v>
      </c>
      <c r="DZ41" s="319">
        <f>478.195*2.6</f>
        <v>1243.307</v>
      </c>
      <c r="EA41" s="319"/>
      <c r="EB41" s="319">
        <v>36.590000000000003</v>
      </c>
      <c r="EC41" s="319">
        <v>411.56599999999997</v>
      </c>
      <c r="ED41" s="319">
        <v>17.463999999999999</v>
      </c>
      <c r="EE41" s="319">
        <f>161.28*2.2</f>
        <v>354.81600000000003</v>
      </c>
      <c r="EF41" s="319">
        <f>38.808*0.8</f>
        <v>31.046400000000002</v>
      </c>
      <c r="EG41" s="319">
        <f>274.378*4</f>
        <v>1097.5119999999999</v>
      </c>
      <c r="EH41" s="319">
        <f>100.8*4</f>
        <v>403.2</v>
      </c>
      <c r="EI41" s="319">
        <f>282.24*2</f>
        <v>564.48</v>
      </c>
      <c r="EJ41" s="319">
        <v>1085.5250000000001</v>
      </c>
      <c r="EK41" s="245">
        <f>38.808</f>
        <v>38.808</v>
      </c>
      <c r="EL41" s="466"/>
      <c r="EM41" s="319">
        <f>100.8*4.2</f>
        <v>423.36</v>
      </c>
      <c r="EN41" s="319">
        <f>100.8*2</f>
        <v>201.6</v>
      </c>
      <c r="EO41" s="319"/>
      <c r="EP41" s="319">
        <v>62.796999999999997</v>
      </c>
      <c r="EQ41" s="319">
        <f>38.808</f>
        <v>38.808</v>
      </c>
      <c r="ER41" s="319">
        <v>100.8</v>
      </c>
      <c r="ES41" s="319">
        <v>483.84</v>
      </c>
      <c r="ET41" s="319">
        <f>38.808</f>
        <v>38.808</v>
      </c>
      <c r="EU41" s="319">
        <f>658.506/2.4</f>
        <v>274.3775</v>
      </c>
      <c r="EV41" s="319">
        <f>302.4*2</f>
        <v>604.79999999999995</v>
      </c>
      <c r="EW41" s="319">
        <f>151.2/1.5</f>
        <v>100.8</v>
      </c>
      <c r="EX41" s="319">
        <f>658.506/2.4*2</f>
        <v>548.755</v>
      </c>
      <c r="EY41" s="319">
        <v>282.24</v>
      </c>
      <c r="EZ41" s="319">
        <f>38.808*1.5</f>
        <v>58.212000000000003</v>
      </c>
      <c r="FA41" s="319">
        <v>387.072</v>
      </c>
      <c r="FB41" s="319"/>
      <c r="FC41" s="319">
        <f>151.2/1.2*0.6</f>
        <v>75.599999999999994</v>
      </c>
      <c r="FD41" s="319"/>
      <c r="FE41" s="319">
        <v>252.38300000000001</v>
      </c>
      <c r="FF41" s="319">
        <f>164.843*2</f>
        <v>329.68599999999998</v>
      </c>
      <c r="FG41" s="319"/>
      <c r="FH41" s="319">
        <f>247.047*1.5</f>
        <v>370.57049999999998</v>
      </c>
      <c r="FI41" s="158">
        <f t="shared" si="13"/>
        <v>32457.1054</v>
      </c>
      <c r="FJ41" s="95"/>
      <c r="FK41" s="374"/>
      <c r="FL41" s="319"/>
      <c r="FM41" s="319"/>
      <c r="FN41" s="319"/>
      <c r="FO41" s="319"/>
      <c r="FP41" s="319"/>
      <c r="FQ41" s="319"/>
      <c r="FR41" s="319"/>
      <c r="FS41" s="319"/>
      <c r="FT41" s="319"/>
      <c r="FU41" s="319"/>
      <c r="FV41" s="319"/>
      <c r="FW41" s="319"/>
      <c r="FX41" s="319"/>
      <c r="FY41" s="28"/>
      <c r="FZ41" s="270"/>
      <c r="GA41" s="271"/>
      <c r="GB41" s="177"/>
      <c r="GC41" s="177"/>
      <c r="GD41" s="177"/>
      <c r="GE41" s="802"/>
      <c r="GF41" s="435"/>
      <c r="GG41" s="327">
        <f t="shared" si="14"/>
        <v>0</v>
      </c>
      <c r="GH41" s="445">
        <f t="shared" si="15"/>
        <v>49101.205000000002</v>
      </c>
      <c r="GI41" s="605">
        <f t="shared" si="16"/>
        <v>49101.205000000002</v>
      </c>
      <c r="GJ41" s="627">
        <f t="shared" si="17"/>
        <v>25197.96</v>
      </c>
      <c r="GK41" s="239">
        <f t="shared" si="18"/>
        <v>18223.5</v>
      </c>
      <c r="GL41" s="36" t="str">
        <f t="shared" si="19"/>
        <v>мука известняковая</v>
      </c>
      <c r="GM41" s="664"/>
      <c r="GN41" s="14"/>
      <c r="GO41" s="14"/>
    </row>
    <row r="42" spans="1:202" x14ac:dyDescent="0.3">
      <c r="A42" s="132">
        <f t="shared" si="20"/>
        <v>31</v>
      </c>
      <c r="B42" s="281" t="s">
        <v>40</v>
      </c>
      <c r="C42" s="565">
        <f>'3_квартал'!G42</f>
        <v>3243.18</v>
      </c>
      <c r="D42" s="346">
        <v>2520.16</v>
      </c>
      <c r="E42" s="241">
        <v>3214.81</v>
      </c>
      <c r="F42" s="889">
        <f>1531.8+1626.27</f>
        <v>3158.0699999999997</v>
      </c>
      <c r="G42" s="299">
        <f t="shared" si="9"/>
        <v>2964.3470000000002</v>
      </c>
      <c r="H42" s="93">
        <v>6781.8</v>
      </c>
      <c r="I42" s="93">
        <f>3623.73+19950</f>
        <v>23573.73</v>
      </c>
      <c r="J42" s="112"/>
      <c r="K42" s="319">
        <f>40.32*4</f>
        <v>161.28</v>
      </c>
      <c r="L42" s="319"/>
      <c r="M42" s="319"/>
      <c r="N42" s="319"/>
      <c r="O42" s="319"/>
      <c r="P42" s="319"/>
      <c r="Q42" s="319"/>
      <c r="R42" s="319"/>
      <c r="S42" s="319">
        <f>43.243</f>
        <v>43.243000000000002</v>
      </c>
      <c r="T42" s="319"/>
      <c r="U42" s="319">
        <f>136.08*0.25</f>
        <v>34.020000000000003</v>
      </c>
      <c r="V42" s="319">
        <f>136.08*4.5</f>
        <v>612.36</v>
      </c>
      <c r="W42" s="319">
        <f>101.304*3</f>
        <v>303.91200000000003</v>
      </c>
      <c r="X42" s="319">
        <v>18.143999999999998</v>
      </c>
      <c r="Y42" s="319"/>
      <c r="Z42" s="319">
        <f>40.32*3</f>
        <v>120.96000000000001</v>
      </c>
      <c r="AA42" s="319"/>
      <c r="AB42" s="319"/>
      <c r="AC42" s="319"/>
      <c r="AD42" s="319"/>
      <c r="AE42" s="319"/>
      <c r="AF42" s="319"/>
      <c r="AG42" s="319">
        <f>0.386/0.3*0.4</f>
        <v>0.51466666666666672</v>
      </c>
      <c r="AH42" s="319"/>
      <c r="AI42" s="319">
        <v>114.408</v>
      </c>
      <c r="AJ42" s="319"/>
      <c r="AK42" s="319">
        <v>67.989999999999995</v>
      </c>
      <c r="AL42" s="319"/>
      <c r="AM42" s="319"/>
      <c r="AN42" s="319"/>
      <c r="AO42" s="319"/>
      <c r="AP42" s="319">
        <v>43.189</v>
      </c>
      <c r="AQ42" s="319"/>
      <c r="AR42" s="319"/>
      <c r="AS42" s="319"/>
      <c r="AT42" s="319"/>
      <c r="AU42" s="319">
        <f>136.08*2</f>
        <v>272.16000000000003</v>
      </c>
      <c r="AV42" s="319"/>
      <c r="AW42" s="319"/>
      <c r="AX42" s="319"/>
      <c r="AY42" s="319"/>
      <c r="AZ42" s="319">
        <v>64.209000000000003</v>
      </c>
      <c r="BA42" s="319"/>
      <c r="BB42" s="319">
        <v>230.34200000000001</v>
      </c>
      <c r="BC42" s="319"/>
      <c r="BD42" s="319">
        <f>40.32*4</f>
        <v>161.28</v>
      </c>
      <c r="BE42" s="319">
        <f>136.08*2</f>
        <v>272.16000000000003</v>
      </c>
      <c r="BF42" s="319"/>
      <c r="BG42" s="158">
        <f t="shared" si="11"/>
        <v>2520.1716666666671</v>
      </c>
      <c r="BH42" s="112"/>
      <c r="BI42" s="833">
        <v>0.77100000000000002</v>
      </c>
      <c r="BJ42" s="319"/>
      <c r="BK42" s="319"/>
      <c r="BL42" s="319">
        <f>40.32*4</f>
        <v>161.28</v>
      </c>
      <c r="BM42" s="319"/>
      <c r="BN42" s="319"/>
      <c r="BO42" s="319">
        <f>40.32*1.5</f>
        <v>60.480000000000004</v>
      </c>
      <c r="BP42" s="319">
        <v>72.072000000000003</v>
      </c>
      <c r="BQ42" s="319"/>
      <c r="BR42" s="319"/>
      <c r="BS42" s="319"/>
      <c r="BT42" s="319">
        <f>272.16/2*0.8</f>
        <v>108.86400000000002</v>
      </c>
      <c r="BU42" s="319">
        <f>40.32*1.5</f>
        <v>60.480000000000004</v>
      </c>
      <c r="BV42" s="319"/>
      <c r="BW42" s="319">
        <f>64.209/0.5</f>
        <v>128.41800000000001</v>
      </c>
      <c r="BX42" s="319">
        <f>136.08*1.8</f>
        <v>244.94400000000002</v>
      </c>
      <c r="BY42" s="319"/>
      <c r="BZ42" s="319"/>
      <c r="CA42" s="319">
        <v>1496.88</v>
      </c>
      <c r="CB42" s="319"/>
      <c r="CC42" s="319"/>
      <c r="CD42" s="319">
        <v>18.143999999999998</v>
      </c>
      <c r="CE42" s="319"/>
      <c r="CF42" s="319">
        <f>114.408*0.5</f>
        <v>57.204000000000001</v>
      </c>
      <c r="CG42" s="319"/>
      <c r="CH42" s="319">
        <f>40.32</f>
        <v>40.32</v>
      </c>
      <c r="CI42" s="319"/>
      <c r="CJ42" s="319"/>
      <c r="CK42" s="319"/>
      <c r="CL42" s="319"/>
      <c r="CM42" s="319">
        <v>171.61199999999999</v>
      </c>
      <c r="CN42" s="319">
        <f>101.304*2.5</f>
        <v>253.26</v>
      </c>
      <c r="CO42" s="319"/>
      <c r="CP42" s="319">
        <v>135.97900000000001</v>
      </c>
      <c r="CQ42" s="365">
        <f>136.08*1.5</f>
        <v>204.12</v>
      </c>
      <c r="CR42" s="419">
        <f t="shared" si="12"/>
        <v>3214.828</v>
      </c>
      <c r="CS42" s="57"/>
      <c r="CT42" s="319"/>
      <c r="CU42" s="319"/>
      <c r="CV42" s="319">
        <v>0.51400000000000001</v>
      </c>
      <c r="CW42" s="319"/>
      <c r="CX42" s="319">
        <f>40.32*5</f>
        <v>201.6</v>
      </c>
      <c r="CY42" s="319">
        <f>136.08*2</f>
        <v>272.16000000000003</v>
      </c>
      <c r="CZ42" s="319"/>
      <c r="DA42" s="319"/>
      <c r="DB42" s="319"/>
      <c r="DC42" s="319"/>
      <c r="DD42" s="319">
        <v>144.14400000000001</v>
      </c>
      <c r="DE42" s="319"/>
      <c r="DF42" s="319">
        <v>43.189</v>
      </c>
      <c r="DG42" s="319">
        <f>40.32*4</f>
        <v>161.28</v>
      </c>
      <c r="DH42" s="319">
        <f>136.08</f>
        <v>136.08000000000001</v>
      </c>
      <c r="DI42" s="319"/>
      <c r="DJ42" s="319"/>
      <c r="DK42" s="319">
        <v>143.964</v>
      </c>
      <c r="DL42" s="319">
        <f>144.144*0.3</f>
        <v>43.243200000000002</v>
      </c>
      <c r="DM42" s="319"/>
      <c r="DN42" s="319"/>
      <c r="DO42" s="319">
        <v>40.32</v>
      </c>
      <c r="DP42" s="319"/>
      <c r="DQ42" s="319"/>
      <c r="DR42" s="319">
        <f>136.08*3.3</f>
        <v>449.06400000000002</v>
      </c>
      <c r="DS42" s="319"/>
      <c r="DT42" s="245"/>
      <c r="DU42" s="271"/>
      <c r="DV42" s="177"/>
      <c r="DW42" s="177"/>
      <c r="DX42" s="319"/>
      <c r="DY42" s="319">
        <f>40.32*5</f>
        <v>201.6</v>
      </c>
      <c r="DZ42" s="319">
        <f>101.304*2.6</f>
        <v>263.3904</v>
      </c>
      <c r="EA42" s="319"/>
      <c r="EB42" s="319">
        <v>135.97900000000001</v>
      </c>
      <c r="EC42" s="319"/>
      <c r="ED42" s="319">
        <v>61.235999999999997</v>
      </c>
      <c r="EE42" s="319"/>
      <c r="EF42" s="319">
        <f>136.08*0.8</f>
        <v>108.86400000000002</v>
      </c>
      <c r="EG42" s="319"/>
      <c r="EH42" s="319"/>
      <c r="EI42" s="319">
        <f>40.32*2</f>
        <v>80.64</v>
      </c>
      <c r="EJ42" s="319"/>
      <c r="EK42" s="245">
        <f>136.08</f>
        <v>136.08000000000001</v>
      </c>
      <c r="EL42" s="466"/>
      <c r="EM42" s="319"/>
      <c r="EN42" s="319"/>
      <c r="EO42" s="319"/>
      <c r="EP42" s="319"/>
      <c r="EQ42" s="319">
        <f>136.08</f>
        <v>136.08000000000001</v>
      </c>
      <c r="ER42" s="319"/>
      <c r="ES42" s="319"/>
      <c r="ET42" s="319">
        <f>136.08</f>
        <v>136.08000000000001</v>
      </c>
      <c r="EU42" s="319"/>
      <c r="EV42" s="319"/>
      <c r="EW42" s="319"/>
      <c r="EX42" s="319"/>
      <c r="EY42" s="319">
        <v>40.320999999999998</v>
      </c>
      <c r="EZ42" s="319">
        <f>136.08*1.5</f>
        <v>204.12</v>
      </c>
      <c r="FA42" s="319"/>
      <c r="FB42" s="319"/>
      <c r="FC42" s="319">
        <f>36.288/1.2*0.6</f>
        <v>18.143999999999998</v>
      </c>
      <c r="FD42" s="319"/>
      <c r="FE42" s="319"/>
      <c r="FF42" s="319"/>
      <c r="FG42" s="319"/>
      <c r="FH42" s="319"/>
      <c r="FI42" s="158">
        <f t="shared" si="13"/>
        <v>3158.092599999999</v>
      </c>
      <c r="FJ42" s="113"/>
      <c r="FK42" s="374"/>
      <c r="FL42" s="319"/>
      <c r="FM42" s="319"/>
      <c r="FN42" s="319"/>
      <c r="FO42" s="319"/>
      <c r="FP42" s="319"/>
      <c r="FQ42" s="319"/>
      <c r="FR42" s="319"/>
      <c r="FS42" s="319"/>
      <c r="FT42" s="319"/>
      <c r="FU42" s="319"/>
      <c r="FV42" s="319"/>
      <c r="FW42" s="319"/>
      <c r="FX42" s="319"/>
      <c r="FY42" s="28"/>
      <c r="FZ42" s="270"/>
      <c r="GA42" s="271"/>
      <c r="GB42" s="177"/>
      <c r="GC42" s="177"/>
      <c r="GD42" s="177"/>
      <c r="GE42" s="802"/>
      <c r="GF42" s="435"/>
      <c r="GG42" s="327">
        <f t="shared" si="14"/>
        <v>0</v>
      </c>
      <c r="GH42" s="445">
        <f t="shared" si="15"/>
        <v>23573.73</v>
      </c>
      <c r="GI42" s="605">
        <f t="shared" si="16"/>
        <v>23573.73</v>
      </c>
      <c r="GJ42" s="627">
        <f t="shared" si="17"/>
        <v>3243.18</v>
      </c>
      <c r="GK42" s="239">
        <f t="shared" si="18"/>
        <v>3214.81</v>
      </c>
      <c r="GL42" s="36" t="str">
        <f t="shared" si="19"/>
        <v xml:space="preserve">Соль пищ выварочн сорт экстра </v>
      </c>
      <c r="GM42" s="38"/>
      <c r="GN42" s="175"/>
      <c r="GO42" s="820" t="e">
        <f>SUM('1_квартал'!D34:F34,'2_квартал'!#REF!,'3_квартал'!D42:F42,'4_квартал'!BG42)</f>
        <v>#REF!</v>
      </c>
      <c r="GP42" t="e">
        <f>SUM('1_квартал'!D34:F34,'2_квартал'!#REF!,'3_квартал'!D42:F42)</f>
        <v>#REF!</v>
      </c>
      <c r="GQ42" t="e">
        <f>ROUND(GP42/9,-2)</f>
        <v>#REF!</v>
      </c>
      <c r="GR42" s="818" t="e">
        <f>ROUND(GP42/9*12,0)</f>
        <v>#REF!</v>
      </c>
      <c r="GS42">
        <v>55650</v>
      </c>
      <c r="GT42">
        <v>19950</v>
      </c>
    </row>
    <row r="43" spans="1:202" x14ac:dyDescent="0.3">
      <c r="A43" s="127">
        <f t="shared" si="20"/>
        <v>32</v>
      </c>
      <c r="B43" s="282" t="s">
        <v>27</v>
      </c>
      <c r="C43" s="565">
        <f>'3_квартал'!G43</f>
        <v>576.077</v>
      </c>
      <c r="D43" s="346">
        <v>111.94</v>
      </c>
      <c r="E43" s="241">
        <f>80.57+521.64</f>
        <v>602.21</v>
      </c>
      <c r="F43" s="889">
        <v>217.48</v>
      </c>
      <c r="G43" s="299">
        <f t="shared" si="9"/>
        <v>310.54300000000001</v>
      </c>
      <c r="H43" s="93">
        <f>478.36+1000</f>
        <v>1478.3600000000001</v>
      </c>
      <c r="I43" s="93">
        <f>260.88+1000</f>
        <v>1260.8800000000001</v>
      </c>
      <c r="J43" s="112"/>
      <c r="K43" s="319"/>
      <c r="L43" s="319"/>
      <c r="M43" s="319"/>
      <c r="N43" s="319"/>
      <c r="O43" s="319"/>
      <c r="P43" s="319"/>
      <c r="Q43" s="319"/>
      <c r="R43" s="319"/>
      <c r="S43" s="319">
        <f>6.35</f>
        <v>6.35</v>
      </c>
      <c r="T43" s="319"/>
      <c r="U43" s="319"/>
      <c r="V43" s="319"/>
      <c r="W43" s="319">
        <f>8.568*3</f>
        <v>25.704000000000001</v>
      </c>
      <c r="X43" s="319">
        <v>6.048</v>
      </c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>
        <v>29.044</v>
      </c>
      <c r="AJ43" s="319"/>
      <c r="AK43" s="319"/>
      <c r="AL43" s="319"/>
      <c r="AM43" s="319">
        <v>44.8</v>
      </c>
      <c r="AN43" s="319"/>
      <c r="AO43" s="319"/>
      <c r="AP43" s="319"/>
      <c r="AQ43" s="319"/>
      <c r="AR43" s="319"/>
      <c r="AS43" s="319"/>
      <c r="AT43" s="319"/>
      <c r="AU43" s="319"/>
      <c r="AV43" s="319"/>
      <c r="AW43" s="319"/>
      <c r="AX43" s="319"/>
      <c r="AY43" s="319"/>
      <c r="AZ43" s="319"/>
      <c r="BA43" s="319"/>
      <c r="BB43" s="319"/>
      <c r="BC43" s="319"/>
      <c r="BD43" s="319"/>
      <c r="BE43" s="319"/>
      <c r="BF43" s="319"/>
      <c r="BG43" s="158">
        <f t="shared" si="11"/>
        <v>111.946</v>
      </c>
      <c r="BH43" s="112"/>
      <c r="BI43" s="833"/>
      <c r="BJ43" s="319"/>
      <c r="BK43" s="319"/>
      <c r="BL43" s="319"/>
      <c r="BM43" s="319"/>
      <c r="BN43" s="319"/>
      <c r="BO43" s="319"/>
      <c r="BP43" s="319">
        <v>10.584</v>
      </c>
      <c r="BQ43" s="319"/>
      <c r="BR43" s="319"/>
      <c r="BS43" s="319"/>
      <c r="BT43" s="319"/>
      <c r="BU43" s="319"/>
      <c r="BV43" s="319"/>
      <c r="BW43" s="319"/>
      <c r="BX43" s="319"/>
      <c r="BY43" s="319"/>
      <c r="BZ43" s="319"/>
      <c r="CA43" s="319">
        <v>506.06599999999997</v>
      </c>
      <c r="CB43" s="319"/>
      <c r="CC43" s="319"/>
      <c r="CD43" s="319">
        <v>6.048</v>
      </c>
      <c r="CE43" s="319"/>
      <c r="CF43" s="319">
        <f>29.044*0.5</f>
        <v>14.522</v>
      </c>
      <c r="CG43" s="319"/>
      <c r="CH43" s="319"/>
      <c r="CI43" s="319"/>
      <c r="CJ43" s="319"/>
      <c r="CK43" s="319"/>
      <c r="CL43" s="319"/>
      <c r="CM43" s="319">
        <v>43.564999999999998</v>
      </c>
      <c r="CN43" s="319">
        <f>8.568*2.5</f>
        <v>21.419999999999998</v>
      </c>
      <c r="CO43" s="319"/>
      <c r="CP43" s="319"/>
      <c r="CQ43" s="365"/>
      <c r="CR43" s="419">
        <f t="shared" si="12"/>
        <v>602.20500000000004</v>
      </c>
      <c r="CS43" s="57"/>
      <c r="CT43" s="319"/>
      <c r="CU43" s="319"/>
      <c r="CV43" s="319"/>
      <c r="CW43" s="319"/>
      <c r="CX43" s="319"/>
      <c r="CY43" s="319"/>
      <c r="CZ43" s="319"/>
      <c r="DA43" s="319"/>
      <c r="DB43" s="319"/>
      <c r="DC43" s="319"/>
      <c r="DD43" s="319">
        <v>21.167999999999999</v>
      </c>
      <c r="DE43" s="319"/>
      <c r="DF43" s="319"/>
      <c r="DG43" s="319"/>
      <c r="DH43" s="319"/>
      <c r="DI43" s="319"/>
      <c r="DJ43" s="319"/>
      <c r="DK43" s="319"/>
      <c r="DL43" s="319">
        <f>21.168*0.3</f>
        <v>6.3503999999999996</v>
      </c>
      <c r="DM43" s="319"/>
      <c r="DN43" s="319"/>
      <c r="DO43" s="319"/>
      <c r="DP43" s="319"/>
      <c r="DQ43" s="319"/>
      <c r="DR43" s="319"/>
      <c r="DS43" s="319"/>
      <c r="DT43" s="245"/>
      <c r="DU43" s="271"/>
      <c r="DV43" s="177"/>
      <c r="DW43" s="177"/>
      <c r="DX43" s="319"/>
      <c r="DY43" s="319"/>
      <c r="DZ43" s="319">
        <f>8.568*2.6</f>
        <v>22.276800000000001</v>
      </c>
      <c r="EA43" s="319"/>
      <c r="EB43" s="319"/>
      <c r="EC43" s="319"/>
      <c r="ED43" s="319"/>
      <c r="EE43" s="319"/>
      <c r="EF43" s="319"/>
      <c r="EG43" s="319"/>
      <c r="EH43" s="319"/>
      <c r="EI43" s="319"/>
      <c r="EJ43" s="319"/>
      <c r="EK43" s="245"/>
      <c r="EL43" s="466"/>
      <c r="EM43" s="319"/>
      <c r="EN43" s="319"/>
      <c r="EO43" s="319"/>
      <c r="EP43" s="319">
        <v>29.867000000000001</v>
      </c>
      <c r="EQ43" s="319"/>
      <c r="ER43" s="319"/>
      <c r="ES43" s="319"/>
      <c r="ET43" s="319"/>
      <c r="EU43" s="319"/>
      <c r="EV43" s="319"/>
      <c r="EW43" s="319"/>
      <c r="EX43" s="319"/>
      <c r="EY43" s="319"/>
      <c r="EZ43" s="319"/>
      <c r="FA43" s="319"/>
      <c r="FB43" s="319"/>
      <c r="FC43" s="319">
        <f>12.096/1.2*0.6</f>
        <v>6.048</v>
      </c>
      <c r="FD43" s="319"/>
      <c r="FE43" s="319"/>
      <c r="FF43" s="319">
        <f>65.882*2</f>
        <v>131.76400000000001</v>
      </c>
      <c r="FG43" s="319"/>
      <c r="FH43" s="319"/>
      <c r="FI43" s="158">
        <f t="shared" si="13"/>
        <v>217.4742</v>
      </c>
      <c r="FJ43" s="113"/>
      <c r="FK43" s="374"/>
      <c r="FL43" s="319"/>
      <c r="FM43" s="319"/>
      <c r="FN43" s="319"/>
      <c r="FO43" s="319"/>
      <c r="FP43" s="319"/>
      <c r="FQ43" s="319"/>
      <c r="FR43" s="319"/>
      <c r="FS43" s="319"/>
      <c r="FT43" s="319"/>
      <c r="FU43" s="319"/>
      <c r="FV43" s="319"/>
      <c r="FW43" s="319"/>
      <c r="FX43" s="319"/>
      <c r="FY43" s="28"/>
      <c r="FZ43" s="270"/>
      <c r="GA43" s="271"/>
      <c r="GB43" s="177"/>
      <c r="GC43" s="177"/>
      <c r="GD43" s="177"/>
      <c r="GE43" s="802"/>
      <c r="GF43" s="435"/>
      <c r="GG43" s="327">
        <f t="shared" si="14"/>
        <v>0</v>
      </c>
      <c r="GH43" s="445">
        <f t="shared" si="15"/>
        <v>1260.8800000000001</v>
      </c>
      <c r="GI43" s="605">
        <f t="shared" si="16"/>
        <v>1260.8800000000001</v>
      </c>
      <c r="GJ43" s="627">
        <f t="shared" si="17"/>
        <v>576.077</v>
      </c>
      <c r="GK43" s="239">
        <f t="shared" si="18"/>
        <v>602.21</v>
      </c>
      <c r="GL43" s="36" t="str">
        <f t="shared" si="19"/>
        <v>Гидрокарбонат натрия Е500 (сода)</v>
      </c>
      <c r="GM43" s="664"/>
      <c r="GN43" s="175"/>
      <c r="GO43" s="175"/>
      <c r="GR43" s="818" t="e">
        <f>GQ42*12</f>
        <v>#REF!</v>
      </c>
    </row>
    <row r="44" spans="1:202" x14ac:dyDescent="0.3">
      <c r="A44" s="129"/>
      <c r="B44" s="208"/>
      <c r="C44" s="348"/>
      <c r="D44" s="591"/>
      <c r="E44" s="577"/>
      <c r="F44" s="891"/>
      <c r="G44" s="579"/>
      <c r="H44" s="736"/>
      <c r="I44" s="736"/>
      <c r="J44" s="112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159"/>
      <c r="BH44" s="112"/>
      <c r="BI44" s="834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260"/>
      <c r="CR44" s="502"/>
      <c r="CS44" s="57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1"/>
      <c r="DU44" s="356"/>
      <c r="DV44" s="178"/>
      <c r="DW44" s="178"/>
      <c r="DX44" s="90"/>
      <c r="DY44" s="90"/>
      <c r="DZ44" s="90"/>
      <c r="EA44" s="90"/>
      <c r="EB44" s="90"/>
      <c r="EC44" s="90"/>
      <c r="ED44" s="90"/>
      <c r="EE44" s="90"/>
      <c r="EF44" s="90"/>
      <c r="EG44" s="90"/>
      <c r="EH44" s="90"/>
      <c r="EI44" s="90"/>
      <c r="EJ44" s="90"/>
      <c r="EK44" s="91"/>
      <c r="EL44" s="467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90"/>
      <c r="FC44" s="90"/>
      <c r="FD44" s="90"/>
      <c r="FE44" s="90"/>
      <c r="FF44" s="90"/>
      <c r="FG44" s="90"/>
      <c r="FH44" s="90"/>
      <c r="FI44" s="159"/>
      <c r="FJ44" s="113"/>
      <c r="FK44" s="170"/>
      <c r="FL44" s="90"/>
      <c r="FM44" s="90"/>
      <c r="FN44" s="90"/>
      <c r="FO44" s="90"/>
      <c r="FP44" s="90"/>
      <c r="FQ44" s="90"/>
      <c r="FR44" s="90"/>
      <c r="FS44" s="90"/>
      <c r="FT44" s="90"/>
      <c r="FU44" s="90"/>
      <c r="FV44" s="90"/>
      <c r="FW44" s="90"/>
      <c r="FX44" s="90"/>
      <c r="FY44" s="260"/>
      <c r="FZ44" s="347"/>
      <c r="GA44" s="356"/>
      <c r="GB44" s="178"/>
      <c r="GC44" s="178"/>
      <c r="GD44" s="178"/>
      <c r="GE44" s="805"/>
      <c r="GF44" s="436"/>
      <c r="GG44" s="348"/>
      <c r="GH44" s="446"/>
      <c r="GI44" s="607"/>
      <c r="GJ44" s="606"/>
      <c r="GK44" s="606"/>
      <c r="GL44" s="453"/>
      <c r="GM44" s="213"/>
      <c r="GN44" s="14"/>
      <c r="GO44" s="14"/>
      <c r="GP44" s="169"/>
    </row>
    <row r="45" spans="1:202" x14ac:dyDescent="0.3">
      <c r="A45" s="127">
        <f>A43+1</f>
        <v>33</v>
      </c>
      <c r="B45" s="280" t="s">
        <v>33</v>
      </c>
      <c r="C45" s="565">
        <f>'3_квартал'!G45</f>
        <v>457.27699999999999</v>
      </c>
      <c r="D45" s="346">
        <f>234.57+186.41</f>
        <v>420.98</v>
      </c>
      <c r="E45" s="241">
        <f>316.37</f>
        <v>316.37</v>
      </c>
      <c r="F45" s="889">
        <f>96.22+49+175+124+175+5.4</f>
        <v>624.62</v>
      </c>
      <c r="G45" s="299">
        <f t="shared" si="9"/>
        <v>453.99</v>
      </c>
      <c r="H45" s="93">
        <f>96.22+49+175</f>
        <v>320.22000000000003</v>
      </c>
      <c r="I45" s="93">
        <v>294.60000000000002</v>
      </c>
      <c r="J45" s="112"/>
      <c r="K45" s="319"/>
      <c r="L45" s="319">
        <f>16.128*5</f>
        <v>80.64</v>
      </c>
      <c r="M45" s="319"/>
      <c r="N45" s="319">
        <f>27.216*1.5</f>
        <v>40.823999999999998</v>
      </c>
      <c r="O45" s="319"/>
      <c r="P45" s="319">
        <f>16.128*2</f>
        <v>32.256</v>
      </c>
      <c r="Q45" s="319"/>
      <c r="R45" s="319"/>
      <c r="S45" s="319"/>
      <c r="T45" s="319"/>
      <c r="U45" s="319"/>
      <c r="V45" s="319"/>
      <c r="W45" s="319"/>
      <c r="X45" s="319">
        <v>7.258</v>
      </c>
      <c r="Y45" s="319"/>
      <c r="Z45" s="319"/>
      <c r="AA45" s="319"/>
      <c r="AB45" s="319">
        <f>0.672*0.5</f>
        <v>0.33600000000000002</v>
      </c>
      <c r="AC45" s="319"/>
      <c r="AD45" s="319"/>
      <c r="AE45" s="319"/>
      <c r="AF45" s="319"/>
      <c r="AG45" s="319">
        <f>1.512/0.3*0.4</f>
        <v>2.016</v>
      </c>
      <c r="AH45" s="319"/>
      <c r="AI45" s="319"/>
      <c r="AJ45" s="319">
        <f>16.128*1.5</f>
        <v>24.192</v>
      </c>
      <c r="AK45" s="319"/>
      <c r="AL45" s="319">
        <v>15.12</v>
      </c>
      <c r="AM45" s="319">
        <v>0.40300000000000002</v>
      </c>
      <c r="AN45" s="319">
        <v>1.21</v>
      </c>
      <c r="AO45" s="319"/>
      <c r="AP45" s="319">
        <v>42.335999999999999</v>
      </c>
      <c r="AQ45" s="319"/>
      <c r="AR45" s="319"/>
      <c r="AS45" s="319"/>
      <c r="AT45" s="319"/>
      <c r="AU45" s="319"/>
      <c r="AV45" s="319"/>
      <c r="AW45" s="319">
        <v>15.12</v>
      </c>
      <c r="AX45" s="319"/>
      <c r="AY45" s="319"/>
      <c r="AZ45" s="319"/>
      <c r="BA45" s="319">
        <v>14.112</v>
      </c>
      <c r="BB45" s="319">
        <v>32.256</v>
      </c>
      <c r="BC45" s="319">
        <f>16.128*4</f>
        <v>64.512</v>
      </c>
      <c r="BD45" s="319"/>
      <c r="BE45" s="319"/>
      <c r="BF45" s="319">
        <f>16.128*3</f>
        <v>48.384</v>
      </c>
      <c r="BG45" s="158">
        <f t="shared" ref="BG45:BG72" si="21">SUM(K45:BF45)</f>
        <v>420.97500000000008</v>
      </c>
      <c r="BH45" s="112"/>
      <c r="BI45" s="833">
        <v>3.024</v>
      </c>
      <c r="BJ45" s="319"/>
      <c r="BK45" s="319"/>
      <c r="BL45" s="319"/>
      <c r="BM45" s="319"/>
      <c r="BN45" s="319">
        <f>27.216*5</f>
        <v>136.08000000000001</v>
      </c>
      <c r="BO45" s="319"/>
      <c r="BP45" s="319"/>
      <c r="BQ45" s="319">
        <f>0.403/0.6</f>
        <v>0.67166666666666675</v>
      </c>
      <c r="BR45" s="319"/>
      <c r="BS45" s="319"/>
      <c r="BT45" s="319"/>
      <c r="BU45" s="319"/>
      <c r="BV45" s="319"/>
      <c r="BW45" s="319"/>
      <c r="BX45" s="319"/>
      <c r="BY45" s="319">
        <v>3.024</v>
      </c>
      <c r="BZ45" s="319"/>
      <c r="CA45" s="319">
        <v>126</v>
      </c>
      <c r="CB45" s="319"/>
      <c r="CC45" s="319"/>
      <c r="CD45" s="319">
        <v>7.258</v>
      </c>
      <c r="CE45" s="319"/>
      <c r="CF45" s="319"/>
      <c r="CG45" s="319"/>
      <c r="CH45" s="319"/>
      <c r="CI45" s="319"/>
      <c r="CJ45" s="319"/>
      <c r="CK45" s="319"/>
      <c r="CL45" s="319">
        <f>24.192/1.5*2.5</f>
        <v>40.32</v>
      </c>
      <c r="CM45" s="319"/>
      <c r="CN45" s="319"/>
      <c r="CO45" s="319"/>
      <c r="CP45" s="319"/>
      <c r="CQ45" s="365"/>
      <c r="CR45" s="419">
        <f t="shared" ref="CR45:CR72" si="22">SUM(BI45:CQ45)</f>
        <v>316.37766666666664</v>
      </c>
      <c r="CS45" s="57"/>
      <c r="CT45" s="319"/>
      <c r="CU45" s="319"/>
      <c r="CV45" s="319">
        <v>2.016</v>
      </c>
      <c r="CW45" s="319">
        <v>15.12</v>
      </c>
      <c r="CX45" s="319"/>
      <c r="CY45" s="319"/>
      <c r="CZ45" s="319">
        <f>16.128*3.8</f>
        <v>61.2864</v>
      </c>
      <c r="DA45" s="319"/>
      <c r="DB45" s="319"/>
      <c r="DC45" s="319"/>
      <c r="DD45" s="319"/>
      <c r="DE45" s="319"/>
      <c r="DF45" s="319">
        <v>42.335999999999999</v>
      </c>
      <c r="DG45" s="319"/>
      <c r="DH45" s="319"/>
      <c r="DI45" s="319">
        <f>16.128*7</f>
        <v>112.896</v>
      </c>
      <c r="DJ45" s="319">
        <f>20.16*0.6</f>
        <v>12.096</v>
      </c>
      <c r="DK45" s="319">
        <v>20.16</v>
      </c>
      <c r="DL45" s="319"/>
      <c r="DM45" s="319">
        <v>15.12</v>
      </c>
      <c r="DN45" s="319"/>
      <c r="DO45" s="319"/>
      <c r="DP45" s="319"/>
      <c r="DQ45" s="319"/>
      <c r="DR45" s="319"/>
      <c r="DS45" s="319">
        <v>0.30199999999999999</v>
      </c>
      <c r="DT45" s="245"/>
      <c r="DU45" s="271"/>
      <c r="DV45" s="177"/>
      <c r="DW45" s="177">
        <f>10.08*4</f>
        <v>40.32</v>
      </c>
      <c r="DX45" s="319"/>
      <c r="DY45" s="319"/>
      <c r="DZ45" s="319"/>
      <c r="EA45" s="319"/>
      <c r="EB45" s="319"/>
      <c r="EC45" s="319"/>
      <c r="ED45" s="319"/>
      <c r="EE45" s="319"/>
      <c r="EF45" s="319"/>
      <c r="EG45" s="319"/>
      <c r="EH45" s="319"/>
      <c r="EI45" s="319"/>
      <c r="EJ45" s="319">
        <v>136.08000000000001</v>
      </c>
      <c r="EK45" s="245"/>
      <c r="EL45" s="466">
        <f>16.128*1.3</f>
        <v>20.9664</v>
      </c>
      <c r="EM45" s="319">
        <f>16.128*4.2</f>
        <v>67.7376</v>
      </c>
      <c r="EN45" s="319">
        <f>16.128*2</f>
        <v>32.256</v>
      </c>
      <c r="EO45" s="319">
        <f>0.403</f>
        <v>0.40300000000000002</v>
      </c>
      <c r="EP45" s="319">
        <v>0.26900000000000002</v>
      </c>
      <c r="EQ45" s="319"/>
      <c r="ER45" s="319"/>
      <c r="ES45" s="319"/>
      <c r="ET45" s="319"/>
      <c r="EU45" s="319"/>
      <c r="EV45" s="319"/>
      <c r="EW45" s="319"/>
      <c r="EX45" s="319"/>
      <c r="EY45" s="319"/>
      <c r="EZ45" s="319"/>
      <c r="FA45" s="319"/>
      <c r="FB45" s="319">
        <v>27.417999999999999</v>
      </c>
      <c r="FC45" s="319">
        <f>14.515/1.2*0.6</f>
        <v>7.2575000000000003</v>
      </c>
      <c r="FD45" s="319"/>
      <c r="FE45" s="319">
        <v>1.21</v>
      </c>
      <c r="FF45" s="319">
        <f>0.594*2</f>
        <v>1.1879999999999999</v>
      </c>
      <c r="FG45" s="319">
        <f>0.296*2</f>
        <v>0.59199999999999997</v>
      </c>
      <c r="FH45" s="319">
        <f>5.04*1.5</f>
        <v>7.5600000000000005</v>
      </c>
      <c r="FI45" s="158">
        <f t="shared" ref="FI45:FI72" si="23">SUM(CT45:FH45)</f>
        <v>624.58990000000017</v>
      </c>
      <c r="FJ45" s="113"/>
      <c r="FK45" s="374"/>
      <c r="FL45" s="319"/>
      <c r="FM45" s="319"/>
      <c r="FN45" s="319"/>
      <c r="FO45" s="319"/>
      <c r="FP45" s="319"/>
      <c r="FQ45" s="319"/>
      <c r="FR45" s="319"/>
      <c r="FS45" s="319"/>
      <c r="FT45" s="319"/>
      <c r="FU45" s="319"/>
      <c r="FV45" s="319"/>
      <c r="FW45" s="319"/>
      <c r="FX45" s="319"/>
      <c r="FY45" s="28"/>
      <c r="FZ45" s="270"/>
      <c r="GA45" s="271"/>
      <c r="GB45" s="177"/>
      <c r="GC45" s="177"/>
      <c r="GD45" s="177"/>
      <c r="GE45" s="802"/>
      <c r="GF45" s="435"/>
      <c r="GG45" s="327">
        <f t="shared" ref="GG45:GG72" si="24">SUM(FK45:GF45)</f>
        <v>0</v>
      </c>
      <c r="GH45" s="445">
        <f t="shared" ref="GH45:GH72" si="25">I45-GG45</f>
        <v>294.60000000000002</v>
      </c>
      <c r="GI45" s="605">
        <f t="shared" ref="GI45:GI72" si="26">I45</f>
        <v>294.60000000000002</v>
      </c>
      <c r="GJ45" s="627">
        <f t="shared" ref="GJ45:GJ72" si="27">C45</f>
        <v>457.27699999999999</v>
      </c>
      <c r="GK45" s="239">
        <f t="shared" ref="GK45:GK72" si="28">E45</f>
        <v>316.37</v>
      </c>
      <c r="GL45" s="36" t="str">
        <f t="shared" ref="GL45:GL72" si="29">B45</f>
        <v>Актиген</v>
      </c>
      <c r="GM45" s="38"/>
      <c r="GN45" s="175"/>
      <c r="GO45" s="175"/>
    </row>
    <row r="46" spans="1:202" x14ac:dyDescent="0.3">
      <c r="A46" s="127">
        <f t="shared" si="20"/>
        <v>34</v>
      </c>
      <c r="B46" s="283" t="s">
        <v>34</v>
      </c>
      <c r="C46" s="565">
        <f>'3_квартал'!G46</f>
        <v>246.3</v>
      </c>
      <c r="D46" s="346">
        <v>69.89</v>
      </c>
      <c r="E46" s="241">
        <v>99.79</v>
      </c>
      <c r="F46" s="889">
        <f>49.1+164.19</f>
        <v>213.29</v>
      </c>
      <c r="G46" s="299">
        <f t="shared" si="9"/>
        <v>127.657</v>
      </c>
      <c r="H46" s="93">
        <f>49.1+74</f>
        <v>123.1</v>
      </c>
      <c r="I46" s="93">
        <v>209.81</v>
      </c>
      <c r="J46" s="112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>
        <f>6.72*0.5</f>
        <v>3.36</v>
      </c>
      <c r="AC46" s="319"/>
      <c r="AD46" s="319"/>
      <c r="AE46" s="319"/>
      <c r="AF46" s="319"/>
      <c r="AG46" s="319">
        <f>4.536/0.3*0.4</f>
        <v>6.048</v>
      </c>
      <c r="AH46" s="319"/>
      <c r="AI46" s="319"/>
      <c r="AJ46" s="319"/>
      <c r="AK46" s="319"/>
      <c r="AL46" s="319"/>
      <c r="AM46" s="319">
        <v>60.48</v>
      </c>
      <c r="AN46" s="319"/>
      <c r="AO46" s="319"/>
      <c r="AP46" s="319"/>
      <c r="AQ46" s="319"/>
      <c r="AR46" s="319"/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/>
      <c r="BE46" s="319"/>
      <c r="BF46" s="319"/>
      <c r="BG46" s="158">
        <f t="shared" si="21"/>
        <v>69.887999999999991</v>
      </c>
      <c r="BH46" s="94"/>
      <c r="BI46" s="833">
        <v>9.0719999999999992</v>
      </c>
      <c r="BJ46" s="319"/>
      <c r="BK46" s="319"/>
      <c r="BL46" s="319"/>
      <c r="BM46" s="319"/>
      <c r="BN46" s="319"/>
      <c r="BO46" s="319"/>
      <c r="BP46" s="319"/>
      <c r="BQ46" s="319">
        <f>54.432/0.6</f>
        <v>90.720000000000013</v>
      </c>
      <c r="BR46" s="319"/>
      <c r="BS46" s="319"/>
      <c r="BT46" s="319"/>
      <c r="BU46" s="319"/>
      <c r="BV46" s="319"/>
      <c r="BW46" s="319"/>
      <c r="BX46" s="319"/>
      <c r="BY46" s="319"/>
      <c r="BZ46" s="319"/>
      <c r="CA46" s="319"/>
      <c r="CB46" s="319"/>
      <c r="CC46" s="319"/>
      <c r="CD46" s="319"/>
      <c r="CE46" s="319"/>
      <c r="CF46" s="319"/>
      <c r="CG46" s="319"/>
      <c r="CH46" s="319"/>
      <c r="CI46" s="319"/>
      <c r="CJ46" s="319"/>
      <c r="CK46" s="319"/>
      <c r="CL46" s="319"/>
      <c r="CM46" s="319"/>
      <c r="CN46" s="319"/>
      <c r="CO46" s="319"/>
      <c r="CP46" s="319"/>
      <c r="CQ46" s="365"/>
      <c r="CR46" s="419">
        <f t="shared" si="22"/>
        <v>99.792000000000016</v>
      </c>
      <c r="CS46" s="57"/>
      <c r="CT46" s="319"/>
      <c r="CU46" s="319"/>
      <c r="CV46" s="319">
        <v>6.048</v>
      </c>
      <c r="CW46" s="319"/>
      <c r="CX46" s="319"/>
      <c r="CY46" s="319"/>
      <c r="CZ46" s="319"/>
      <c r="DA46" s="319"/>
      <c r="DB46" s="319"/>
      <c r="DC46" s="319"/>
      <c r="DD46" s="319"/>
      <c r="DE46" s="319"/>
      <c r="DF46" s="319"/>
      <c r="DG46" s="319"/>
      <c r="DH46" s="319"/>
      <c r="DI46" s="319"/>
      <c r="DJ46" s="319"/>
      <c r="DK46" s="319"/>
      <c r="DL46" s="319"/>
      <c r="DM46" s="319"/>
      <c r="DN46" s="319"/>
      <c r="DO46" s="319"/>
      <c r="DP46" s="319"/>
      <c r="DQ46" s="319"/>
      <c r="DR46" s="319"/>
      <c r="DS46" s="319"/>
      <c r="DT46" s="245"/>
      <c r="DU46" s="271"/>
      <c r="DV46" s="177"/>
      <c r="DW46" s="177"/>
      <c r="DX46" s="319"/>
      <c r="DY46" s="319"/>
      <c r="DZ46" s="319"/>
      <c r="EA46" s="319"/>
      <c r="EB46" s="319"/>
      <c r="EC46" s="319"/>
      <c r="ED46" s="319"/>
      <c r="EE46" s="319"/>
      <c r="EF46" s="319"/>
      <c r="EG46" s="319">
        <f>26.813*4</f>
        <v>107.252</v>
      </c>
      <c r="EH46" s="319"/>
      <c r="EI46" s="319"/>
      <c r="EJ46" s="319"/>
      <c r="EK46" s="245"/>
      <c r="EL46" s="466"/>
      <c r="EM46" s="319"/>
      <c r="EN46" s="319"/>
      <c r="EO46" s="319">
        <v>55.642000000000003</v>
      </c>
      <c r="EP46" s="319">
        <v>44.351999999999997</v>
      </c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/>
      <c r="FC46" s="319"/>
      <c r="FD46" s="319"/>
      <c r="FE46" s="319"/>
      <c r="FF46" s="319"/>
      <c r="FG46" s="319"/>
      <c r="FH46" s="319"/>
      <c r="FI46" s="158">
        <f t="shared" si="23"/>
        <v>213.29400000000001</v>
      </c>
      <c r="FJ46" s="113"/>
      <c r="FK46" s="374"/>
      <c r="FL46" s="319"/>
      <c r="FM46" s="319"/>
      <c r="FN46" s="319"/>
      <c r="FO46" s="319"/>
      <c r="FP46" s="319"/>
      <c r="FQ46" s="319"/>
      <c r="FR46" s="319"/>
      <c r="FS46" s="319"/>
      <c r="FT46" s="319"/>
      <c r="FU46" s="319"/>
      <c r="FV46" s="319"/>
      <c r="FW46" s="319"/>
      <c r="FX46" s="319"/>
      <c r="FY46" s="28"/>
      <c r="FZ46" s="270"/>
      <c r="GA46" s="271"/>
      <c r="GB46" s="177"/>
      <c r="GC46" s="177"/>
      <c r="GD46" s="177"/>
      <c r="GE46" s="802"/>
      <c r="GF46" s="435"/>
      <c r="GG46" s="327">
        <f t="shared" si="24"/>
        <v>0</v>
      </c>
      <c r="GH46" s="445">
        <f t="shared" si="25"/>
        <v>209.81</v>
      </c>
      <c r="GI46" s="605">
        <f t="shared" si="26"/>
        <v>209.81</v>
      </c>
      <c r="GJ46" s="627">
        <f t="shared" si="27"/>
        <v>246.3</v>
      </c>
      <c r="GK46" s="239">
        <f t="shared" si="28"/>
        <v>99.79</v>
      </c>
      <c r="GL46" s="36" t="str">
        <f t="shared" si="29"/>
        <v>Биогром Энерджи</v>
      </c>
      <c r="GM46" s="38"/>
      <c r="GN46" s="22"/>
      <c r="GO46" s="22"/>
    </row>
    <row r="47" spans="1:202" x14ac:dyDescent="0.3">
      <c r="A47" s="127">
        <f>A46+1</f>
        <v>35</v>
      </c>
      <c r="B47" s="268" t="s">
        <v>126</v>
      </c>
      <c r="C47" s="565">
        <f>'3_квартал'!G47</f>
        <v>1161.0229999999999</v>
      </c>
      <c r="D47" s="346">
        <f>196.65+89.84</f>
        <v>286.49</v>
      </c>
      <c r="E47" s="108">
        <v>186</v>
      </c>
      <c r="F47" s="889">
        <v>379.22</v>
      </c>
      <c r="G47" s="299">
        <f t="shared" si="9"/>
        <v>283.90300000000002</v>
      </c>
      <c r="H47" s="93">
        <v>724.16</v>
      </c>
      <c r="I47" s="93">
        <f>344.94+1000</f>
        <v>1344.94</v>
      </c>
      <c r="J47" s="112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>
        <v>36</v>
      </c>
      <c r="Y47" s="319">
        <v>36</v>
      </c>
      <c r="Z47" s="319"/>
      <c r="AA47" s="319"/>
      <c r="AB47" s="319"/>
      <c r="AC47" s="319"/>
      <c r="AD47" s="319"/>
      <c r="AE47" s="319"/>
      <c r="AF47" s="319"/>
      <c r="AG47" s="319"/>
      <c r="AH47" s="319"/>
      <c r="AI47" s="319"/>
      <c r="AJ47" s="319">
        <f>60*1.5</f>
        <v>90</v>
      </c>
      <c r="AK47" s="319"/>
      <c r="AL47" s="319"/>
      <c r="AM47" s="319"/>
      <c r="AN47" s="319"/>
      <c r="AO47" s="319"/>
      <c r="AP47" s="319">
        <v>22.68</v>
      </c>
      <c r="AQ47" s="319"/>
      <c r="AR47" s="319"/>
      <c r="AS47" s="319"/>
      <c r="AT47" s="319"/>
      <c r="AU47" s="319"/>
      <c r="AV47" s="319"/>
      <c r="AW47" s="319"/>
      <c r="AX47" s="319"/>
      <c r="AY47" s="319"/>
      <c r="AZ47" s="319"/>
      <c r="BA47" s="319">
        <v>21.167999999999999</v>
      </c>
      <c r="BB47" s="319">
        <v>80.64</v>
      </c>
      <c r="BC47" s="319"/>
      <c r="BD47" s="319"/>
      <c r="BE47" s="319"/>
      <c r="BF47" s="319"/>
      <c r="BG47" s="158">
        <f t="shared" si="21"/>
        <v>286.488</v>
      </c>
      <c r="BH47" s="112"/>
      <c r="BI47" s="833"/>
      <c r="BJ47" s="319"/>
      <c r="BK47" s="319"/>
      <c r="BL47" s="319"/>
      <c r="BM47" s="319"/>
      <c r="BN47" s="319"/>
      <c r="BO47" s="319"/>
      <c r="BP47" s="319"/>
      <c r="BQ47" s="319"/>
      <c r="BR47" s="319"/>
      <c r="BS47" s="319"/>
      <c r="BT47" s="319"/>
      <c r="BU47" s="319"/>
      <c r="BV47" s="319"/>
      <c r="BW47" s="319"/>
      <c r="BX47" s="319"/>
      <c r="BY47" s="319"/>
      <c r="BZ47" s="319"/>
      <c r="CA47" s="319"/>
      <c r="CB47" s="319"/>
      <c r="CC47" s="319"/>
      <c r="CD47" s="319">
        <v>36</v>
      </c>
      <c r="CE47" s="319"/>
      <c r="CF47" s="319"/>
      <c r="CG47" s="319"/>
      <c r="CH47" s="319"/>
      <c r="CI47" s="319"/>
      <c r="CJ47" s="319"/>
      <c r="CK47" s="319"/>
      <c r="CL47" s="319">
        <f>90/1.5*2.5</f>
        <v>150</v>
      </c>
      <c r="CM47" s="319"/>
      <c r="CN47" s="319"/>
      <c r="CO47" s="319"/>
      <c r="CP47" s="319"/>
      <c r="CQ47" s="365"/>
      <c r="CR47" s="419">
        <f t="shared" si="22"/>
        <v>186</v>
      </c>
      <c r="CS47" s="57"/>
      <c r="CT47" s="319"/>
      <c r="CU47" s="319"/>
      <c r="CV47" s="319"/>
      <c r="CW47" s="319"/>
      <c r="CX47" s="319"/>
      <c r="CY47" s="319"/>
      <c r="CZ47" s="319"/>
      <c r="DA47" s="319"/>
      <c r="DB47" s="319"/>
      <c r="DC47" s="319"/>
      <c r="DD47" s="319"/>
      <c r="DE47" s="319"/>
      <c r="DF47" s="319">
        <v>22.68</v>
      </c>
      <c r="DG47" s="319"/>
      <c r="DH47" s="319"/>
      <c r="DI47" s="319"/>
      <c r="DJ47" s="319">
        <f>30.24*0.6</f>
        <v>18.143999999999998</v>
      </c>
      <c r="DK47" s="319">
        <v>50.4</v>
      </c>
      <c r="DL47" s="319"/>
      <c r="DM47" s="319"/>
      <c r="DN47" s="319"/>
      <c r="DO47" s="319"/>
      <c r="DP47" s="319"/>
      <c r="DQ47" s="319"/>
      <c r="DR47" s="319"/>
      <c r="DS47" s="319"/>
      <c r="DT47" s="245">
        <f>54/0.9*0.6</f>
        <v>36</v>
      </c>
      <c r="DU47" s="271"/>
      <c r="DV47" s="177"/>
      <c r="DW47" s="177"/>
      <c r="DX47" s="319"/>
      <c r="DY47" s="319"/>
      <c r="DZ47" s="319"/>
      <c r="EA47" s="319"/>
      <c r="EB47" s="319"/>
      <c r="EC47" s="319"/>
      <c r="ED47" s="319"/>
      <c r="EE47" s="319"/>
      <c r="EF47" s="319"/>
      <c r="EG47" s="319"/>
      <c r="EH47" s="319"/>
      <c r="EI47" s="319"/>
      <c r="EJ47" s="319"/>
      <c r="EK47" s="245"/>
      <c r="EL47" s="466">
        <f>60*1.3</f>
        <v>78</v>
      </c>
      <c r="EM47" s="319"/>
      <c r="EN47" s="319"/>
      <c r="EO47" s="319"/>
      <c r="EP47" s="319"/>
      <c r="EQ47" s="319"/>
      <c r="ER47" s="319"/>
      <c r="ES47" s="319"/>
      <c r="ET47" s="319"/>
      <c r="EU47" s="319"/>
      <c r="EV47" s="319"/>
      <c r="EW47" s="319"/>
      <c r="EX47" s="319"/>
      <c r="EY47" s="319"/>
      <c r="EZ47" s="319"/>
      <c r="FA47" s="319"/>
      <c r="FB47" s="319">
        <v>102</v>
      </c>
      <c r="FC47" s="319">
        <f>72/1.2*0.6</f>
        <v>36</v>
      </c>
      <c r="FD47" s="319">
        <f>54/0.9*0.6</f>
        <v>36</v>
      </c>
      <c r="FE47" s="319"/>
      <c r="FF47" s="319"/>
      <c r="FG47" s="319"/>
      <c r="FH47" s="319"/>
      <c r="FI47" s="158">
        <f t="shared" si="23"/>
        <v>379.22399999999999</v>
      </c>
      <c r="FJ47" s="113"/>
      <c r="FK47" s="374"/>
      <c r="FL47" s="319"/>
      <c r="FM47" s="319"/>
      <c r="FN47" s="319"/>
      <c r="FO47" s="319"/>
      <c r="FP47" s="319"/>
      <c r="FQ47" s="319"/>
      <c r="FR47" s="319"/>
      <c r="FS47" s="319"/>
      <c r="FT47" s="319"/>
      <c r="FU47" s="319"/>
      <c r="FV47" s="319"/>
      <c r="FW47" s="319"/>
      <c r="FX47" s="319"/>
      <c r="FY47" s="28"/>
      <c r="FZ47" s="270"/>
      <c r="GA47" s="271"/>
      <c r="GB47" s="177"/>
      <c r="GC47" s="177"/>
      <c r="GD47" s="177"/>
      <c r="GE47" s="802"/>
      <c r="GF47" s="435"/>
      <c r="GG47" s="327">
        <f t="shared" si="24"/>
        <v>0</v>
      </c>
      <c r="GH47" s="445">
        <f t="shared" si="25"/>
        <v>1344.94</v>
      </c>
      <c r="GI47" s="605">
        <f t="shared" si="26"/>
        <v>1344.94</v>
      </c>
      <c r="GJ47" s="627">
        <f t="shared" si="27"/>
        <v>1161.0229999999999</v>
      </c>
      <c r="GK47" s="239">
        <f t="shared" si="28"/>
        <v>186</v>
      </c>
      <c r="GL47" s="36" t="str">
        <f t="shared" si="29"/>
        <v>Биогром Холин</v>
      </c>
      <c r="GM47" s="38"/>
      <c r="GN47" s="14"/>
      <c r="GO47" s="14"/>
    </row>
    <row r="48" spans="1:202" x14ac:dyDescent="0.3">
      <c r="A48" s="127">
        <f>A47+1</f>
        <v>36</v>
      </c>
      <c r="B48" s="268" t="s">
        <v>161</v>
      </c>
      <c r="C48" s="565">
        <f>'3_квартал'!G48</f>
        <v>166.5</v>
      </c>
      <c r="D48" s="241">
        <v>0</v>
      </c>
      <c r="E48" s="241">
        <v>0</v>
      </c>
      <c r="F48" s="889">
        <v>0</v>
      </c>
      <c r="G48" s="299">
        <f t="shared" si="9"/>
        <v>0</v>
      </c>
      <c r="H48" s="93">
        <v>0</v>
      </c>
      <c r="I48" s="93">
        <v>0</v>
      </c>
      <c r="J48" s="112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 s="319"/>
      <c r="BE48" s="319"/>
      <c r="BF48" s="319"/>
      <c r="BG48" s="158">
        <f t="shared" si="21"/>
        <v>0</v>
      </c>
      <c r="BH48" s="112"/>
      <c r="BI48" s="833"/>
      <c r="BJ48" s="319"/>
      <c r="BK48" s="319"/>
      <c r="BL48" s="319"/>
      <c r="BM48" s="319"/>
      <c r="BN48" s="319"/>
      <c r="BO48" s="319"/>
      <c r="BP48" s="319"/>
      <c r="BQ48" s="319"/>
      <c r="BR48" s="319"/>
      <c r="BS48" s="319"/>
      <c r="BT48" s="319"/>
      <c r="BU48" s="319"/>
      <c r="BV48" s="319"/>
      <c r="BW48" s="319"/>
      <c r="BX48" s="319"/>
      <c r="BY48" s="319"/>
      <c r="BZ48" s="319"/>
      <c r="CA48" s="319"/>
      <c r="CB48" s="319"/>
      <c r="CC48" s="319"/>
      <c r="CD48" s="319"/>
      <c r="CE48" s="319"/>
      <c r="CF48" s="319"/>
      <c r="CG48" s="319"/>
      <c r="CH48" s="319"/>
      <c r="CI48" s="319"/>
      <c r="CJ48" s="319"/>
      <c r="CK48" s="319"/>
      <c r="CL48" s="319"/>
      <c r="CM48" s="319"/>
      <c r="CN48" s="319"/>
      <c r="CO48" s="319"/>
      <c r="CP48" s="319"/>
      <c r="CQ48" s="365"/>
      <c r="CR48" s="419">
        <f t="shared" si="22"/>
        <v>0</v>
      </c>
      <c r="CS48" s="57"/>
      <c r="CT48" s="319"/>
      <c r="CU48" s="319"/>
      <c r="CV48" s="319"/>
      <c r="CW48" s="319"/>
      <c r="CX48" s="319"/>
      <c r="CY48" s="319"/>
      <c r="CZ48" s="319"/>
      <c r="DA48" s="319"/>
      <c r="DB48" s="319"/>
      <c r="DC48" s="319"/>
      <c r="DD48" s="319"/>
      <c r="DE48" s="319"/>
      <c r="DF48" s="319"/>
      <c r="DG48" s="319"/>
      <c r="DH48" s="319"/>
      <c r="DI48" s="319"/>
      <c r="DJ48" s="319"/>
      <c r="DK48" s="319"/>
      <c r="DL48" s="319"/>
      <c r="DM48" s="319"/>
      <c r="DN48" s="319"/>
      <c r="DO48" s="319"/>
      <c r="DP48" s="319"/>
      <c r="DQ48" s="319"/>
      <c r="DR48" s="319"/>
      <c r="DS48" s="319"/>
      <c r="DT48" s="245"/>
      <c r="DU48" s="271"/>
      <c r="DV48" s="177"/>
      <c r="DW48" s="177"/>
      <c r="DX48" s="319"/>
      <c r="DY48" s="319"/>
      <c r="DZ48" s="319"/>
      <c r="EA48" s="319"/>
      <c r="EB48" s="319"/>
      <c r="EC48" s="319"/>
      <c r="ED48" s="319"/>
      <c r="EE48" s="319"/>
      <c r="EF48" s="319"/>
      <c r="EG48" s="319"/>
      <c r="EH48" s="319"/>
      <c r="EI48" s="319"/>
      <c r="EJ48" s="319"/>
      <c r="EK48" s="245"/>
      <c r="EL48" s="466"/>
      <c r="EM48" s="319"/>
      <c r="EN48" s="319"/>
      <c r="EO48" s="319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19"/>
      <c r="FE48" s="319"/>
      <c r="FF48" s="319"/>
      <c r="FG48" s="319"/>
      <c r="FH48" s="319"/>
      <c r="FI48" s="158">
        <f t="shared" si="23"/>
        <v>0</v>
      </c>
      <c r="FJ48" s="113"/>
      <c r="FK48" s="374"/>
      <c r="FL48" s="319"/>
      <c r="FM48" s="319"/>
      <c r="FN48" s="319"/>
      <c r="FO48" s="319"/>
      <c r="FP48" s="319"/>
      <c r="FQ48" s="319"/>
      <c r="FR48" s="319"/>
      <c r="FS48" s="319"/>
      <c r="FT48" s="319"/>
      <c r="FU48" s="319"/>
      <c r="FV48" s="319"/>
      <c r="FW48" s="319"/>
      <c r="FX48" s="319"/>
      <c r="FY48" s="28"/>
      <c r="FZ48" s="270"/>
      <c r="GA48" s="271"/>
      <c r="GB48" s="177"/>
      <c r="GC48" s="177"/>
      <c r="GD48" s="177"/>
      <c r="GE48" s="802"/>
      <c r="GF48" s="435"/>
      <c r="GG48" s="327">
        <f t="shared" si="24"/>
        <v>0</v>
      </c>
      <c r="GH48" s="445">
        <f t="shared" si="25"/>
        <v>0</v>
      </c>
      <c r="GI48" s="605">
        <f t="shared" si="26"/>
        <v>0</v>
      </c>
      <c r="GJ48" s="627">
        <f t="shared" si="27"/>
        <v>166.5</v>
      </c>
      <c r="GK48" s="239">
        <f t="shared" si="28"/>
        <v>0</v>
      </c>
      <c r="GL48" s="36" t="str">
        <f t="shared" si="29"/>
        <v>Био-Мос</v>
      </c>
      <c r="GM48" s="38"/>
      <c r="GN48" s="14"/>
      <c r="GO48" s="14"/>
    </row>
    <row r="49" spans="1:198" x14ac:dyDescent="0.3">
      <c r="A49" s="127">
        <f t="shared" si="20"/>
        <v>37</v>
      </c>
      <c r="B49" s="280" t="s">
        <v>101</v>
      </c>
      <c r="C49" s="565">
        <f>'3_квартал'!G49</f>
        <v>886.32</v>
      </c>
      <c r="D49" s="346">
        <f>584.233+454.697</f>
        <v>1038.9299999999998</v>
      </c>
      <c r="E49" s="781">
        <f>44.303+499+156.397</f>
        <v>699.7</v>
      </c>
      <c r="F49" s="889">
        <f>1048.47</f>
        <v>1048.47</v>
      </c>
      <c r="G49" s="299">
        <f t="shared" si="9"/>
        <v>929.03300000000002</v>
      </c>
      <c r="H49" s="93">
        <v>1843.6030000000001</v>
      </c>
      <c r="I49" s="93">
        <v>595.13300000000004</v>
      </c>
      <c r="J49" s="112"/>
      <c r="K49" s="319">
        <f>6.72*4</f>
        <v>26.88</v>
      </c>
      <c r="L49" s="319">
        <f>2.352*5</f>
        <v>11.76</v>
      </c>
      <c r="M49" s="319"/>
      <c r="N49" s="319"/>
      <c r="O49" s="319">
        <f>11.76*3</f>
        <v>35.28</v>
      </c>
      <c r="P49" s="319">
        <f>2.352*2</f>
        <v>4.7039999999999997</v>
      </c>
      <c r="Q49" s="319">
        <f>23.52*2.1</f>
        <v>49.392000000000003</v>
      </c>
      <c r="R49" s="319">
        <f>11.76*3</f>
        <v>35.28</v>
      </c>
      <c r="S49" s="319">
        <f>2.218</f>
        <v>2.218</v>
      </c>
      <c r="T49" s="319">
        <f>7.056*1.5</f>
        <v>10.584</v>
      </c>
      <c r="U49" s="319">
        <f>8.837*0.25</f>
        <v>2.2092499999999999</v>
      </c>
      <c r="V49" s="319">
        <f>17.674*4.5</f>
        <v>79.533000000000001</v>
      </c>
      <c r="W49" s="319">
        <f>8.4*3</f>
        <v>25.200000000000003</v>
      </c>
      <c r="X49" s="319">
        <v>4.032</v>
      </c>
      <c r="Y49" s="319">
        <v>2.8220000000000001</v>
      </c>
      <c r="Z49" s="319">
        <f>3.36*3</f>
        <v>10.08</v>
      </c>
      <c r="AA49" s="319"/>
      <c r="AB49" s="319"/>
      <c r="AC49" s="319"/>
      <c r="AD49" s="319"/>
      <c r="AE49" s="319"/>
      <c r="AF49" s="319">
        <f>11.76*3</f>
        <v>35.28</v>
      </c>
      <c r="AG49" s="319">
        <f>0.02/0.3*0.4</f>
        <v>2.6666666666666668E-2</v>
      </c>
      <c r="AH49" s="319">
        <f>70.56</f>
        <v>70.56</v>
      </c>
      <c r="AI49" s="319">
        <v>5.5439999999999996</v>
      </c>
      <c r="AJ49" s="319">
        <f>4.704*1.5</f>
        <v>7.0559999999999992</v>
      </c>
      <c r="AK49" s="319">
        <v>8.8369999999999997</v>
      </c>
      <c r="AL49" s="319"/>
      <c r="AM49" s="319">
        <v>0.02</v>
      </c>
      <c r="AN49" s="319">
        <v>3.629</v>
      </c>
      <c r="AO49" s="319">
        <v>129.36000000000001</v>
      </c>
      <c r="AP49" s="319">
        <v>1.008</v>
      </c>
      <c r="AQ49" s="319">
        <f>7.056*1.5</f>
        <v>10.584</v>
      </c>
      <c r="AR49" s="319">
        <f>11.76*6</f>
        <v>70.56</v>
      </c>
      <c r="AS49" s="319">
        <f>11.76*3</f>
        <v>35.28</v>
      </c>
      <c r="AT49" s="319">
        <f>77.414/10*6</f>
        <v>46.448400000000007</v>
      </c>
      <c r="AU49" s="319">
        <f>17.674*2</f>
        <v>35.347999999999999</v>
      </c>
      <c r="AV49" s="319">
        <f>23.52*2.4</f>
        <v>56.448</v>
      </c>
      <c r="AW49" s="319">
        <v>14.112</v>
      </c>
      <c r="AX49" s="319">
        <f>117.6/5*3</f>
        <v>70.56</v>
      </c>
      <c r="AY49" s="319">
        <f>117.6/5*2</f>
        <v>47.04</v>
      </c>
      <c r="AZ49" s="319">
        <v>0.33600000000000002</v>
      </c>
      <c r="BA49" s="319">
        <v>4.7039999999999997</v>
      </c>
      <c r="BB49" s="319">
        <v>7.5259999999999998</v>
      </c>
      <c r="BC49" s="319">
        <f>2.352*4</f>
        <v>9.4079999999999995</v>
      </c>
      <c r="BD49" s="319">
        <f>6.72*4</f>
        <v>26.88</v>
      </c>
      <c r="BE49" s="319">
        <f>17.674*2</f>
        <v>35.347999999999999</v>
      </c>
      <c r="BF49" s="319">
        <f>2.352*3</f>
        <v>7.0559999999999992</v>
      </c>
      <c r="BG49" s="158">
        <f t="shared" si="21"/>
        <v>1038.9333166666663</v>
      </c>
      <c r="BH49" s="112"/>
      <c r="BI49" s="833">
        <v>0.04</v>
      </c>
      <c r="BJ49" s="319">
        <v>11.76</v>
      </c>
      <c r="BK49" s="319">
        <v>0.26900000000000002</v>
      </c>
      <c r="BL49" s="319">
        <f>6.72*4</f>
        <v>26.88</v>
      </c>
      <c r="BM49" s="319">
        <f>8.064*5</f>
        <v>40.32</v>
      </c>
      <c r="BN49" s="319"/>
      <c r="BO49" s="319">
        <f>3.36*1.5</f>
        <v>5.04</v>
      </c>
      <c r="BP49" s="319">
        <v>3.6960000000000002</v>
      </c>
      <c r="BQ49" s="319">
        <f>0.04/0.6</f>
        <v>6.6666666666666666E-2</v>
      </c>
      <c r="BR49" s="319">
        <v>2.3519999999999999</v>
      </c>
      <c r="BS49" s="319">
        <v>35.28</v>
      </c>
      <c r="BT49" s="319">
        <f>35.347/2*0.8</f>
        <v>14.138800000000002</v>
      </c>
      <c r="BU49" s="319">
        <f>3.36*1.5</f>
        <v>5.04</v>
      </c>
      <c r="BV49" s="319">
        <f>35.28/3*2</f>
        <v>23.52</v>
      </c>
      <c r="BW49" s="319">
        <f>0.336/0.5</f>
        <v>0.67200000000000004</v>
      </c>
      <c r="BX49" s="319">
        <f>17.674*1.8</f>
        <v>31.813199999999998</v>
      </c>
      <c r="BY49" s="319">
        <v>5.04</v>
      </c>
      <c r="BZ49" s="319">
        <v>0.26900000000000002</v>
      </c>
      <c r="CA49" s="319">
        <v>16.8</v>
      </c>
      <c r="CB49" s="319">
        <f>8.064*5</f>
        <v>40.32</v>
      </c>
      <c r="CC49" s="319">
        <f>56.448/2.4*1.5</f>
        <v>35.28</v>
      </c>
      <c r="CD49" s="319">
        <v>4.032</v>
      </c>
      <c r="CE49" s="319">
        <f>8.064*5</f>
        <v>40.32</v>
      </c>
      <c r="CF49" s="319">
        <f>5.544*0.5</f>
        <v>2.7719999999999998</v>
      </c>
      <c r="CG49" s="319">
        <f>35.28/3*2.4</f>
        <v>28.224</v>
      </c>
      <c r="CH49" s="319">
        <f>3.36</f>
        <v>3.36</v>
      </c>
      <c r="CI49" s="319">
        <v>11.29</v>
      </c>
      <c r="CJ49" s="319">
        <v>30.966000000000001</v>
      </c>
      <c r="CK49" s="319">
        <f>23.52*5.5</f>
        <v>129.35999999999999</v>
      </c>
      <c r="CL49" s="319">
        <f>7.056/1.5*2.5</f>
        <v>11.76</v>
      </c>
      <c r="CM49" s="319">
        <v>8.3160000000000007</v>
      </c>
      <c r="CN49" s="319">
        <f>8.4*2.5</f>
        <v>21</v>
      </c>
      <c r="CO49" s="319">
        <f>50.4*1.3</f>
        <v>65.52</v>
      </c>
      <c r="CP49" s="319">
        <v>17.673999999999999</v>
      </c>
      <c r="CQ49" s="365">
        <f>17.674*1.5</f>
        <v>26.510999999999999</v>
      </c>
      <c r="CR49" s="419">
        <f t="shared" si="22"/>
        <v>699.7016666666666</v>
      </c>
      <c r="CS49" s="57"/>
      <c r="CT49" s="319">
        <f>80.64/10*8</f>
        <v>64.512</v>
      </c>
      <c r="CU49" s="319">
        <f>80.64/10*2</f>
        <v>16.128</v>
      </c>
      <c r="CV49" s="319">
        <v>2.7E-2</v>
      </c>
      <c r="CW49" s="319"/>
      <c r="CX49" s="319">
        <f>6.72*5</f>
        <v>33.6</v>
      </c>
      <c r="CY49" s="319">
        <f>17.674*2</f>
        <v>35.347999999999999</v>
      </c>
      <c r="CZ49" s="319">
        <f>2.352*3.8</f>
        <v>8.9375999999999998</v>
      </c>
      <c r="DA49" s="319"/>
      <c r="DB49" s="319"/>
      <c r="DC49" s="319">
        <v>70.56</v>
      </c>
      <c r="DD49" s="319">
        <v>7.3920000000000003</v>
      </c>
      <c r="DE49" s="319">
        <f>0.538*0.5</f>
        <v>0.26900000000000002</v>
      </c>
      <c r="DF49" s="319">
        <v>1.008</v>
      </c>
      <c r="DG49" s="319">
        <f>6.72*4</f>
        <v>26.88</v>
      </c>
      <c r="DH49" s="319">
        <f>17.674</f>
        <v>17.673999999999999</v>
      </c>
      <c r="DI49" s="319">
        <f>2.352*7</f>
        <v>16.463999999999999</v>
      </c>
      <c r="DJ49" s="319">
        <f>6.72*0.6</f>
        <v>4.032</v>
      </c>
      <c r="DK49" s="319">
        <v>4.7039999999999997</v>
      </c>
      <c r="DL49" s="319">
        <f>7.392*0.3</f>
        <v>2.2176</v>
      </c>
      <c r="DM49" s="319">
        <v>14.112</v>
      </c>
      <c r="DN49" s="319"/>
      <c r="DO49" s="319">
        <v>3.36</v>
      </c>
      <c r="DP49" s="319">
        <f>70.56/6*3</f>
        <v>35.28</v>
      </c>
      <c r="DQ49" s="319"/>
      <c r="DR49" s="319">
        <f>17.674*3.3</f>
        <v>58.324199999999998</v>
      </c>
      <c r="DS49" s="319">
        <v>0.40300000000000002</v>
      </c>
      <c r="DT49" s="245">
        <f>4.234/0.9*0.6</f>
        <v>2.8226666666666667</v>
      </c>
      <c r="DU49" s="271">
        <f>2.688*8</f>
        <v>21.504000000000001</v>
      </c>
      <c r="DV49" s="177">
        <f>4.032*2</f>
        <v>8.0640000000000001</v>
      </c>
      <c r="DW49" s="177"/>
      <c r="DX49" s="319"/>
      <c r="DY49" s="319">
        <f>6.72*5</f>
        <v>33.6</v>
      </c>
      <c r="DZ49" s="319">
        <f>8.4*2.6</f>
        <v>21.840000000000003</v>
      </c>
      <c r="EA49" s="319">
        <f>23.52*4</f>
        <v>94.08</v>
      </c>
      <c r="EB49" s="319">
        <v>17.673999999999999</v>
      </c>
      <c r="EC49" s="319">
        <v>10.584</v>
      </c>
      <c r="ED49" s="319">
        <v>3.9769999999999999</v>
      </c>
      <c r="EE49" s="319">
        <f>23.52*2.2</f>
        <v>51.744</v>
      </c>
      <c r="EF49" s="319">
        <f>17.674*0.8</f>
        <v>14.139200000000001</v>
      </c>
      <c r="EG49" s="319">
        <f>11.76*4</f>
        <v>47.04</v>
      </c>
      <c r="EH49" s="319">
        <f>2.352*4</f>
        <v>9.4079999999999995</v>
      </c>
      <c r="EI49" s="319">
        <f>3.36*2</f>
        <v>6.72</v>
      </c>
      <c r="EJ49" s="319"/>
      <c r="EK49" s="245">
        <f>17.674</f>
        <v>17.673999999999999</v>
      </c>
      <c r="EL49" s="466">
        <f>4.704*1.3</f>
        <v>6.1151999999999997</v>
      </c>
      <c r="EM49" s="319">
        <f>2.352*4.2</f>
        <v>9.8783999999999992</v>
      </c>
      <c r="EN49" s="319">
        <f>2.352*2</f>
        <v>4.7039999999999997</v>
      </c>
      <c r="EO49" s="319">
        <f>0.04</f>
        <v>0.04</v>
      </c>
      <c r="EP49" s="319">
        <v>1.2999999999999999E-2</v>
      </c>
      <c r="EQ49" s="319">
        <f>8.837</f>
        <v>8.8369999999999997</v>
      </c>
      <c r="ER49" s="319">
        <v>2.3519999999999999</v>
      </c>
      <c r="ES49" s="319">
        <v>70.56</v>
      </c>
      <c r="ET49" s="319">
        <f>17.674</f>
        <v>17.673999999999999</v>
      </c>
      <c r="EU49" s="319">
        <f>28.224/2.4</f>
        <v>11.76</v>
      </c>
      <c r="EV49" s="319"/>
      <c r="EW49" s="319">
        <f>3.528/1.5</f>
        <v>2.3519999999999999</v>
      </c>
      <c r="EX49" s="319">
        <f>28.224/2.4*2</f>
        <v>23.52</v>
      </c>
      <c r="EY49" s="319">
        <v>3.36</v>
      </c>
      <c r="EZ49" s="319">
        <f>17.674*1.5</f>
        <v>26.510999999999999</v>
      </c>
      <c r="FA49" s="319">
        <v>56.448</v>
      </c>
      <c r="FB49" s="319">
        <v>7.9969999999999999</v>
      </c>
      <c r="FC49" s="319">
        <f>8.064/1.2*0.6</f>
        <v>4.032</v>
      </c>
      <c r="FD49" s="319">
        <f>4.234/0.9*0.6</f>
        <v>2.8226666666666667</v>
      </c>
      <c r="FE49" s="319">
        <v>3.629</v>
      </c>
      <c r="FF49" s="319"/>
      <c r="FG49" s="319"/>
      <c r="FH49" s="319">
        <f>2.52*1.5</f>
        <v>3.7800000000000002</v>
      </c>
      <c r="FI49" s="158">
        <f t="shared" si="23"/>
        <v>1048.4885333333332</v>
      </c>
      <c r="FJ49" s="113"/>
      <c r="FK49" s="374"/>
      <c r="FL49" s="319"/>
      <c r="FM49" s="319"/>
      <c r="FN49" s="319"/>
      <c r="FO49" s="319"/>
      <c r="FP49" s="319"/>
      <c r="FQ49" s="319"/>
      <c r="FR49" s="319"/>
      <c r="FS49" s="319"/>
      <c r="FT49" s="319"/>
      <c r="FU49" s="319"/>
      <c r="FV49" s="319"/>
      <c r="FW49" s="319"/>
      <c r="FX49" s="319"/>
      <c r="FY49" s="28"/>
      <c r="FZ49" s="270"/>
      <c r="GA49" s="271"/>
      <c r="GB49" s="177"/>
      <c r="GC49" s="177"/>
      <c r="GD49" s="177"/>
      <c r="GE49" s="802"/>
      <c r="GF49" s="435"/>
      <c r="GG49" s="327">
        <f t="shared" si="24"/>
        <v>0</v>
      </c>
      <c r="GH49" s="454">
        <f t="shared" si="25"/>
        <v>595.13300000000004</v>
      </c>
      <c r="GI49" s="605">
        <f t="shared" si="26"/>
        <v>595.13300000000004</v>
      </c>
      <c r="GJ49" s="627">
        <f t="shared" si="27"/>
        <v>886.32</v>
      </c>
      <c r="GK49" s="239">
        <f t="shared" si="28"/>
        <v>699.7</v>
      </c>
      <c r="GL49" s="36" t="str">
        <f t="shared" si="29"/>
        <v>Биоплекс марганец</v>
      </c>
      <c r="GM49" s="38"/>
      <c r="GN49" s="14"/>
      <c r="GO49" s="14"/>
    </row>
    <row r="50" spans="1:198" x14ac:dyDescent="0.3">
      <c r="A50" s="127">
        <f t="shared" si="20"/>
        <v>38</v>
      </c>
      <c r="B50" s="280" t="s">
        <v>110</v>
      </c>
      <c r="C50" s="565">
        <f>'3_квартал'!G50</f>
        <v>705.15</v>
      </c>
      <c r="D50" s="346">
        <v>852.61</v>
      </c>
      <c r="E50" s="241">
        <f>495.38</f>
        <v>495.38</v>
      </c>
      <c r="F50" s="889">
        <v>807.13</v>
      </c>
      <c r="G50" s="299">
        <f t="shared" si="9"/>
        <v>718.37300000000005</v>
      </c>
      <c r="H50" s="93">
        <f>436.443+1000</f>
        <v>1436.443</v>
      </c>
      <c r="I50" s="93">
        <v>129.31299999999999</v>
      </c>
      <c r="J50" s="112"/>
      <c r="K50" s="319">
        <f>4.838*4</f>
        <v>19.352</v>
      </c>
      <c r="L50" s="319">
        <f>2.419*5</f>
        <v>12.095000000000001</v>
      </c>
      <c r="M50" s="319"/>
      <c r="N50" s="319"/>
      <c r="O50" s="319">
        <f>10.08*3</f>
        <v>30.240000000000002</v>
      </c>
      <c r="P50" s="319">
        <f>2.419*2</f>
        <v>4.8380000000000001</v>
      </c>
      <c r="Q50" s="319">
        <f>20.16*2.1</f>
        <v>42.336000000000006</v>
      </c>
      <c r="R50" s="319">
        <f>10.08*3</f>
        <v>30.240000000000002</v>
      </c>
      <c r="S50" s="319">
        <f>3.326</f>
        <v>3.3260000000000001</v>
      </c>
      <c r="T50" s="319">
        <f>6.048*1.5</f>
        <v>9.0719999999999992</v>
      </c>
      <c r="U50" s="319">
        <f>6.376*0.25</f>
        <v>1.5940000000000001</v>
      </c>
      <c r="V50" s="319">
        <f>12.751*4.5</f>
        <v>57.3795</v>
      </c>
      <c r="W50" s="319">
        <f>3.528*3</f>
        <v>10.584</v>
      </c>
      <c r="X50" s="319">
        <v>2.903</v>
      </c>
      <c r="Y50" s="319">
        <v>2.419</v>
      </c>
      <c r="Z50" s="319">
        <f>2.419*3</f>
        <v>7.2569999999999997</v>
      </c>
      <c r="AA50" s="319"/>
      <c r="AB50" s="319"/>
      <c r="AC50" s="319"/>
      <c r="AD50" s="319"/>
      <c r="AE50" s="319"/>
      <c r="AF50" s="319">
        <f>10.08*3</f>
        <v>30.240000000000002</v>
      </c>
      <c r="AG50" s="319">
        <f>0.015/0.3*0.4</f>
        <v>2.0000000000000004E-2</v>
      </c>
      <c r="AH50" s="319">
        <f>60.48</f>
        <v>60.48</v>
      </c>
      <c r="AI50" s="319">
        <v>3.024</v>
      </c>
      <c r="AJ50" s="319">
        <f>4.032*1.5</f>
        <v>6.048</v>
      </c>
      <c r="AK50" s="319">
        <v>6.3760000000000003</v>
      </c>
      <c r="AL50" s="319"/>
      <c r="AM50" s="319">
        <v>0.03</v>
      </c>
      <c r="AN50" s="319">
        <v>5.4429999999999996</v>
      </c>
      <c r="AO50" s="319">
        <v>110.88</v>
      </c>
      <c r="AP50" s="319"/>
      <c r="AQ50" s="319">
        <f>6.048*1.5</f>
        <v>9.0719999999999992</v>
      </c>
      <c r="AR50" s="319">
        <f>10.08*6</f>
        <v>60.480000000000004</v>
      </c>
      <c r="AS50" s="319">
        <f>10.08*3</f>
        <v>30.240000000000002</v>
      </c>
      <c r="AT50" s="319">
        <f>76.608/10*6</f>
        <v>45.964799999999997</v>
      </c>
      <c r="AU50" s="319">
        <f>12.751*2</f>
        <v>25.501999999999999</v>
      </c>
      <c r="AV50" s="319">
        <f>20.16*2.4</f>
        <v>48.384</v>
      </c>
      <c r="AW50" s="319">
        <v>6.048</v>
      </c>
      <c r="AX50" s="319">
        <f>100.8/5*3</f>
        <v>60.480000000000004</v>
      </c>
      <c r="AY50" s="319">
        <f>100.8/5*2</f>
        <v>40.32</v>
      </c>
      <c r="AZ50" s="319">
        <v>0.504</v>
      </c>
      <c r="BA50" s="319">
        <v>2.8220000000000001</v>
      </c>
      <c r="BB50" s="319">
        <v>4.8380000000000001</v>
      </c>
      <c r="BC50" s="319">
        <f>2.419*4</f>
        <v>9.6760000000000002</v>
      </c>
      <c r="BD50" s="319">
        <f>4.838*4</f>
        <v>19.352</v>
      </c>
      <c r="BE50" s="319">
        <f>12.751*2</f>
        <v>25.501999999999999</v>
      </c>
      <c r="BF50" s="319">
        <f>2.419*3</f>
        <v>7.2569999999999997</v>
      </c>
      <c r="BG50" s="158">
        <f t="shared" si="21"/>
        <v>852.61829999999986</v>
      </c>
      <c r="BH50" s="112"/>
      <c r="BI50" s="833">
        <v>0.03</v>
      </c>
      <c r="BJ50" s="319">
        <v>10.08</v>
      </c>
      <c r="BK50" s="319"/>
      <c r="BL50" s="319">
        <f>4.838*4</f>
        <v>19.352</v>
      </c>
      <c r="BM50" s="319"/>
      <c r="BN50" s="319"/>
      <c r="BO50" s="319">
        <f>2.419*1.5</f>
        <v>3.6284999999999998</v>
      </c>
      <c r="BP50" s="319">
        <v>5.5439999999999996</v>
      </c>
      <c r="BQ50" s="319">
        <f>0.048/0.6</f>
        <v>0.08</v>
      </c>
      <c r="BR50" s="319">
        <v>2.419</v>
      </c>
      <c r="BS50" s="319">
        <v>30.24</v>
      </c>
      <c r="BT50" s="319">
        <f>25.502/2*0.8</f>
        <v>10.200800000000001</v>
      </c>
      <c r="BU50" s="319">
        <f>2.419*1.5</f>
        <v>3.6284999999999998</v>
      </c>
      <c r="BV50" s="319">
        <f>30.24/3*2</f>
        <v>20.16</v>
      </c>
      <c r="BW50" s="319">
        <f>0.504/0.5</f>
        <v>1.008</v>
      </c>
      <c r="BX50" s="319">
        <f>12.751*1.8</f>
        <v>22.951799999999999</v>
      </c>
      <c r="BY50" s="319">
        <v>7.56</v>
      </c>
      <c r="BZ50" s="319"/>
      <c r="CA50" s="319">
        <v>25.2</v>
      </c>
      <c r="CB50" s="319"/>
      <c r="CC50" s="319">
        <f>48.384/2.4*1.5</f>
        <v>30.240000000000002</v>
      </c>
      <c r="CD50" s="319">
        <v>2.903</v>
      </c>
      <c r="CE50" s="319"/>
      <c r="CF50" s="319">
        <f>3.024*0.5</f>
        <v>1.512</v>
      </c>
      <c r="CG50" s="319">
        <f>30.24/3*2.4</f>
        <v>24.192</v>
      </c>
      <c r="CH50" s="319">
        <f>2.419</f>
        <v>2.419</v>
      </c>
      <c r="CI50" s="319">
        <v>9.6769999999999996</v>
      </c>
      <c r="CJ50" s="319">
        <v>30.643000000000001</v>
      </c>
      <c r="CK50" s="319">
        <f>20.16*5.5</f>
        <v>110.88</v>
      </c>
      <c r="CL50" s="319">
        <f>6.048/1.5*2.5</f>
        <v>10.08</v>
      </c>
      <c r="CM50" s="319">
        <v>4.5359999999999996</v>
      </c>
      <c r="CN50" s="319">
        <f>3.528*2.5</f>
        <v>8.82</v>
      </c>
      <c r="CO50" s="319">
        <f>50.4*1.3</f>
        <v>65.52</v>
      </c>
      <c r="CP50" s="319">
        <f>12.751</f>
        <v>12.750999999999999</v>
      </c>
      <c r="CQ50" s="365">
        <f>12.751*1.5</f>
        <v>19.1265</v>
      </c>
      <c r="CR50" s="419">
        <f t="shared" si="22"/>
        <v>495.38209999999992</v>
      </c>
      <c r="CS50" s="57"/>
      <c r="CT50" s="319"/>
      <c r="CU50" s="319"/>
      <c r="CV50" s="319">
        <v>0.02</v>
      </c>
      <c r="CW50" s="319"/>
      <c r="CX50" s="319">
        <f>4.838*5</f>
        <v>24.19</v>
      </c>
      <c r="CY50" s="319">
        <f>12.751*2</f>
        <v>25.501999999999999</v>
      </c>
      <c r="CZ50" s="319">
        <f>2.419*3.8</f>
        <v>9.1921999999999997</v>
      </c>
      <c r="DA50" s="319"/>
      <c r="DB50" s="319"/>
      <c r="DC50" s="319">
        <v>60.48</v>
      </c>
      <c r="DD50" s="319">
        <v>11.087999999999999</v>
      </c>
      <c r="DE50" s="319"/>
      <c r="DF50" s="319"/>
      <c r="DG50" s="319">
        <f>4.838*4</f>
        <v>19.352</v>
      </c>
      <c r="DH50" s="319">
        <f>12.751</f>
        <v>12.750999999999999</v>
      </c>
      <c r="DI50" s="319">
        <f>2.419*7</f>
        <v>16.933</v>
      </c>
      <c r="DJ50" s="319">
        <f>4.032*0.6</f>
        <v>2.4192</v>
      </c>
      <c r="DK50" s="319">
        <v>3.024</v>
      </c>
      <c r="DL50" s="319">
        <f>11.088*0.3</f>
        <v>3.3263999999999996</v>
      </c>
      <c r="DM50" s="319">
        <v>6.048</v>
      </c>
      <c r="DN50" s="319"/>
      <c r="DO50" s="319">
        <v>2.419</v>
      </c>
      <c r="DP50" s="319">
        <f>60.48/6*3</f>
        <v>30.240000000000002</v>
      </c>
      <c r="DQ50" s="319"/>
      <c r="DR50" s="319">
        <f>12.751*3.3</f>
        <v>42.078299999999999</v>
      </c>
      <c r="DS50" s="319">
        <f>0.242</f>
        <v>0.24199999999999999</v>
      </c>
      <c r="DT50" s="245">
        <f>3.629/0.9*0.6</f>
        <v>2.4193333333333329</v>
      </c>
      <c r="DU50" s="271">
        <f>4.032*8</f>
        <v>32.256</v>
      </c>
      <c r="DV50" s="177">
        <f>7.056*2</f>
        <v>14.112</v>
      </c>
      <c r="DW50" s="177"/>
      <c r="DX50" s="319"/>
      <c r="DY50" s="319">
        <f>4.838*5</f>
        <v>24.19</v>
      </c>
      <c r="DZ50" s="319">
        <f>3.528*2.6</f>
        <v>9.1728000000000005</v>
      </c>
      <c r="EA50" s="319">
        <f>20.16*4</f>
        <v>80.64</v>
      </c>
      <c r="EB50" s="319">
        <f>12.751</f>
        <v>12.750999999999999</v>
      </c>
      <c r="EC50" s="319">
        <v>9.0719999999999992</v>
      </c>
      <c r="ED50" s="319">
        <v>2.8690000000000002</v>
      </c>
      <c r="EE50" s="319">
        <f>20.16*2.2</f>
        <v>44.352000000000004</v>
      </c>
      <c r="EF50" s="319">
        <f>12.751*0.8</f>
        <v>10.200800000000001</v>
      </c>
      <c r="EG50" s="319">
        <f>10.08*4</f>
        <v>40.32</v>
      </c>
      <c r="EH50" s="319">
        <f>2.419*4</f>
        <v>9.6760000000000002</v>
      </c>
      <c r="EI50" s="319">
        <f>2.419*2</f>
        <v>4.8380000000000001</v>
      </c>
      <c r="EJ50" s="319"/>
      <c r="EK50" s="245">
        <f>12.751</f>
        <v>12.750999999999999</v>
      </c>
      <c r="EL50" s="466">
        <f>4.032*1.3</f>
        <v>5.2416</v>
      </c>
      <c r="EM50" s="319">
        <f>2.419*4.2</f>
        <v>10.159800000000001</v>
      </c>
      <c r="EN50" s="319">
        <f>2.419*2</f>
        <v>4.8380000000000001</v>
      </c>
      <c r="EO50" s="319">
        <f>0.048</f>
        <v>4.8000000000000001E-2</v>
      </c>
      <c r="EP50" s="319">
        <v>0.02</v>
      </c>
      <c r="EQ50" s="319">
        <f>6.376</f>
        <v>6.3760000000000003</v>
      </c>
      <c r="ER50" s="319">
        <v>2.419</v>
      </c>
      <c r="ES50" s="319">
        <v>60.48</v>
      </c>
      <c r="ET50" s="319">
        <f>12.751</f>
        <v>12.750999999999999</v>
      </c>
      <c r="EU50" s="319">
        <f>24.192/2.4</f>
        <v>10.08</v>
      </c>
      <c r="EV50" s="319"/>
      <c r="EW50" s="319">
        <f>3.629/1.5</f>
        <v>2.4193333333333333</v>
      </c>
      <c r="EX50" s="319">
        <f>24.192/2.4*2</f>
        <v>20.16</v>
      </c>
      <c r="EY50" s="319">
        <v>2.419</v>
      </c>
      <c r="EZ50" s="319">
        <f>12.751*1.5</f>
        <v>19.1265</v>
      </c>
      <c r="FA50" s="319">
        <v>48.384</v>
      </c>
      <c r="FB50" s="319">
        <v>6.8540000000000001</v>
      </c>
      <c r="FC50" s="319">
        <f>5.806/1.2*0.6</f>
        <v>2.903</v>
      </c>
      <c r="FD50" s="319">
        <f>3.629/0.9*0.6</f>
        <v>2.4193333333333329</v>
      </c>
      <c r="FE50" s="319">
        <v>5.4429999999999996</v>
      </c>
      <c r="FF50" s="319"/>
      <c r="FG50" s="319"/>
      <c r="FH50" s="319">
        <f>3.78*1.5</f>
        <v>5.67</v>
      </c>
      <c r="FI50" s="158">
        <f t="shared" si="23"/>
        <v>807.13660000000004</v>
      </c>
      <c r="FJ50" s="113"/>
      <c r="FK50" s="374"/>
      <c r="FL50" s="319"/>
      <c r="FM50" s="319"/>
      <c r="FN50" s="319"/>
      <c r="FO50" s="319"/>
      <c r="FP50" s="319"/>
      <c r="FQ50" s="319"/>
      <c r="FR50" s="319"/>
      <c r="FS50" s="319"/>
      <c r="FT50" s="319"/>
      <c r="FU50" s="319"/>
      <c r="FV50" s="319"/>
      <c r="FW50" s="319"/>
      <c r="FX50" s="319"/>
      <c r="FY50" s="28"/>
      <c r="FZ50" s="270"/>
      <c r="GA50" s="271"/>
      <c r="GB50" s="177"/>
      <c r="GC50" s="177"/>
      <c r="GD50" s="177"/>
      <c r="GE50" s="802"/>
      <c r="GF50" s="435"/>
      <c r="GG50" s="327">
        <f t="shared" si="24"/>
        <v>0</v>
      </c>
      <c r="GH50" s="454">
        <f t="shared" si="25"/>
        <v>129.31299999999999</v>
      </c>
      <c r="GI50" s="605">
        <f t="shared" si="26"/>
        <v>129.31299999999999</v>
      </c>
      <c r="GJ50" s="627">
        <f t="shared" si="27"/>
        <v>705.15</v>
      </c>
      <c r="GK50" s="239">
        <f t="shared" si="28"/>
        <v>495.38</v>
      </c>
      <c r="GL50" s="36" t="str">
        <f t="shared" si="29"/>
        <v>Биоплекс медь</v>
      </c>
      <c r="GM50" s="38"/>
      <c r="GN50" s="175"/>
      <c r="GO50" s="175"/>
    </row>
    <row r="51" spans="1:198" x14ac:dyDescent="0.3">
      <c r="A51" s="132">
        <f t="shared" si="20"/>
        <v>39</v>
      </c>
      <c r="B51" s="280" t="s">
        <v>100</v>
      </c>
      <c r="C51" s="565">
        <f>'3_квартал'!G51</f>
        <v>1651.9169999999999</v>
      </c>
      <c r="D51" s="346">
        <f>2.423+1499+159.887</f>
        <v>1661.31</v>
      </c>
      <c r="E51" s="781">
        <f>1096.87</f>
        <v>1096.8699999999999</v>
      </c>
      <c r="F51" s="889">
        <f>242.243+500+1171.477</f>
        <v>1913.72</v>
      </c>
      <c r="G51" s="299">
        <f t="shared" si="9"/>
        <v>1557.3</v>
      </c>
      <c r="H51" s="93">
        <f>242.243+500+1999</f>
        <v>2741.2429999999999</v>
      </c>
      <c r="I51" s="93">
        <v>327.52300000000002</v>
      </c>
      <c r="J51" s="94"/>
      <c r="K51" s="319">
        <f>5.376*4</f>
        <v>21.504000000000001</v>
      </c>
      <c r="L51" s="319">
        <f>4.704*5</f>
        <v>23.52</v>
      </c>
      <c r="M51" s="319"/>
      <c r="N51" s="319"/>
      <c r="O51" s="319">
        <f>21.84*3</f>
        <v>65.52</v>
      </c>
      <c r="P51" s="319">
        <f>4.704*2</f>
        <v>9.4079999999999995</v>
      </c>
      <c r="Q51" s="319">
        <f>43.68*2.1</f>
        <v>91.728000000000009</v>
      </c>
      <c r="R51" s="319">
        <f>21.84*3</f>
        <v>65.52</v>
      </c>
      <c r="S51" s="319">
        <f>4.435</f>
        <v>4.4349999999999996</v>
      </c>
      <c r="T51" s="319">
        <f>13.104*1.5</f>
        <v>19.655999999999999</v>
      </c>
      <c r="U51" s="319">
        <f>7.258*0.25</f>
        <v>1.8145</v>
      </c>
      <c r="V51" s="319">
        <f>14.515*4.5</f>
        <v>65.317499999999995</v>
      </c>
      <c r="W51" s="319">
        <f>8.4*3</f>
        <v>25.200000000000003</v>
      </c>
      <c r="X51" s="319">
        <v>3.226</v>
      </c>
      <c r="Y51" s="319">
        <v>4.8380000000000001</v>
      </c>
      <c r="Z51" s="319">
        <f>2.822*3</f>
        <v>8.4660000000000011</v>
      </c>
      <c r="AA51" s="319"/>
      <c r="AB51" s="319"/>
      <c r="AC51" s="319"/>
      <c r="AD51" s="319"/>
      <c r="AE51" s="319"/>
      <c r="AF51" s="319">
        <f>21.84*3</f>
        <v>65.52</v>
      </c>
      <c r="AG51" s="319">
        <f>0.02/0.3*0.4</f>
        <v>2.6666666666666668E-2</v>
      </c>
      <c r="AH51" s="319">
        <f>131.04</f>
        <v>131.04</v>
      </c>
      <c r="AI51" s="319">
        <v>7.056</v>
      </c>
      <c r="AJ51" s="319">
        <f>8.064*1.5</f>
        <v>12.096</v>
      </c>
      <c r="AK51" s="319">
        <v>7.258</v>
      </c>
      <c r="AL51" s="319"/>
      <c r="AM51" s="319">
        <v>1.2E-2</v>
      </c>
      <c r="AN51" s="319">
        <v>7.258</v>
      </c>
      <c r="AO51" s="319">
        <v>240.24</v>
      </c>
      <c r="AP51" s="319">
        <v>8.0640000000000001</v>
      </c>
      <c r="AQ51" s="319">
        <f>13.104*1.5</f>
        <v>19.655999999999999</v>
      </c>
      <c r="AR51" s="319">
        <f>21.84*6</f>
        <v>131.04</v>
      </c>
      <c r="AS51" s="319">
        <f>21.84*3</f>
        <v>65.52</v>
      </c>
      <c r="AT51" s="319">
        <f>147.84/10*6</f>
        <v>88.704000000000008</v>
      </c>
      <c r="AU51" s="319">
        <f>14.515*2</f>
        <v>29.03</v>
      </c>
      <c r="AV51" s="319">
        <f>43.68*2.4</f>
        <v>104.83199999999999</v>
      </c>
      <c r="AW51" s="319">
        <v>14.112</v>
      </c>
      <c r="AX51" s="319">
        <f>218.4/5*3</f>
        <v>131.04</v>
      </c>
      <c r="AY51" s="319">
        <f>218.4/5*2</f>
        <v>87.36</v>
      </c>
      <c r="AZ51" s="319">
        <v>2.3519999999999999</v>
      </c>
      <c r="BA51" s="319">
        <v>4.7039999999999997</v>
      </c>
      <c r="BB51" s="319">
        <v>10.752000000000001</v>
      </c>
      <c r="BC51" s="319">
        <f>4.704*4</f>
        <v>18.815999999999999</v>
      </c>
      <c r="BD51" s="319">
        <f>5.376*4</f>
        <v>21.504000000000001</v>
      </c>
      <c r="BE51" s="319">
        <f>14.515*2</f>
        <v>29.03</v>
      </c>
      <c r="BF51" s="319">
        <f>4.704*3</f>
        <v>14.111999999999998</v>
      </c>
      <c r="BG51" s="158">
        <f t="shared" si="21"/>
        <v>1661.2876666666664</v>
      </c>
      <c r="BH51" s="94"/>
      <c r="BI51" s="833">
        <v>0.04</v>
      </c>
      <c r="BJ51" s="319">
        <v>40.32</v>
      </c>
      <c r="BK51" s="319">
        <v>1.3440000000000001</v>
      </c>
      <c r="BL51" s="319">
        <f>5.376*4</f>
        <v>21.504000000000001</v>
      </c>
      <c r="BM51" s="319">
        <f>13.44*5</f>
        <v>67.2</v>
      </c>
      <c r="BN51" s="319"/>
      <c r="BO51" s="319">
        <f>2.822*1.5</f>
        <v>4.2330000000000005</v>
      </c>
      <c r="BP51" s="319">
        <v>7.3920000000000003</v>
      </c>
      <c r="BQ51" s="319"/>
      <c r="BR51" s="319">
        <v>4.7039999999999997</v>
      </c>
      <c r="BS51" s="319">
        <v>65.52</v>
      </c>
      <c r="BT51" s="319">
        <f>29.03/2*0.8</f>
        <v>11.612000000000002</v>
      </c>
      <c r="BU51" s="319">
        <f>2.822*1.5</f>
        <v>4.2330000000000005</v>
      </c>
      <c r="BV51" s="319">
        <f>65.52/3*2</f>
        <v>43.68</v>
      </c>
      <c r="BW51" s="319">
        <f>2.352/0.5</f>
        <v>4.7039999999999997</v>
      </c>
      <c r="BX51" s="319">
        <f>14.515*1.8</f>
        <v>26.127000000000002</v>
      </c>
      <c r="BY51" s="319">
        <v>10.08</v>
      </c>
      <c r="BZ51" s="319">
        <v>1.3440000000000001</v>
      </c>
      <c r="CA51" s="319">
        <v>25.2</v>
      </c>
      <c r="CB51" s="319">
        <f>13.44*5</f>
        <v>67.2</v>
      </c>
      <c r="CC51" s="319">
        <f>104.832/2.4*1.5</f>
        <v>65.52</v>
      </c>
      <c r="CD51" s="319">
        <v>3.226</v>
      </c>
      <c r="CE51" s="319">
        <f>13.44*5</f>
        <v>67.2</v>
      </c>
      <c r="CF51" s="319">
        <f>7.056*0.5</f>
        <v>3.528</v>
      </c>
      <c r="CG51" s="319">
        <f>65.52/3*2.4</f>
        <v>52.415999999999997</v>
      </c>
      <c r="CH51" s="319">
        <f>2.822</f>
        <v>2.8220000000000001</v>
      </c>
      <c r="CI51" s="319">
        <v>20.966000000000001</v>
      </c>
      <c r="CJ51" s="319">
        <v>59.136000000000003</v>
      </c>
      <c r="CK51" s="319">
        <f>43.68*5.5</f>
        <v>240.24</v>
      </c>
      <c r="CL51" s="319">
        <f>12.096/1.5*2.5</f>
        <v>20.16</v>
      </c>
      <c r="CM51" s="319">
        <v>10.584</v>
      </c>
      <c r="CN51" s="319">
        <f>8.4*2.5</f>
        <v>21</v>
      </c>
      <c r="CO51" s="319">
        <f>67.2*1.3</f>
        <v>87.360000000000014</v>
      </c>
      <c r="CP51" s="319">
        <v>14.515000000000001</v>
      </c>
      <c r="CQ51" s="365">
        <f>14.515*1.5</f>
        <v>21.772500000000001</v>
      </c>
      <c r="CR51" s="419">
        <f t="shared" si="22"/>
        <v>1096.8824999999999</v>
      </c>
      <c r="CS51" s="57"/>
      <c r="CT51" s="319">
        <f>134.4/10*8</f>
        <v>107.52000000000001</v>
      </c>
      <c r="CU51" s="319">
        <f>134.4/10*2</f>
        <v>26.880000000000003</v>
      </c>
      <c r="CV51" s="319">
        <v>2.7E-2</v>
      </c>
      <c r="CW51" s="319"/>
      <c r="CX51" s="319">
        <f>5.376*5</f>
        <v>26.880000000000003</v>
      </c>
      <c r="CY51" s="319">
        <f>14.515*2</f>
        <v>29.03</v>
      </c>
      <c r="CZ51" s="319">
        <f>4.704*3.8</f>
        <v>17.8752</v>
      </c>
      <c r="DA51" s="319">
        <f>115.92/15*3.7</f>
        <v>28.593600000000002</v>
      </c>
      <c r="DB51" s="319">
        <f>115.92/15*5.5</f>
        <v>42.503999999999998</v>
      </c>
      <c r="DC51" s="319">
        <v>131.04</v>
      </c>
      <c r="DD51" s="319">
        <v>14.784000000000001</v>
      </c>
      <c r="DE51" s="319">
        <f>2.688*0.5</f>
        <v>1.3440000000000001</v>
      </c>
      <c r="DF51" s="319">
        <v>8.0640000000000001</v>
      </c>
      <c r="DG51" s="319">
        <f>5.376*4</f>
        <v>21.504000000000001</v>
      </c>
      <c r="DH51" s="319">
        <f>14.515</f>
        <v>14.515000000000001</v>
      </c>
      <c r="DI51" s="319">
        <f>4.704*7</f>
        <v>32.927999999999997</v>
      </c>
      <c r="DJ51" s="319">
        <f>6.72*0.6</f>
        <v>4.032</v>
      </c>
      <c r="DK51" s="319">
        <v>6.72</v>
      </c>
      <c r="DL51" s="319">
        <f>14.784*0.3</f>
        <v>4.4352</v>
      </c>
      <c r="DM51" s="319">
        <v>14.112</v>
      </c>
      <c r="DN51" s="319"/>
      <c r="DO51" s="319">
        <v>2.8220000000000001</v>
      </c>
      <c r="DP51" s="319">
        <f>131.04/6*3</f>
        <v>65.52</v>
      </c>
      <c r="DQ51" s="319">
        <f>115.92/15*5.8</f>
        <v>44.822399999999995</v>
      </c>
      <c r="DR51" s="319">
        <f>14.515*3.3</f>
        <v>47.899499999999996</v>
      </c>
      <c r="DS51" s="319">
        <v>0.40300000000000002</v>
      </c>
      <c r="DT51" s="245">
        <f>7.258/0.9*0.6</f>
        <v>4.8386666666666658</v>
      </c>
      <c r="DU51" s="271">
        <f>33.6*8</f>
        <v>268.8</v>
      </c>
      <c r="DV51" s="177">
        <f>6.72*2</f>
        <v>13.44</v>
      </c>
      <c r="DW51" s="177"/>
      <c r="DX51" s="319"/>
      <c r="DY51" s="319">
        <f>5.376*5</f>
        <v>26.880000000000003</v>
      </c>
      <c r="DZ51" s="319">
        <f>8.4*2.6</f>
        <v>21.840000000000003</v>
      </c>
      <c r="EA51" s="319">
        <f>43.68*4</f>
        <v>174.72</v>
      </c>
      <c r="EB51" s="319">
        <v>14.515000000000001</v>
      </c>
      <c r="EC51" s="319">
        <v>19.655999999999999</v>
      </c>
      <c r="ED51" s="319">
        <v>3.266</v>
      </c>
      <c r="EE51" s="319">
        <f>43.68*2.2</f>
        <v>96.096000000000004</v>
      </c>
      <c r="EF51" s="319">
        <f>14.515*0.8</f>
        <v>11.612000000000002</v>
      </c>
      <c r="EG51" s="319">
        <f>21.84*4</f>
        <v>87.36</v>
      </c>
      <c r="EH51" s="319">
        <f>4.704*4</f>
        <v>18.815999999999999</v>
      </c>
      <c r="EI51" s="319">
        <f>2.822*2</f>
        <v>5.6440000000000001</v>
      </c>
      <c r="EJ51" s="319"/>
      <c r="EK51" s="245">
        <f>14.515</f>
        <v>14.515000000000001</v>
      </c>
      <c r="EL51" s="466">
        <f>8.064*1.3</f>
        <v>10.4832</v>
      </c>
      <c r="EM51" s="319">
        <f>4.704*4.2</f>
        <v>19.756799999999998</v>
      </c>
      <c r="EN51" s="319">
        <f>4.704*2</f>
        <v>9.4079999999999995</v>
      </c>
      <c r="EO51" s="319"/>
      <c r="EP51" s="319">
        <v>8.0000000000000002E-3</v>
      </c>
      <c r="EQ51" s="319">
        <f>7.258</f>
        <v>7.258</v>
      </c>
      <c r="ER51" s="319">
        <v>4.7039999999999997</v>
      </c>
      <c r="ES51" s="319">
        <v>131.04</v>
      </c>
      <c r="ET51" s="319">
        <f>14.515</f>
        <v>14.515000000000001</v>
      </c>
      <c r="EU51" s="319">
        <f>52.416/2.4</f>
        <v>21.84</v>
      </c>
      <c r="EV51" s="319">
        <f>2.016*2</f>
        <v>4.032</v>
      </c>
      <c r="EW51" s="319">
        <f>7.056/1.5</f>
        <v>4.7039999999999997</v>
      </c>
      <c r="EX51" s="319">
        <f>52.416/2.4*2</f>
        <v>43.68</v>
      </c>
      <c r="EY51" s="319">
        <v>2.8220000000000001</v>
      </c>
      <c r="EZ51" s="319">
        <f>14.515*1.5</f>
        <v>21.772500000000001</v>
      </c>
      <c r="FA51" s="319">
        <v>104.83199999999999</v>
      </c>
      <c r="FB51" s="319">
        <v>13.709</v>
      </c>
      <c r="FC51" s="319">
        <f>6.451/1.2*0.6</f>
        <v>3.2254999999999998</v>
      </c>
      <c r="FD51" s="319">
        <f>7.258/0.9*0.6</f>
        <v>4.8386666666666658</v>
      </c>
      <c r="FE51" s="319">
        <v>7.258</v>
      </c>
      <c r="FF51" s="319"/>
      <c r="FG51" s="319"/>
      <c r="FH51" s="319">
        <f>5.04*1.5</f>
        <v>7.5600000000000005</v>
      </c>
      <c r="FI51" s="158">
        <f t="shared" si="23"/>
        <v>1913.7002333333337</v>
      </c>
      <c r="FJ51" s="95"/>
      <c r="FK51" s="374"/>
      <c r="FL51" s="319"/>
      <c r="FM51" s="319"/>
      <c r="FN51" s="319"/>
      <c r="FO51" s="319"/>
      <c r="FP51" s="319"/>
      <c r="FQ51" s="319"/>
      <c r="FR51" s="319"/>
      <c r="FS51" s="319"/>
      <c r="FT51" s="319"/>
      <c r="FU51" s="319"/>
      <c r="FV51" s="319"/>
      <c r="FW51" s="319"/>
      <c r="FX51" s="319"/>
      <c r="FY51" s="28"/>
      <c r="FZ51" s="270"/>
      <c r="GA51" s="271"/>
      <c r="GB51" s="177"/>
      <c r="GC51" s="177"/>
      <c r="GD51" s="177"/>
      <c r="GE51" s="802"/>
      <c r="GF51" s="435"/>
      <c r="GG51" s="327">
        <f t="shared" si="24"/>
        <v>0</v>
      </c>
      <c r="GH51" s="454">
        <f t="shared" si="25"/>
        <v>327.52300000000002</v>
      </c>
      <c r="GI51" s="605">
        <f t="shared" si="26"/>
        <v>327.52300000000002</v>
      </c>
      <c r="GJ51" s="627">
        <f t="shared" si="27"/>
        <v>1651.9169999999999</v>
      </c>
      <c r="GK51" s="239">
        <f t="shared" si="28"/>
        <v>1096.8699999999999</v>
      </c>
      <c r="GL51" s="36" t="str">
        <f t="shared" si="29"/>
        <v>Биоплекс цинк</v>
      </c>
      <c r="GM51" s="38"/>
      <c r="GN51" s="22"/>
      <c r="GO51" s="22"/>
    </row>
    <row r="52" spans="1:198" x14ac:dyDescent="0.3">
      <c r="A52" s="132">
        <f t="shared" si="20"/>
        <v>40</v>
      </c>
      <c r="B52" s="285" t="s">
        <v>19</v>
      </c>
      <c r="C52" s="565">
        <f>'3_квартал'!G52</f>
        <v>0</v>
      </c>
      <c r="D52" s="346">
        <v>0</v>
      </c>
      <c r="E52" s="241">
        <v>0</v>
      </c>
      <c r="F52" s="889">
        <v>0</v>
      </c>
      <c r="G52" s="299">
        <f t="shared" si="9"/>
        <v>0</v>
      </c>
      <c r="H52" s="93">
        <v>0</v>
      </c>
      <c r="I52" s="93">
        <v>0</v>
      </c>
      <c r="J52" s="94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/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  <c r="BC52" s="319"/>
      <c r="BD52" s="319"/>
      <c r="BE52" s="319"/>
      <c r="BF52" s="319"/>
      <c r="BG52" s="158">
        <f t="shared" si="21"/>
        <v>0</v>
      </c>
      <c r="BH52" s="94"/>
      <c r="BI52" s="833"/>
      <c r="BJ52" s="319"/>
      <c r="BK52" s="319"/>
      <c r="BL52" s="319"/>
      <c r="BM52" s="319"/>
      <c r="BN52" s="319"/>
      <c r="BO52" s="319"/>
      <c r="BP52" s="319"/>
      <c r="BQ52" s="319"/>
      <c r="BR52" s="319"/>
      <c r="BS52" s="319"/>
      <c r="BT52" s="319"/>
      <c r="BU52" s="319"/>
      <c r="BV52" s="319"/>
      <c r="BW52" s="319"/>
      <c r="BX52" s="319"/>
      <c r="BY52" s="319"/>
      <c r="BZ52" s="319"/>
      <c r="CA52" s="319"/>
      <c r="CB52" s="319"/>
      <c r="CC52" s="319"/>
      <c r="CD52" s="319"/>
      <c r="CE52" s="319"/>
      <c r="CF52" s="319"/>
      <c r="CG52" s="319"/>
      <c r="CH52" s="319"/>
      <c r="CI52" s="319"/>
      <c r="CJ52" s="319"/>
      <c r="CK52" s="319"/>
      <c r="CL52" s="319"/>
      <c r="CM52" s="319"/>
      <c r="CN52" s="319"/>
      <c r="CO52" s="319"/>
      <c r="CP52" s="319"/>
      <c r="CQ52" s="365"/>
      <c r="CR52" s="419">
        <f t="shared" si="22"/>
        <v>0</v>
      </c>
      <c r="CS52" s="57"/>
      <c r="CT52" s="319"/>
      <c r="CU52" s="319"/>
      <c r="CV52" s="319"/>
      <c r="CW52" s="319"/>
      <c r="CX52" s="319"/>
      <c r="CY52" s="319"/>
      <c r="CZ52" s="319"/>
      <c r="DA52" s="319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319"/>
      <c r="DT52" s="245"/>
      <c r="DU52" s="271"/>
      <c r="DV52" s="177"/>
      <c r="DW52" s="177"/>
      <c r="DX52" s="319"/>
      <c r="DY52" s="319"/>
      <c r="DZ52" s="319"/>
      <c r="EA52" s="319"/>
      <c r="EB52" s="319"/>
      <c r="EC52" s="319"/>
      <c r="ED52" s="319"/>
      <c r="EE52" s="319"/>
      <c r="EF52" s="319"/>
      <c r="EG52" s="319"/>
      <c r="EH52" s="319"/>
      <c r="EI52" s="319"/>
      <c r="EJ52" s="319"/>
      <c r="EK52" s="245"/>
      <c r="EL52" s="466"/>
      <c r="EM52" s="319"/>
      <c r="EN52" s="319"/>
      <c r="EO52" s="319"/>
      <c r="EP52" s="319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319"/>
      <c r="FD52" s="319"/>
      <c r="FE52" s="319"/>
      <c r="FF52" s="319"/>
      <c r="FG52" s="319"/>
      <c r="FH52" s="319"/>
      <c r="FI52" s="158">
        <f t="shared" si="23"/>
        <v>0</v>
      </c>
      <c r="FJ52" s="95"/>
      <c r="FK52" s="374"/>
      <c r="FL52" s="319"/>
      <c r="FM52" s="319"/>
      <c r="FN52" s="319"/>
      <c r="FO52" s="319"/>
      <c r="FP52" s="319"/>
      <c r="FQ52" s="319"/>
      <c r="FR52" s="319"/>
      <c r="FS52" s="319"/>
      <c r="FT52" s="319"/>
      <c r="FU52" s="319"/>
      <c r="FV52" s="319"/>
      <c r="FW52" s="319"/>
      <c r="FX52" s="319"/>
      <c r="FY52" s="28"/>
      <c r="FZ52" s="270"/>
      <c r="GA52" s="271"/>
      <c r="GB52" s="177"/>
      <c r="GC52" s="177"/>
      <c r="GD52" s="177"/>
      <c r="GE52" s="802"/>
      <c r="GF52" s="435"/>
      <c r="GG52" s="327">
        <f t="shared" si="24"/>
        <v>0</v>
      </c>
      <c r="GH52" s="445">
        <f t="shared" si="25"/>
        <v>0</v>
      </c>
      <c r="GI52" s="605">
        <f t="shared" si="26"/>
        <v>0</v>
      </c>
      <c r="GJ52" s="627">
        <f t="shared" si="27"/>
        <v>0</v>
      </c>
      <c r="GK52" s="239">
        <f t="shared" si="28"/>
        <v>0</v>
      </c>
      <c r="GL52" s="36" t="str">
        <f t="shared" si="29"/>
        <v>БиоПлюс YC</v>
      </c>
      <c r="GM52" s="151"/>
      <c r="GN52" s="14"/>
      <c r="GO52" s="14"/>
    </row>
    <row r="53" spans="1:198" x14ac:dyDescent="0.3">
      <c r="A53" s="132">
        <f t="shared" si="20"/>
        <v>41</v>
      </c>
      <c r="B53" s="284" t="s">
        <v>146</v>
      </c>
      <c r="C53" s="565">
        <f>'3_квартал'!G53</f>
        <v>0</v>
      </c>
      <c r="D53" s="592">
        <v>0</v>
      </c>
      <c r="E53" s="569">
        <v>0</v>
      </c>
      <c r="F53" s="889">
        <v>0</v>
      </c>
      <c r="G53" s="299">
        <f t="shared" si="9"/>
        <v>0</v>
      </c>
      <c r="H53" s="93">
        <v>0</v>
      </c>
      <c r="I53" s="93">
        <v>0</v>
      </c>
      <c r="J53" s="110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158">
        <f t="shared" si="21"/>
        <v>0</v>
      </c>
      <c r="BH53" s="110"/>
      <c r="BI53" s="833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65"/>
      <c r="CR53" s="419">
        <f t="shared" si="22"/>
        <v>0</v>
      </c>
      <c r="CS53" s="59"/>
      <c r="CT53" s="319"/>
      <c r="CU53" s="319"/>
      <c r="CV53" s="319"/>
      <c r="CW53" s="319"/>
      <c r="CX53" s="319"/>
      <c r="CY53" s="319"/>
      <c r="CZ53" s="319"/>
      <c r="DA53" s="319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/>
      <c r="DM53" s="319"/>
      <c r="DN53" s="319"/>
      <c r="DO53" s="319"/>
      <c r="DP53" s="319"/>
      <c r="DQ53" s="319"/>
      <c r="DR53" s="319"/>
      <c r="DS53" s="319"/>
      <c r="DT53" s="245"/>
      <c r="DU53" s="271"/>
      <c r="DV53" s="177"/>
      <c r="DW53" s="177"/>
      <c r="DX53" s="319"/>
      <c r="DY53" s="319"/>
      <c r="DZ53" s="319"/>
      <c r="EA53" s="319"/>
      <c r="EB53" s="319"/>
      <c r="EC53" s="319"/>
      <c r="ED53" s="319"/>
      <c r="EE53" s="319"/>
      <c r="EF53" s="319"/>
      <c r="EG53" s="319"/>
      <c r="EH53" s="319"/>
      <c r="EI53" s="319"/>
      <c r="EJ53" s="319"/>
      <c r="EK53" s="245"/>
      <c r="EL53" s="466"/>
      <c r="EM53" s="319"/>
      <c r="EN53" s="319"/>
      <c r="EO53" s="319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19"/>
      <c r="FE53" s="319"/>
      <c r="FF53" s="319"/>
      <c r="FG53" s="319"/>
      <c r="FH53" s="319"/>
      <c r="FI53" s="158">
        <f t="shared" si="23"/>
        <v>0</v>
      </c>
      <c r="FJ53" s="111"/>
      <c r="FK53" s="374"/>
      <c r="FL53" s="319"/>
      <c r="FM53" s="319"/>
      <c r="FN53" s="319"/>
      <c r="FO53" s="319"/>
      <c r="FP53" s="319"/>
      <c r="FQ53" s="319"/>
      <c r="FR53" s="319"/>
      <c r="FS53" s="319"/>
      <c r="FT53" s="319"/>
      <c r="FU53" s="319"/>
      <c r="FV53" s="319"/>
      <c r="FW53" s="319"/>
      <c r="FX53" s="319"/>
      <c r="FY53" s="28"/>
      <c r="FZ53" s="270"/>
      <c r="GA53" s="271"/>
      <c r="GB53" s="177"/>
      <c r="GC53" s="177"/>
      <c r="GD53" s="177"/>
      <c r="GE53" s="802"/>
      <c r="GF53" s="435"/>
      <c r="GG53" s="327">
        <f t="shared" si="24"/>
        <v>0</v>
      </c>
      <c r="GH53" s="445">
        <f t="shared" si="25"/>
        <v>0</v>
      </c>
      <c r="GI53" s="605">
        <f t="shared" si="26"/>
        <v>0</v>
      </c>
      <c r="GJ53" s="627">
        <f t="shared" si="27"/>
        <v>0</v>
      </c>
      <c r="GK53" s="239">
        <f t="shared" si="28"/>
        <v>0</v>
      </c>
      <c r="GL53" s="36" t="str">
        <f t="shared" si="29"/>
        <v>Биопромис Селен Пауэр</v>
      </c>
      <c r="GM53" s="151"/>
      <c r="GN53" s="42"/>
      <c r="GO53" s="42"/>
    </row>
    <row r="54" spans="1:198" x14ac:dyDescent="0.3">
      <c r="A54" s="132">
        <f t="shared" si="20"/>
        <v>42</v>
      </c>
      <c r="B54" s="284" t="s">
        <v>121</v>
      </c>
      <c r="C54" s="565">
        <f>'3_квартал'!G54</f>
        <v>103.127</v>
      </c>
      <c r="D54" s="346">
        <v>9.07</v>
      </c>
      <c r="E54" s="781">
        <v>24</v>
      </c>
      <c r="F54" s="889">
        <v>60.06</v>
      </c>
      <c r="G54" s="299">
        <f t="shared" si="9"/>
        <v>31.042999999999999</v>
      </c>
      <c r="H54" s="93">
        <v>100.13</v>
      </c>
      <c r="I54" s="93">
        <v>40.07</v>
      </c>
      <c r="J54" s="112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  <c r="AM54" s="319"/>
      <c r="AN54" s="319">
        <v>9.0719999999999992</v>
      </c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158">
        <f t="shared" si="21"/>
        <v>9.0719999999999992</v>
      </c>
      <c r="BH54" s="112"/>
      <c r="BI54" s="833"/>
      <c r="BJ54" s="319">
        <v>24</v>
      </c>
      <c r="BK54" s="319"/>
      <c r="BL54" s="319"/>
      <c r="BM54" s="319"/>
      <c r="BN54" s="319"/>
      <c r="BO54" s="319"/>
      <c r="BP54" s="319"/>
      <c r="BQ54" s="319"/>
      <c r="BR54" s="319"/>
      <c r="BS54" s="319"/>
      <c r="BT54" s="319"/>
      <c r="BU54" s="319"/>
      <c r="BV54" s="319"/>
      <c r="BW54" s="319"/>
      <c r="BX54" s="319"/>
      <c r="BY54" s="319"/>
      <c r="BZ54" s="319"/>
      <c r="CA54" s="319"/>
      <c r="CB54" s="319"/>
      <c r="CC54" s="319"/>
      <c r="CD54" s="319"/>
      <c r="CE54" s="319"/>
      <c r="CF54" s="319"/>
      <c r="CG54" s="319"/>
      <c r="CH54" s="319"/>
      <c r="CI54" s="319"/>
      <c r="CJ54" s="319"/>
      <c r="CK54" s="319"/>
      <c r="CL54" s="319"/>
      <c r="CM54" s="319"/>
      <c r="CN54" s="319"/>
      <c r="CO54" s="319"/>
      <c r="CP54" s="319"/>
      <c r="CQ54" s="365"/>
      <c r="CR54" s="419">
        <f t="shared" si="22"/>
        <v>24</v>
      </c>
      <c r="CS54" s="57"/>
      <c r="CT54" s="319"/>
      <c r="CU54" s="319"/>
      <c r="CV54" s="319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/>
      <c r="DS54" s="319">
        <v>1.44</v>
      </c>
      <c r="DT54" s="245"/>
      <c r="DU54" s="271">
        <f>3.84*8</f>
        <v>30.72</v>
      </c>
      <c r="DV54" s="177"/>
      <c r="DW54" s="177"/>
      <c r="DX54" s="319"/>
      <c r="DY54" s="319"/>
      <c r="DZ54" s="319"/>
      <c r="EA54" s="319"/>
      <c r="EB54" s="319"/>
      <c r="EC54" s="319"/>
      <c r="ED54" s="319"/>
      <c r="EE54" s="319"/>
      <c r="EF54" s="319"/>
      <c r="EG54" s="319"/>
      <c r="EH54" s="319"/>
      <c r="EI54" s="319"/>
      <c r="EJ54" s="319"/>
      <c r="EK54" s="245"/>
      <c r="EL54" s="466"/>
      <c r="EM54" s="319"/>
      <c r="EN54" s="319"/>
      <c r="EO54" s="319"/>
      <c r="EP54" s="319"/>
      <c r="EQ54" s="319"/>
      <c r="ER54" s="319"/>
      <c r="ES54" s="319"/>
      <c r="ET54" s="319"/>
      <c r="EU54" s="319"/>
      <c r="EV54" s="319">
        <f>6.24*2</f>
        <v>12.48</v>
      </c>
      <c r="EW54" s="319"/>
      <c r="EX54" s="319"/>
      <c r="EY54" s="319"/>
      <c r="EZ54" s="319"/>
      <c r="FA54" s="319"/>
      <c r="FB54" s="319"/>
      <c r="FC54" s="319"/>
      <c r="FD54" s="319"/>
      <c r="FE54" s="319">
        <v>8.64</v>
      </c>
      <c r="FF54" s="319"/>
      <c r="FG54" s="319">
        <f>3.389*2</f>
        <v>6.7779999999999996</v>
      </c>
      <c r="FH54" s="319"/>
      <c r="FI54" s="158">
        <f t="shared" si="23"/>
        <v>60.058</v>
      </c>
      <c r="FJ54" s="113"/>
      <c r="FK54" s="374"/>
      <c r="FL54" s="319"/>
      <c r="FM54" s="319"/>
      <c r="FN54" s="319"/>
      <c r="FO54" s="319"/>
      <c r="FP54" s="319"/>
      <c r="FQ54" s="319"/>
      <c r="FR54" s="319"/>
      <c r="FS54" s="319"/>
      <c r="FT54" s="319"/>
      <c r="FU54" s="319"/>
      <c r="FV54" s="319"/>
      <c r="FW54" s="319"/>
      <c r="FX54" s="319"/>
      <c r="FY54" s="28"/>
      <c r="FZ54" s="270"/>
      <c r="GA54" s="271"/>
      <c r="GB54" s="177"/>
      <c r="GC54" s="177"/>
      <c r="GD54" s="177"/>
      <c r="GE54" s="802"/>
      <c r="GF54" s="435"/>
      <c r="GG54" s="327">
        <f t="shared" si="24"/>
        <v>0</v>
      </c>
      <c r="GH54" s="445">
        <f t="shared" si="25"/>
        <v>40.07</v>
      </c>
      <c r="GI54" s="605">
        <f t="shared" si="26"/>
        <v>40.07</v>
      </c>
      <c r="GJ54" s="627">
        <f t="shared" si="27"/>
        <v>103.127</v>
      </c>
      <c r="GK54" s="239">
        <f t="shared" si="28"/>
        <v>24</v>
      </c>
      <c r="GL54" s="36" t="str">
        <f t="shared" si="29"/>
        <v>Биопромис Хром пиколинат</v>
      </c>
      <c r="GM54" s="151"/>
      <c r="GN54" s="14"/>
      <c r="GO54" s="14"/>
    </row>
    <row r="55" spans="1:198" x14ac:dyDescent="0.3">
      <c r="A55" s="132">
        <f t="shared" si="20"/>
        <v>43</v>
      </c>
      <c r="B55" s="284" t="s">
        <v>207</v>
      </c>
      <c r="C55" s="565">
        <f>'3_квартал'!G55</f>
        <v>27.66</v>
      </c>
      <c r="D55" s="328">
        <v>43.46</v>
      </c>
      <c r="E55" s="241">
        <v>102.31</v>
      </c>
      <c r="F55" s="889">
        <v>119.35</v>
      </c>
      <c r="G55" s="299">
        <f t="shared" si="9"/>
        <v>88.373000000000005</v>
      </c>
      <c r="H55" s="93">
        <f>3.23+50+25</f>
        <v>78.22999999999999</v>
      </c>
      <c r="I55" s="93">
        <f>58.88+150</f>
        <v>208.88</v>
      </c>
      <c r="J55" s="112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19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>
        <v>41.125999999999998</v>
      </c>
      <c r="AX55" s="319"/>
      <c r="AY55" s="319"/>
      <c r="AZ55" s="319"/>
      <c r="BA55" s="319">
        <v>2.3279999999999998</v>
      </c>
      <c r="BB55" s="319"/>
      <c r="BC55" s="319"/>
      <c r="BD55" s="319"/>
      <c r="BE55" s="319"/>
      <c r="BF55" s="319"/>
      <c r="BG55" s="158">
        <f t="shared" si="21"/>
        <v>43.454000000000001</v>
      </c>
      <c r="BH55" s="112"/>
      <c r="BI55" s="833"/>
      <c r="BJ55" s="319">
        <v>1.512</v>
      </c>
      <c r="BK55" s="319">
        <v>50.4</v>
      </c>
      <c r="BL55" s="319"/>
      <c r="BM55" s="319"/>
      <c r="BN55" s="319"/>
      <c r="BO55" s="319"/>
      <c r="BP55" s="319"/>
      <c r="BQ55" s="319"/>
      <c r="BR55" s="319"/>
      <c r="BS55" s="319"/>
      <c r="BT55" s="319"/>
      <c r="BU55" s="319"/>
      <c r="BV55" s="319"/>
      <c r="BW55" s="319"/>
      <c r="BX55" s="319"/>
      <c r="BY55" s="319"/>
      <c r="BZ55" s="319">
        <v>50.4</v>
      </c>
      <c r="CA55" s="319"/>
      <c r="CB55" s="319"/>
      <c r="CC55" s="319"/>
      <c r="CD55" s="319"/>
      <c r="CE55" s="319"/>
      <c r="CF55" s="319"/>
      <c r="CG55" s="319"/>
      <c r="CH55" s="319"/>
      <c r="CI55" s="319"/>
      <c r="CJ55" s="319"/>
      <c r="CK55" s="319"/>
      <c r="CL55" s="319"/>
      <c r="CM55" s="319"/>
      <c r="CN55" s="319"/>
      <c r="CO55" s="319"/>
      <c r="CP55" s="319"/>
      <c r="CQ55" s="365"/>
      <c r="CR55" s="419">
        <f t="shared" si="22"/>
        <v>102.312</v>
      </c>
      <c r="CS55" s="57"/>
      <c r="CT55" s="319"/>
      <c r="CU55" s="319"/>
      <c r="CV55" s="319"/>
      <c r="CW55" s="319"/>
      <c r="CX55" s="319"/>
      <c r="CY55" s="319"/>
      <c r="CZ55" s="319"/>
      <c r="DA55" s="319"/>
      <c r="DB55" s="319"/>
      <c r="DC55" s="319"/>
      <c r="DD55" s="319"/>
      <c r="DE55" s="319">
        <f>100.8*0.5</f>
        <v>50.4</v>
      </c>
      <c r="DF55" s="319"/>
      <c r="DG55" s="319"/>
      <c r="DH55" s="319"/>
      <c r="DI55" s="319"/>
      <c r="DJ55" s="319">
        <f>3.528*0.6</f>
        <v>2.1168</v>
      </c>
      <c r="DK55" s="319"/>
      <c r="DL55" s="319"/>
      <c r="DM55" s="319">
        <v>51.71</v>
      </c>
      <c r="DN55" s="319"/>
      <c r="DO55" s="319"/>
      <c r="DP55" s="319"/>
      <c r="DQ55" s="319"/>
      <c r="DR55" s="319"/>
      <c r="DS55" s="319"/>
      <c r="DT55" s="245"/>
      <c r="DU55" s="271"/>
      <c r="DV55" s="177"/>
      <c r="DW55" s="177"/>
      <c r="DX55" s="319"/>
      <c r="DY55" s="319"/>
      <c r="DZ55" s="319"/>
      <c r="EA55" s="319"/>
      <c r="EB55" s="319"/>
      <c r="EC55" s="319"/>
      <c r="ED55" s="319"/>
      <c r="EE55" s="319"/>
      <c r="EF55" s="319"/>
      <c r="EG55" s="319"/>
      <c r="EH55" s="319"/>
      <c r="EI55" s="319">
        <f>7.56*2</f>
        <v>15.12</v>
      </c>
      <c r="EJ55" s="319"/>
      <c r="EK55" s="245"/>
      <c r="EL55" s="466"/>
      <c r="EM55" s="319"/>
      <c r="EN55" s="319"/>
      <c r="EO55" s="319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19"/>
      <c r="FE55" s="319"/>
      <c r="FF55" s="319"/>
      <c r="FG55" s="319"/>
      <c r="FH55" s="319"/>
      <c r="FI55" s="158">
        <f t="shared" si="23"/>
        <v>119.3468</v>
      </c>
      <c r="FJ55" s="113"/>
      <c r="FK55" s="374"/>
      <c r="FL55" s="319"/>
      <c r="FM55" s="319"/>
      <c r="FN55" s="319"/>
      <c r="FO55" s="319"/>
      <c r="FP55" s="319"/>
      <c r="FQ55" s="319"/>
      <c r="FR55" s="319"/>
      <c r="FS55" s="319"/>
      <c r="FT55" s="319"/>
      <c r="FU55" s="319"/>
      <c r="FV55" s="319"/>
      <c r="FW55" s="319"/>
      <c r="FX55" s="319"/>
      <c r="FY55" s="28"/>
      <c r="FZ55" s="270"/>
      <c r="GA55" s="271"/>
      <c r="GB55" s="177"/>
      <c r="GC55" s="177"/>
      <c r="GD55" s="177"/>
      <c r="GE55" s="802"/>
      <c r="GF55" s="435"/>
      <c r="GG55" s="327">
        <f t="shared" si="24"/>
        <v>0</v>
      </c>
      <c r="GH55" s="445">
        <f t="shared" si="25"/>
        <v>208.88</v>
      </c>
      <c r="GI55" s="605">
        <f t="shared" si="26"/>
        <v>208.88</v>
      </c>
      <c r="GJ55" s="627">
        <f t="shared" si="27"/>
        <v>27.66</v>
      </c>
      <c r="GK55" s="239">
        <f t="shared" si="28"/>
        <v>102.31</v>
      </c>
      <c r="GL55" s="36" t="str">
        <f t="shared" si="29"/>
        <v>Виусид-Вет</v>
      </c>
      <c r="GM55" s="38"/>
      <c r="GN55" s="14"/>
      <c r="GO55" s="14"/>
    </row>
    <row r="56" spans="1:198" x14ac:dyDescent="0.3">
      <c r="A56" s="132">
        <f t="shared" si="20"/>
        <v>44</v>
      </c>
      <c r="B56" s="285" t="s">
        <v>35</v>
      </c>
      <c r="C56" s="565">
        <f>'3_квартал'!G56</f>
        <v>0</v>
      </c>
      <c r="D56" s="592">
        <v>0</v>
      </c>
      <c r="E56" s="241">
        <v>0</v>
      </c>
      <c r="F56" s="889">
        <v>0</v>
      </c>
      <c r="G56" s="299">
        <f t="shared" si="9"/>
        <v>0</v>
      </c>
      <c r="H56" s="93">
        <v>0</v>
      </c>
      <c r="I56" s="93">
        <v>0</v>
      </c>
      <c r="J56" s="112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  <c r="AD56" s="319"/>
      <c r="AE56" s="319"/>
      <c r="AF56" s="319"/>
      <c r="AG56" s="319"/>
      <c r="AH56" s="319"/>
      <c r="AI56" s="319"/>
      <c r="AJ56" s="319"/>
      <c r="AK56" s="319"/>
      <c r="AL56" s="319"/>
      <c r="AM56" s="319"/>
      <c r="AN56" s="319"/>
      <c r="AO56" s="319"/>
      <c r="AP56" s="319"/>
      <c r="AQ56" s="319"/>
      <c r="AR56" s="319"/>
      <c r="AS56" s="319"/>
      <c r="AT56" s="319"/>
      <c r="AU56" s="319"/>
      <c r="AV56" s="319"/>
      <c r="AW56" s="319"/>
      <c r="AX56" s="319"/>
      <c r="AY56" s="319"/>
      <c r="AZ56" s="319"/>
      <c r="BA56" s="319"/>
      <c r="BB56" s="319"/>
      <c r="BC56" s="319"/>
      <c r="BD56" s="319"/>
      <c r="BE56" s="319"/>
      <c r="BF56" s="319"/>
      <c r="BG56" s="158">
        <f t="shared" si="21"/>
        <v>0</v>
      </c>
      <c r="BH56" s="112"/>
      <c r="BI56" s="833"/>
      <c r="BJ56" s="319"/>
      <c r="BK56" s="319"/>
      <c r="BL56" s="319"/>
      <c r="BM56" s="319"/>
      <c r="BN56" s="319"/>
      <c r="BO56" s="319"/>
      <c r="BP56" s="319"/>
      <c r="BQ56" s="319"/>
      <c r="BR56" s="319"/>
      <c r="BS56" s="319"/>
      <c r="BT56" s="319"/>
      <c r="BU56" s="319"/>
      <c r="BV56" s="319"/>
      <c r="BW56" s="319"/>
      <c r="BX56" s="319"/>
      <c r="BY56" s="319"/>
      <c r="BZ56" s="319"/>
      <c r="CA56" s="319"/>
      <c r="CB56" s="319"/>
      <c r="CC56" s="319"/>
      <c r="CD56" s="319"/>
      <c r="CE56" s="319"/>
      <c r="CF56" s="319"/>
      <c r="CG56" s="319"/>
      <c r="CH56" s="319"/>
      <c r="CI56" s="319"/>
      <c r="CJ56" s="319"/>
      <c r="CK56" s="319"/>
      <c r="CL56" s="319"/>
      <c r="CM56" s="319"/>
      <c r="CN56" s="319"/>
      <c r="CO56" s="319"/>
      <c r="CP56" s="319"/>
      <c r="CQ56" s="365"/>
      <c r="CR56" s="419">
        <f t="shared" si="22"/>
        <v>0</v>
      </c>
      <c r="CS56" s="57"/>
      <c r="CT56" s="319"/>
      <c r="CU56" s="319"/>
      <c r="CV56" s="319"/>
      <c r="CW56" s="319"/>
      <c r="CX56" s="319"/>
      <c r="CY56" s="319"/>
      <c r="CZ56" s="319"/>
      <c r="DA56" s="319"/>
      <c r="DB56" s="319"/>
      <c r="DC56" s="319"/>
      <c r="DD56" s="319"/>
      <c r="DE56" s="319"/>
      <c r="DF56" s="319"/>
      <c r="DG56" s="319"/>
      <c r="DH56" s="319"/>
      <c r="DI56" s="319"/>
      <c r="DJ56" s="319"/>
      <c r="DK56" s="319"/>
      <c r="DL56" s="319"/>
      <c r="DM56" s="319"/>
      <c r="DN56" s="319"/>
      <c r="DO56" s="319"/>
      <c r="DP56" s="319"/>
      <c r="DQ56" s="319"/>
      <c r="DR56" s="319"/>
      <c r="DS56" s="319"/>
      <c r="DT56" s="245"/>
      <c r="DU56" s="271"/>
      <c r="DV56" s="177"/>
      <c r="DW56" s="177"/>
      <c r="DX56" s="319"/>
      <c r="DY56" s="319"/>
      <c r="DZ56" s="319"/>
      <c r="EA56" s="319"/>
      <c r="EB56" s="319"/>
      <c r="EC56" s="319"/>
      <c r="ED56" s="319"/>
      <c r="EE56" s="319"/>
      <c r="EF56" s="319"/>
      <c r="EG56" s="319"/>
      <c r="EH56" s="319"/>
      <c r="EI56" s="319"/>
      <c r="EJ56" s="319"/>
      <c r="EK56" s="245"/>
      <c r="EL56" s="466"/>
      <c r="EM56" s="319"/>
      <c r="EN56" s="319"/>
      <c r="EO56" s="319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19"/>
      <c r="FE56" s="319"/>
      <c r="FF56" s="319"/>
      <c r="FG56" s="319"/>
      <c r="FH56" s="319"/>
      <c r="FI56" s="158">
        <f t="shared" si="23"/>
        <v>0</v>
      </c>
      <c r="FJ56" s="113"/>
      <c r="FK56" s="374"/>
      <c r="FL56" s="319"/>
      <c r="FM56" s="319"/>
      <c r="FN56" s="319"/>
      <c r="FO56" s="319"/>
      <c r="FP56" s="319"/>
      <c r="FQ56" s="319"/>
      <c r="FR56" s="319"/>
      <c r="FS56" s="319"/>
      <c r="FT56" s="319"/>
      <c r="FU56" s="319"/>
      <c r="FV56" s="319"/>
      <c r="FW56" s="319"/>
      <c r="FX56" s="319"/>
      <c r="FY56" s="28"/>
      <c r="FZ56" s="270"/>
      <c r="GA56" s="271"/>
      <c r="GB56" s="177"/>
      <c r="GC56" s="177"/>
      <c r="GD56" s="177"/>
      <c r="GE56" s="802"/>
      <c r="GF56" s="435"/>
      <c r="GG56" s="327">
        <f t="shared" si="24"/>
        <v>0</v>
      </c>
      <c r="GH56" s="445">
        <f t="shared" si="25"/>
        <v>0</v>
      </c>
      <c r="GI56" s="605">
        <f t="shared" si="26"/>
        <v>0</v>
      </c>
      <c r="GJ56" s="627">
        <f t="shared" si="27"/>
        <v>0</v>
      </c>
      <c r="GK56" s="239">
        <f t="shared" si="28"/>
        <v>0</v>
      </c>
      <c r="GL56" s="36" t="str">
        <f t="shared" si="29"/>
        <v>Гепатрон</v>
      </c>
      <c r="GM56" s="38"/>
      <c r="GN56" s="14"/>
      <c r="GO56" s="14"/>
    </row>
    <row r="57" spans="1:198" x14ac:dyDescent="0.3">
      <c r="A57" s="127">
        <f>A56+1</f>
        <v>45</v>
      </c>
      <c r="B57" s="278" t="s">
        <v>36</v>
      </c>
      <c r="C57" s="565">
        <f>'3_квартал'!G57</f>
        <v>5364.07</v>
      </c>
      <c r="D57" s="346">
        <f>2068.15+4619.07+900</f>
        <v>7587.2199999999993</v>
      </c>
      <c r="E57" s="241">
        <f>380.93+623.04</f>
        <v>1003.97</v>
      </c>
      <c r="F57" s="889">
        <f>3476.96+8201</f>
        <v>11677.96</v>
      </c>
      <c r="G57" s="299">
        <f t="shared" si="9"/>
        <v>6756.3829999999998</v>
      </c>
      <c r="H57" s="93">
        <v>3476.96</v>
      </c>
      <c r="I57" s="93">
        <v>1799</v>
      </c>
      <c r="J57" s="94"/>
      <c r="K57" s="319"/>
      <c r="L57" s="319">
        <f>302.4*5</f>
        <v>1512</v>
      </c>
      <c r="M57" s="319"/>
      <c r="N57" s="319"/>
      <c r="O57" s="319"/>
      <c r="P57" s="319">
        <f>302.4*2</f>
        <v>604.79999999999995</v>
      </c>
      <c r="Q57" s="319"/>
      <c r="R57" s="319"/>
      <c r="S57" s="319"/>
      <c r="T57" s="319"/>
      <c r="U57" s="319"/>
      <c r="V57" s="319"/>
      <c r="W57" s="319"/>
      <c r="X57" s="319">
        <v>36.287999999999997</v>
      </c>
      <c r="Y57" s="319">
        <v>120.96</v>
      </c>
      <c r="Z57" s="319"/>
      <c r="AA57" s="319"/>
      <c r="AB57" s="319">
        <f>100.8*0.5</f>
        <v>50.4</v>
      </c>
      <c r="AC57" s="319"/>
      <c r="AD57" s="319"/>
      <c r="AE57" s="319"/>
      <c r="AF57" s="319"/>
      <c r="AG57" s="319">
        <f>30.24/0.3*0.4</f>
        <v>40.32</v>
      </c>
      <c r="AH57" s="319"/>
      <c r="AI57" s="319"/>
      <c r="AJ57" s="319">
        <f>201.6*1.5</f>
        <v>302.39999999999998</v>
      </c>
      <c r="AK57" s="319"/>
      <c r="AL57" s="319">
        <v>2268</v>
      </c>
      <c r="AM57" s="319">
        <v>80.64</v>
      </c>
      <c r="AN57" s="319">
        <v>60.48</v>
      </c>
      <c r="AO57" s="319"/>
      <c r="AP57" s="319"/>
      <c r="AQ57" s="319"/>
      <c r="AR57" s="319"/>
      <c r="AS57" s="319"/>
      <c r="AT57" s="319"/>
      <c r="AU57" s="319"/>
      <c r="AV57" s="319"/>
      <c r="AW57" s="319">
        <v>302.39999999999998</v>
      </c>
      <c r="AX57" s="319"/>
      <c r="AY57" s="319"/>
      <c r="AZ57" s="319"/>
      <c r="BA57" s="319">
        <v>91.727999999999994</v>
      </c>
      <c r="BB57" s="319"/>
      <c r="BC57" s="319">
        <f>302.4*4</f>
        <v>1209.5999999999999</v>
      </c>
      <c r="BD57" s="319"/>
      <c r="BE57" s="319"/>
      <c r="BF57" s="319">
        <f>302.4*3</f>
        <v>907.19999999999993</v>
      </c>
      <c r="BG57" s="158">
        <f t="shared" si="21"/>
        <v>7587.2159999999994</v>
      </c>
      <c r="BH57" s="94"/>
      <c r="BI57" s="833">
        <v>60.48</v>
      </c>
      <c r="BJ57" s="319"/>
      <c r="BK57" s="319"/>
      <c r="BL57" s="319"/>
      <c r="BM57" s="319"/>
      <c r="BN57" s="319"/>
      <c r="BO57" s="319"/>
      <c r="BP57" s="319"/>
      <c r="BQ57" s="319">
        <f>60.48/0.6</f>
        <v>100.8</v>
      </c>
      <c r="BR57" s="319">
        <v>302.39999999999998</v>
      </c>
      <c r="BS57" s="319"/>
      <c r="BT57" s="319"/>
      <c r="BU57" s="319"/>
      <c r="BV57" s="319"/>
      <c r="BW57" s="319"/>
      <c r="BX57" s="319"/>
      <c r="BY57" s="319"/>
      <c r="BZ57" s="319"/>
      <c r="CA57" s="319"/>
      <c r="CB57" s="319"/>
      <c r="CC57" s="319"/>
      <c r="CD57" s="319">
        <v>36.287999999999997</v>
      </c>
      <c r="CE57" s="319"/>
      <c r="CF57" s="319"/>
      <c r="CG57" s="319"/>
      <c r="CH57" s="319"/>
      <c r="CI57" s="319"/>
      <c r="CJ57" s="319"/>
      <c r="CK57" s="319"/>
      <c r="CL57" s="319">
        <f>302.4/1.5*2.5</f>
        <v>504</v>
      </c>
      <c r="CM57" s="319"/>
      <c r="CN57" s="319"/>
      <c r="CO57" s="319"/>
      <c r="CP57" s="319"/>
      <c r="CQ57" s="365"/>
      <c r="CR57" s="419">
        <f t="shared" si="22"/>
        <v>1003.968</v>
      </c>
      <c r="CS57" s="57"/>
      <c r="CT57" s="319"/>
      <c r="CU57" s="319"/>
      <c r="CV57" s="319">
        <v>40.32</v>
      </c>
      <c r="CW57" s="319">
        <v>2268</v>
      </c>
      <c r="CX57" s="319"/>
      <c r="CY57" s="319"/>
      <c r="CZ57" s="319">
        <f>302.4*3.8</f>
        <v>1149.1199999999999</v>
      </c>
      <c r="DA57" s="319"/>
      <c r="DB57" s="319"/>
      <c r="DC57" s="319"/>
      <c r="DD57" s="319"/>
      <c r="DE57" s="319"/>
      <c r="DF57" s="319"/>
      <c r="DG57" s="319"/>
      <c r="DH57" s="319"/>
      <c r="DI57" s="319">
        <f>302.4*7</f>
        <v>2116.7999999999997</v>
      </c>
      <c r="DJ57" s="319">
        <f>131.04*0.6</f>
        <v>78.623999999999995</v>
      </c>
      <c r="DK57" s="319"/>
      <c r="DL57" s="319"/>
      <c r="DM57" s="319">
        <v>302.39999999999998</v>
      </c>
      <c r="DN57" s="319"/>
      <c r="DO57" s="319"/>
      <c r="DP57" s="319"/>
      <c r="DQ57" s="319"/>
      <c r="DR57" s="319"/>
      <c r="DS57" s="319">
        <v>15.12</v>
      </c>
      <c r="DT57" s="245">
        <f>181.44/0.9*0.6</f>
        <v>120.96</v>
      </c>
      <c r="DU57" s="271">
        <f>100.8*8</f>
        <v>806.4</v>
      </c>
      <c r="DV57" s="177"/>
      <c r="DW57" s="177"/>
      <c r="DX57" s="319"/>
      <c r="DY57" s="319"/>
      <c r="DZ57" s="319"/>
      <c r="EA57" s="319"/>
      <c r="EB57" s="319"/>
      <c r="EC57" s="319"/>
      <c r="ED57" s="319"/>
      <c r="EE57" s="319"/>
      <c r="EF57" s="319"/>
      <c r="EG57" s="319"/>
      <c r="EH57" s="319">
        <f>302.4*4</f>
        <v>1209.5999999999999</v>
      </c>
      <c r="EI57" s="319"/>
      <c r="EJ57" s="319"/>
      <c r="EK57" s="245"/>
      <c r="EL57" s="466">
        <f>201.6*1.3</f>
        <v>262.08</v>
      </c>
      <c r="EM57" s="319">
        <f>302.4*4.2</f>
        <v>1270.08</v>
      </c>
      <c r="EN57" s="319">
        <f>302.4*2</f>
        <v>604.79999999999995</v>
      </c>
      <c r="EO57" s="319">
        <f>60.48</f>
        <v>60.48</v>
      </c>
      <c r="EP57" s="319">
        <v>53.76</v>
      </c>
      <c r="EQ57" s="319"/>
      <c r="ER57" s="319">
        <v>302.39999999999998</v>
      </c>
      <c r="ES57" s="319"/>
      <c r="ET57" s="319"/>
      <c r="EU57" s="319"/>
      <c r="EV57" s="319"/>
      <c r="EW57" s="319">
        <f>453.6/1.5</f>
        <v>302.40000000000003</v>
      </c>
      <c r="EX57" s="319"/>
      <c r="EY57" s="319"/>
      <c r="EZ57" s="319"/>
      <c r="FA57" s="319"/>
      <c r="FB57" s="319">
        <v>342.72</v>
      </c>
      <c r="FC57" s="319">
        <f>72.576/1.2*0.6</f>
        <v>36.287999999999997</v>
      </c>
      <c r="FD57" s="319">
        <f>181.44/0.9*0.6</f>
        <v>120.96</v>
      </c>
      <c r="FE57" s="319">
        <v>60.48</v>
      </c>
      <c r="FF57" s="319">
        <f>59.295*2</f>
        <v>118.59</v>
      </c>
      <c r="FG57" s="319">
        <f>17.788*2</f>
        <v>35.576000000000001</v>
      </c>
      <c r="FH57" s="319"/>
      <c r="FI57" s="158">
        <f t="shared" si="23"/>
        <v>11677.957999999995</v>
      </c>
      <c r="FJ57" s="95"/>
      <c r="FK57" s="374"/>
      <c r="FL57" s="319"/>
      <c r="FM57" s="319"/>
      <c r="FN57" s="319"/>
      <c r="FO57" s="319"/>
      <c r="FP57" s="319"/>
      <c r="FQ57" s="319"/>
      <c r="FR57" s="319"/>
      <c r="FS57" s="319"/>
      <c r="FT57" s="319"/>
      <c r="FU57" s="319"/>
      <c r="FV57" s="319"/>
      <c r="FW57" s="319"/>
      <c r="FX57" s="319"/>
      <c r="FY57" s="28"/>
      <c r="FZ57" s="270"/>
      <c r="GA57" s="271"/>
      <c r="GB57" s="177"/>
      <c r="GC57" s="177"/>
      <c r="GD57" s="177"/>
      <c r="GE57" s="802"/>
      <c r="GF57" s="435"/>
      <c r="GG57" s="327">
        <f t="shared" si="24"/>
        <v>0</v>
      </c>
      <c r="GH57" s="445">
        <f t="shared" si="25"/>
        <v>1799</v>
      </c>
      <c r="GI57" s="605">
        <f t="shared" si="26"/>
        <v>1799</v>
      </c>
      <c r="GJ57" s="627">
        <f t="shared" si="27"/>
        <v>5364.07</v>
      </c>
      <c r="GK57" s="239">
        <f t="shared" si="28"/>
        <v>1003.97</v>
      </c>
      <c r="GL57" s="36" t="str">
        <f t="shared" si="29"/>
        <v xml:space="preserve">Декстроза </v>
      </c>
      <c r="GM57" s="664"/>
      <c r="GN57" s="22"/>
      <c r="GO57" s="22"/>
    </row>
    <row r="58" spans="1:198" x14ac:dyDescent="0.3">
      <c r="A58" s="127">
        <f t="shared" ref="A58:A59" si="30">A57+1</f>
        <v>46</v>
      </c>
      <c r="B58" s="278" t="s">
        <v>204</v>
      </c>
      <c r="C58" s="565">
        <f>'3_квартал'!G58</f>
        <v>26.677</v>
      </c>
      <c r="D58" s="241">
        <v>0</v>
      </c>
      <c r="E58" s="241">
        <v>0</v>
      </c>
      <c r="F58" s="889">
        <v>0</v>
      </c>
      <c r="G58" s="299">
        <f>ROUND(AVERAGE(D58:F58),3)</f>
        <v>0</v>
      </c>
      <c r="H58" s="93">
        <v>49.97</v>
      </c>
      <c r="I58" s="93">
        <v>49.97</v>
      </c>
      <c r="J58" s="94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319"/>
      <c r="AI58" s="319"/>
      <c r="AJ58" s="319"/>
      <c r="AK58" s="319"/>
      <c r="AL58" s="319"/>
      <c r="AM58" s="319"/>
      <c r="AN58" s="319"/>
      <c r="AO58" s="319"/>
      <c r="AP58" s="319"/>
      <c r="AQ58" s="319"/>
      <c r="AR58" s="319"/>
      <c r="AS58" s="319"/>
      <c r="AT58" s="319"/>
      <c r="AU58" s="319"/>
      <c r="AV58" s="319"/>
      <c r="AW58" s="319"/>
      <c r="AX58" s="319"/>
      <c r="AY58" s="319"/>
      <c r="AZ58" s="319"/>
      <c r="BA58" s="319"/>
      <c r="BB58" s="319"/>
      <c r="BC58" s="319"/>
      <c r="BD58" s="319"/>
      <c r="BE58" s="319"/>
      <c r="BF58" s="319"/>
      <c r="BG58" s="158">
        <f t="shared" si="21"/>
        <v>0</v>
      </c>
      <c r="BH58" s="94"/>
      <c r="BI58" s="833"/>
      <c r="BJ58" s="319"/>
      <c r="BK58" s="319"/>
      <c r="BL58" s="319"/>
      <c r="BM58" s="319"/>
      <c r="BN58" s="319"/>
      <c r="BO58" s="319"/>
      <c r="BP58" s="319"/>
      <c r="BQ58" s="319"/>
      <c r="BR58" s="319"/>
      <c r="BS58" s="319"/>
      <c r="BT58" s="319"/>
      <c r="BU58" s="319"/>
      <c r="BV58" s="319"/>
      <c r="BW58" s="319"/>
      <c r="BX58" s="319"/>
      <c r="BY58" s="319"/>
      <c r="BZ58" s="319"/>
      <c r="CA58" s="319"/>
      <c r="CB58" s="319"/>
      <c r="CC58" s="319"/>
      <c r="CD58" s="319"/>
      <c r="CE58" s="319"/>
      <c r="CF58" s="319"/>
      <c r="CG58" s="319"/>
      <c r="CH58" s="319"/>
      <c r="CI58" s="319"/>
      <c r="CJ58" s="319"/>
      <c r="CK58" s="319"/>
      <c r="CL58" s="319"/>
      <c r="CM58" s="319"/>
      <c r="CN58" s="319"/>
      <c r="CO58" s="319"/>
      <c r="CP58" s="319"/>
      <c r="CQ58" s="365"/>
      <c r="CR58" s="419">
        <f t="shared" si="22"/>
        <v>0</v>
      </c>
      <c r="CS58" s="57"/>
      <c r="CT58" s="319"/>
      <c r="CU58" s="319"/>
      <c r="CV58" s="319"/>
      <c r="CW58" s="319"/>
      <c r="CX58" s="319"/>
      <c r="CY58" s="319"/>
      <c r="CZ58" s="319"/>
      <c r="DA58" s="319"/>
      <c r="DB58" s="319"/>
      <c r="DC58" s="319"/>
      <c r="DD58" s="319"/>
      <c r="DE58" s="319"/>
      <c r="DF58" s="319"/>
      <c r="DG58" s="319"/>
      <c r="DH58" s="319"/>
      <c r="DI58" s="319"/>
      <c r="DJ58" s="319"/>
      <c r="DK58" s="319"/>
      <c r="DL58" s="319"/>
      <c r="DM58" s="319"/>
      <c r="DN58" s="319"/>
      <c r="DO58" s="319"/>
      <c r="DP58" s="319"/>
      <c r="DQ58" s="319"/>
      <c r="DR58" s="319"/>
      <c r="DS58" s="319"/>
      <c r="DT58" s="245"/>
      <c r="DU58" s="271"/>
      <c r="DV58" s="177"/>
      <c r="DW58" s="177"/>
      <c r="DX58" s="319"/>
      <c r="DY58" s="319"/>
      <c r="DZ58" s="319"/>
      <c r="EA58" s="319"/>
      <c r="EB58" s="319"/>
      <c r="EC58" s="319"/>
      <c r="ED58" s="319"/>
      <c r="EE58" s="319"/>
      <c r="EF58" s="319"/>
      <c r="EG58" s="319"/>
      <c r="EH58" s="319"/>
      <c r="EI58" s="319"/>
      <c r="EJ58" s="319"/>
      <c r="EK58" s="245"/>
      <c r="EL58" s="466"/>
      <c r="EM58" s="319"/>
      <c r="EN58" s="319"/>
      <c r="EO58" s="319"/>
      <c r="EP58" s="319"/>
      <c r="EQ58" s="319"/>
      <c r="ER58" s="319"/>
      <c r="ES58" s="319"/>
      <c r="ET58" s="319"/>
      <c r="EU58" s="319"/>
      <c r="EV58" s="319"/>
      <c r="EW58" s="319"/>
      <c r="EX58" s="319"/>
      <c r="EY58" s="319"/>
      <c r="EZ58" s="319"/>
      <c r="FA58" s="319"/>
      <c r="FB58" s="319"/>
      <c r="FC58" s="319"/>
      <c r="FD58" s="319"/>
      <c r="FE58" s="319"/>
      <c r="FF58" s="319"/>
      <c r="FG58" s="319"/>
      <c r="FH58" s="319"/>
      <c r="FI58" s="158">
        <f t="shared" si="23"/>
        <v>0</v>
      </c>
      <c r="FJ58" s="95"/>
      <c r="FK58" s="374"/>
      <c r="FL58" s="319"/>
      <c r="FM58" s="319"/>
      <c r="FN58" s="319"/>
      <c r="FO58" s="319"/>
      <c r="FP58" s="319"/>
      <c r="FQ58" s="319"/>
      <c r="FR58" s="319"/>
      <c r="FS58" s="319"/>
      <c r="FT58" s="319"/>
      <c r="FU58" s="319"/>
      <c r="FV58" s="319"/>
      <c r="FW58" s="319"/>
      <c r="FX58" s="319"/>
      <c r="FY58" s="28"/>
      <c r="FZ58" s="270"/>
      <c r="GA58" s="271"/>
      <c r="GB58" s="177"/>
      <c r="GC58" s="177"/>
      <c r="GD58" s="177"/>
      <c r="GE58" s="802"/>
      <c r="GF58" s="435"/>
      <c r="GG58" s="327">
        <f t="shared" si="24"/>
        <v>0</v>
      </c>
      <c r="GH58" s="445">
        <f t="shared" si="25"/>
        <v>49.97</v>
      </c>
      <c r="GI58" s="605">
        <f t="shared" si="26"/>
        <v>49.97</v>
      </c>
      <c r="GJ58" s="627">
        <f t="shared" si="27"/>
        <v>26.677</v>
      </c>
      <c r="GK58" s="239">
        <f t="shared" si="28"/>
        <v>0</v>
      </c>
      <c r="GL58" s="36" t="str">
        <f t="shared" si="29"/>
        <v>Диоксид кремния Экстрасил</v>
      </c>
      <c r="GM58" s="664"/>
      <c r="GN58" s="22"/>
      <c r="GO58" s="22"/>
    </row>
    <row r="59" spans="1:198" x14ac:dyDescent="0.3">
      <c r="A59" s="127">
        <f t="shared" si="30"/>
        <v>47</v>
      </c>
      <c r="B59" s="278" t="s">
        <v>184</v>
      </c>
      <c r="C59" s="565">
        <f>'3_квартал'!G59</f>
        <v>13.04</v>
      </c>
      <c r="D59" s="241">
        <v>0</v>
      </c>
      <c r="E59" s="241">
        <v>0</v>
      </c>
      <c r="F59" s="889">
        <v>0</v>
      </c>
      <c r="G59" s="299">
        <f>ROUND(AVERAGE(D59:F59),3)</f>
        <v>0</v>
      </c>
      <c r="H59" s="93">
        <v>0</v>
      </c>
      <c r="I59" s="93">
        <v>0</v>
      </c>
      <c r="J59" s="94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9"/>
      <c r="AH59" s="319"/>
      <c r="AI59" s="319"/>
      <c r="AJ59" s="319"/>
      <c r="AK59" s="319"/>
      <c r="AL59" s="319"/>
      <c r="AM59" s="319"/>
      <c r="AN59" s="319"/>
      <c r="AO59" s="319"/>
      <c r="AP59" s="319"/>
      <c r="AQ59" s="319"/>
      <c r="AR59" s="319"/>
      <c r="AS59" s="319"/>
      <c r="AT59" s="319"/>
      <c r="AU59" s="319"/>
      <c r="AV59" s="319"/>
      <c r="AW59" s="319"/>
      <c r="AX59" s="319"/>
      <c r="AY59" s="319"/>
      <c r="AZ59" s="319"/>
      <c r="BA59" s="319"/>
      <c r="BB59" s="319"/>
      <c r="BC59" s="319"/>
      <c r="BD59" s="319"/>
      <c r="BE59" s="319"/>
      <c r="BF59" s="319"/>
      <c r="BG59" s="158">
        <f t="shared" si="21"/>
        <v>0</v>
      </c>
      <c r="BH59" s="94"/>
      <c r="BI59" s="833"/>
      <c r="BJ59" s="319"/>
      <c r="BK59" s="319"/>
      <c r="BL59" s="319"/>
      <c r="BM59" s="319"/>
      <c r="BN59" s="319"/>
      <c r="BO59" s="319"/>
      <c r="BP59" s="319"/>
      <c r="BQ59" s="319"/>
      <c r="BR59" s="319"/>
      <c r="BS59" s="319"/>
      <c r="BT59" s="319"/>
      <c r="BU59" s="319"/>
      <c r="BV59" s="319"/>
      <c r="BW59" s="319"/>
      <c r="BX59" s="319"/>
      <c r="BY59" s="319"/>
      <c r="BZ59" s="319"/>
      <c r="CA59" s="319"/>
      <c r="CB59" s="319"/>
      <c r="CC59" s="319"/>
      <c r="CD59" s="319"/>
      <c r="CE59" s="319"/>
      <c r="CF59" s="319"/>
      <c r="CG59" s="319"/>
      <c r="CH59" s="319"/>
      <c r="CI59" s="319"/>
      <c r="CJ59" s="319"/>
      <c r="CK59" s="319"/>
      <c r="CL59" s="319"/>
      <c r="CM59" s="319"/>
      <c r="CN59" s="319"/>
      <c r="CO59" s="319"/>
      <c r="CP59" s="319"/>
      <c r="CQ59" s="365"/>
      <c r="CR59" s="419">
        <f t="shared" si="22"/>
        <v>0</v>
      </c>
      <c r="CS59" s="57"/>
      <c r="CT59" s="319"/>
      <c r="CU59" s="319"/>
      <c r="CV59" s="319"/>
      <c r="CW59" s="319"/>
      <c r="CX59" s="319"/>
      <c r="CY59" s="319"/>
      <c r="CZ59" s="319"/>
      <c r="DA59" s="319"/>
      <c r="DB59" s="319"/>
      <c r="DC59" s="319"/>
      <c r="DD59" s="319"/>
      <c r="DE59" s="319"/>
      <c r="DF59" s="319"/>
      <c r="DG59" s="319"/>
      <c r="DH59" s="319"/>
      <c r="DI59" s="319"/>
      <c r="DJ59" s="319"/>
      <c r="DK59" s="319"/>
      <c r="DL59" s="319"/>
      <c r="DM59" s="319"/>
      <c r="DN59" s="319"/>
      <c r="DO59" s="319"/>
      <c r="DP59" s="319"/>
      <c r="DQ59" s="319"/>
      <c r="DR59" s="319"/>
      <c r="DS59" s="319"/>
      <c r="DT59" s="245"/>
      <c r="DU59" s="271"/>
      <c r="DV59" s="177"/>
      <c r="DW59" s="177"/>
      <c r="DX59" s="319"/>
      <c r="DY59" s="319"/>
      <c r="DZ59" s="319"/>
      <c r="EA59" s="319"/>
      <c r="EB59" s="319"/>
      <c r="EC59" s="319"/>
      <c r="ED59" s="319"/>
      <c r="EE59" s="319"/>
      <c r="EF59" s="319"/>
      <c r="EG59" s="319"/>
      <c r="EH59" s="319"/>
      <c r="EI59" s="319"/>
      <c r="EJ59" s="319"/>
      <c r="EK59" s="245"/>
      <c r="EL59" s="466"/>
      <c r="EM59" s="319"/>
      <c r="EN59" s="319"/>
      <c r="EO59" s="319"/>
      <c r="EP59" s="319"/>
      <c r="EQ59" s="319"/>
      <c r="ER59" s="319"/>
      <c r="ES59" s="319"/>
      <c r="ET59" s="319"/>
      <c r="EU59" s="319"/>
      <c r="EV59" s="319"/>
      <c r="EW59" s="319"/>
      <c r="EX59" s="319"/>
      <c r="EY59" s="319"/>
      <c r="EZ59" s="319"/>
      <c r="FA59" s="319"/>
      <c r="FB59" s="319"/>
      <c r="FC59" s="319"/>
      <c r="FD59" s="319"/>
      <c r="FE59" s="319"/>
      <c r="FF59" s="319"/>
      <c r="FG59" s="319"/>
      <c r="FH59" s="319"/>
      <c r="FI59" s="158">
        <f t="shared" si="23"/>
        <v>0</v>
      </c>
      <c r="FJ59" s="95"/>
      <c r="FK59" s="374"/>
      <c r="FL59" s="319"/>
      <c r="FM59" s="319"/>
      <c r="FN59" s="319"/>
      <c r="FO59" s="319"/>
      <c r="FP59" s="319"/>
      <c r="FQ59" s="319"/>
      <c r="FR59" s="319"/>
      <c r="FS59" s="319"/>
      <c r="FT59" s="319"/>
      <c r="FU59" s="319"/>
      <c r="FV59" s="319"/>
      <c r="FW59" s="319"/>
      <c r="FX59" s="319"/>
      <c r="FY59" s="28"/>
      <c r="FZ59" s="270"/>
      <c r="GA59" s="271"/>
      <c r="GB59" s="177"/>
      <c r="GC59" s="177"/>
      <c r="GD59" s="177"/>
      <c r="GE59" s="802"/>
      <c r="GF59" s="435"/>
      <c r="GG59" s="327">
        <f t="shared" si="24"/>
        <v>0</v>
      </c>
      <c r="GH59" s="445">
        <f t="shared" si="25"/>
        <v>0</v>
      </c>
      <c r="GI59" s="605">
        <f t="shared" si="26"/>
        <v>0</v>
      </c>
      <c r="GJ59" s="627">
        <f t="shared" si="27"/>
        <v>13.04</v>
      </c>
      <c r="GK59" s="239">
        <f t="shared" si="28"/>
        <v>0</v>
      </c>
      <c r="GL59" s="36" t="str">
        <f t="shared" si="29"/>
        <v>Диоксид кремния Ковелос У2</v>
      </c>
      <c r="GM59" s="664"/>
      <c r="GN59" s="22"/>
      <c r="GO59" s="22"/>
    </row>
    <row r="60" spans="1:198" x14ac:dyDescent="0.3">
      <c r="A60" s="127">
        <f>A59+1</f>
        <v>48</v>
      </c>
      <c r="B60" s="280" t="s">
        <v>256</v>
      </c>
      <c r="C60" s="565">
        <f>'3_квартал'!G60</f>
        <v>622.03300000000002</v>
      </c>
      <c r="D60" s="346">
        <v>663.68</v>
      </c>
      <c r="E60" s="241">
        <v>298.37</v>
      </c>
      <c r="F60" s="889">
        <f>14.98+626.89</f>
        <v>641.87</v>
      </c>
      <c r="G60" s="299">
        <f>ROUND(AVERAGE(D60:F60),3)</f>
        <v>534.64</v>
      </c>
      <c r="H60" s="93">
        <f>14.98+1000</f>
        <v>1014.98</v>
      </c>
      <c r="I60" s="93">
        <v>353.11</v>
      </c>
      <c r="J60" s="94"/>
      <c r="K60" s="319">
        <f>4.032*4</f>
        <v>16.128</v>
      </c>
      <c r="L60" s="319">
        <f>4.032*5</f>
        <v>20.16</v>
      </c>
      <c r="M60" s="319"/>
      <c r="N60" s="319"/>
      <c r="O60" s="319"/>
      <c r="P60" s="319">
        <f>4.032*2</f>
        <v>8.0640000000000001</v>
      </c>
      <c r="Q60" s="319"/>
      <c r="R60" s="319">
        <f>20.16*3</f>
        <v>60.480000000000004</v>
      </c>
      <c r="S60" s="319"/>
      <c r="T60" s="319"/>
      <c r="U60" s="319"/>
      <c r="V60" s="319"/>
      <c r="W60" s="319"/>
      <c r="X60" s="319"/>
      <c r="Y60" s="319">
        <v>2.419</v>
      </c>
      <c r="Z60" s="319">
        <f>4.032*3</f>
        <v>12.096</v>
      </c>
      <c r="AA60" s="319">
        <f>322.56/20*1.7</f>
        <v>27.4176</v>
      </c>
      <c r="AB60" s="319"/>
      <c r="AC60" s="319">
        <f>322.56/20*9</f>
        <v>145.15199999999999</v>
      </c>
      <c r="AD60" s="319">
        <f>322.56/20*9.3</f>
        <v>149.99040000000002</v>
      </c>
      <c r="AE60" s="319"/>
      <c r="AF60" s="319"/>
      <c r="AG60" s="319"/>
      <c r="AH60" s="319"/>
      <c r="AI60" s="319"/>
      <c r="AJ60" s="319">
        <f>4.032*1.5</f>
        <v>6.048</v>
      </c>
      <c r="AK60" s="319"/>
      <c r="AL60" s="319"/>
      <c r="AM60" s="319"/>
      <c r="AN60" s="319"/>
      <c r="AO60" s="319"/>
      <c r="AP60" s="319"/>
      <c r="AQ60" s="319"/>
      <c r="AR60" s="319"/>
      <c r="AS60" s="319"/>
      <c r="AT60" s="319">
        <f>100.8/10*6</f>
        <v>60.480000000000004</v>
      </c>
      <c r="AU60" s="319"/>
      <c r="AV60" s="319"/>
      <c r="AW60" s="319"/>
      <c r="AX60" s="319">
        <f>110.88/5*3</f>
        <v>66.527999999999992</v>
      </c>
      <c r="AY60" s="319">
        <f>110.88/5*2</f>
        <v>44.351999999999997</v>
      </c>
      <c r="AZ60" s="319"/>
      <c r="BA60" s="319"/>
      <c r="BB60" s="319"/>
      <c r="BC60" s="319">
        <f>4.032*4</f>
        <v>16.128</v>
      </c>
      <c r="BD60" s="319">
        <f>4.032*4</f>
        <v>16.128</v>
      </c>
      <c r="BE60" s="319"/>
      <c r="BF60" s="319">
        <f>4.032*3</f>
        <v>12.096</v>
      </c>
      <c r="BG60" s="158">
        <f t="shared" si="21"/>
        <v>663.66700000000014</v>
      </c>
      <c r="BH60" s="94"/>
      <c r="BI60" s="833"/>
      <c r="BJ60" s="319"/>
      <c r="BK60" s="319"/>
      <c r="BL60" s="319">
        <f>4.032*4</f>
        <v>16.128</v>
      </c>
      <c r="BM60" s="319">
        <f>10.08*5</f>
        <v>50.4</v>
      </c>
      <c r="BN60" s="319"/>
      <c r="BO60" s="319">
        <f>4.032*1.5</f>
        <v>6.048</v>
      </c>
      <c r="BP60" s="319"/>
      <c r="BQ60" s="319"/>
      <c r="BR60" s="319">
        <v>4.032</v>
      </c>
      <c r="BS60" s="319"/>
      <c r="BT60" s="319"/>
      <c r="BU60" s="319">
        <f>4.032*1.5</f>
        <v>6.048</v>
      </c>
      <c r="BV60" s="319"/>
      <c r="BW60" s="319"/>
      <c r="BX60" s="319"/>
      <c r="BY60" s="319"/>
      <c r="BZ60" s="319"/>
      <c r="CA60" s="319">
        <v>34.271999999999998</v>
      </c>
      <c r="CB60" s="319">
        <f>10.08*5</f>
        <v>50.4</v>
      </c>
      <c r="CC60" s="319"/>
      <c r="CD60" s="319"/>
      <c r="CE60" s="319">
        <f>10.08*5</f>
        <v>50.4</v>
      </c>
      <c r="CF60" s="319"/>
      <c r="CG60" s="319"/>
      <c r="CH60" s="319">
        <f>4.032</f>
        <v>4.032</v>
      </c>
      <c r="CI60" s="319"/>
      <c r="CJ60" s="319">
        <v>40.32</v>
      </c>
      <c r="CK60" s="319"/>
      <c r="CL60" s="319">
        <f>6.048/1.5*2.5</f>
        <v>10.08</v>
      </c>
      <c r="CM60" s="319"/>
      <c r="CN60" s="319"/>
      <c r="CO60" s="319">
        <f>20.16*1.3</f>
        <v>26.208000000000002</v>
      </c>
      <c r="CP60" s="319"/>
      <c r="CQ60" s="365"/>
      <c r="CR60" s="419">
        <f t="shared" si="22"/>
        <v>298.36800000000005</v>
      </c>
      <c r="CS60" s="57"/>
      <c r="CT60" s="319">
        <f>100.8/10*8</f>
        <v>80.64</v>
      </c>
      <c r="CU60" s="319">
        <f>100.8/10*2</f>
        <v>20.16</v>
      </c>
      <c r="CV60" s="319"/>
      <c r="CW60" s="319"/>
      <c r="CX60" s="319">
        <f>4.032*5</f>
        <v>20.16</v>
      </c>
      <c r="CY60" s="319"/>
      <c r="CZ60" s="319">
        <f>4.032*3.8</f>
        <v>15.3216</v>
      </c>
      <c r="DA60" s="319">
        <f>241.92/15*3.7</f>
        <v>59.6736</v>
      </c>
      <c r="DB60" s="319">
        <f>241.92/15*5.5</f>
        <v>88.704000000000008</v>
      </c>
      <c r="DC60" s="319">
        <v>66.528000000000006</v>
      </c>
      <c r="DD60" s="319"/>
      <c r="DE60" s="319"/>
      <c r="DF60" s="319"/>
      <c r="DG60" s="319">
        <f>4.032*4</f>
        <v>16.128</v>
      </c>
      <c r="DH60" s="319"/>
      <c r="DI60" s="319">
        <f>4.032*7</f>
        <v>28.224</v>
      </c>
      <c r="DJ60" s="319"/>
      <c r="DK60" s="319"/>
      <c r="DL60" s="319"/>
      <c r="DM60" s="319"/>
      <c r="DN60" s="319"/>
      <c r="DO60" s="319">
        <v>4.032</v>
      </c>
      <c r="DP60" s="319"/>
      <c r="DQ60" s="319">
        <f>241.92/15*5.8</f>
        <v>93.542400000000001</v>
      </c>
      <c r="DR60" s="319"/>
      <c r="DS60" s="319"/>
      <c r="DT60" s="245">
        <f>3.629/0.9*0.6</f>
        <v>2.4193333333333329</v>
      </c>
      <c r="DU60" s="271"/>
      <c r="DV60" s="177"/>
      <c r="DW60" s="177"/>
      <c r="DX60" s="319"/>
      <c r="DY60" s="319">
        <f>4.032*5</f>
        <v>20.16</v>
      </c>
      <c r="DZ60" s="319"/>
      <c r="EA60" s="319"/>
      <c r="EB60" s="319"/>
      <c r="EC60" s="319"/>
      <c r="ED60" s="319"/>
      <c r="EE60" s="319"/>
      <c r="EF60" s="319"/>
      <c r="EG60" s="319"/>
      <c r="EH60" s="319">
        <f>4.032*4</f>
        <v>16.128</v>
      </c>
      <c r="EI60" s="319"/>
      <c r="EJ60" s="319"/>
      <c r="EK60" s="245"/>
      <c r="EL60" s="466">
        <f>4.032*1.3</f>
        <v>5.2416</v>
      </c>
      <c r="EM60" s="319">
        <f>4.032*4.2</f>
        <v>16.9344</v>
      </c>
      <c r="EN60" s="319">
        <f>4.032*2</f>
        <v>8.0640000000000001</v>
      </c>
      <c r="EO60" s="319"/>
      <c r="EP60" s="319"/>
      <c r="EQ60" s="319"/>
      <c r="ER60" s="319">
        <v>4.032</v>
      </c>
      <c r="ES60" s="319">
        <v>66.528000000000006</v>
      </c>
      <c r="ET60" s="319"/>
      <c r="EU60" s="319"/>
      <c r="EV60" s="319"/>
      <c r="EW60" s="319"/>
      <c r="EX60" s="319"/>
      <c r="EY60" s="319"/>
      <c r="EZ60" s="319"/>
      <c r="FA60" s="319"/>
      <c r="FB60" s="319">
        <v>6.8540000000000001</v>
      </c>
      <c r="FC60" s="319"/>
      <c r="FD60" s="319">
        <f>3.629/0.9*0.6</f>
        <v>2.4193333333333329</v>
      </c>
      <c r="FE60" s="319"/>
      <c r="FF60" s="319"/>
      <c r="FG60" s="319"/>
      <c r="FH60" s="319"/>
      <c r="FI60" s="158">
        <f t="shared" si="23"/>
        <v>641.89426666666668</v>
      </c>
      <c r="FJ60" s="95"/>
      <c r="FK60" s="374"/>
      <c r="FL60" s="319"/>
      <c r="FM60" s="319"/>
      <c r="FN60" s="319"/>
      <c r="FO60" s="319"/>
      <c r="FP60" s="319"/>
      <c r="FQ60" s="319"/>
      <c r="FR60" s="319"/>
      <c r="FS60" s="319"/>
      <c r="FT60" s="319"/>
      <c r="FU60" s="319"/>
      <c r="FV60" s="319"/>
      <c r="FW60" s="319"/>
      <c r="FX60" s="319"/>
      <c r="FY60" s="28"/>
      <c r="FZ60" s="270"/>
      <c r="GA60" s="271"/>
      <c r="GB60" s="177"/>
      <c r="GC60" s="177"/>
      <c r="GD60" s="177"/>
      <c r="GE60" s="802"/>
      <c r="GF60" s="435"/>
      <c r="GG60" s="327">
        <f t="shared" si="24"/>
        <v>0</v>
      </c>
      <c r="GH60" s="445">
        <f t="shared" si="25"/>
        <v>353.11</v>
      </c>
      <c r="GI60" s="605">
        <f t="shared" si="26"/>
        <v>353.11</v>
      </c>
      <c r="GJ60" s="627">
        <f t="shared" si="27"/>
        <v>622.03300000000002</v>
      </c>
      <c r="GK60" s="239">
        <f t="shared" si="28"/>
        <v>298.37</v>
      </c>
      <c r="GL60" s="36" t="str">
        <f t="shared" si="29"/>
        <v>Дрожжевые клетки Saccharomyces</v>
      </c>
      <c r="GM60" s="664"/>
      <c r="GN60" s="14"/>
      <c r="GO60" s="14"/>
    </row>
    <row r="61" spans="1:198" x14ac:dyDescent="0.3">
      <c r="A61" s="127">
        <f t="shared" ref="A61:A64" si="31">A60+1</f>
        <v>49</v>
      </c>
      <c r="B61" s="276" t="s">
        <v>155</v>
      </c>
      <c r="C61" s="565">
        <f>'3_квартал'!G61</f>
        <v>236.923</v>
      </c>
      <c r="D61" s="346">
        <v>309.36</v>
      </c>
      <c r="E61" s="241">
        <v>0</v>
      </c>
      <c r="F61" s="889">
        <v>0</v>
      </c>
      <c r="G61" s="299">
        <f>ROUND(AVERAGE(D61:F61),3)</f>
        <v>103.12</v>
      </c>
      <c r="H61" s="324">
        <v>0</v>
      </c>
      <c r="I61" s="324">
        <v>0</v>
      </c>
      <c r="J61" s="94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26"/>
      <c r="AB61" s="319"/>
      <c r="AC61" s="326"/>
      <c r="AD61" s="326"/>
      <c r="AE61" s="319"/>
      <c r="AF61" s="319"/>
      <c r="AG61" s="319"/>
      <c r="AH61" s="319"/>
      <c r="AI61" s="319"/>
      <c r="AJ61" s="319"/>
      <c r="AK61" s="319"/>
      <c r="AL61" s="319"/>
      <c r="AM61" s="319">
        <v>40.32</v>
      </c>
      <c r="AN61" s="319">
        <v>98.33</v>
      </c>
      <c r="AO61" s="319"/>
      <c r="AP61" s="319"/>
      <c r="AQ61" s="319"/>
      <c r="AR61" s="319"/>
      <c r="AS61" s="319"/>
      <c r="AT61" s="319"/>
      <c r="AU61" s="319"/>
      <c r="AV61" s="319"/>
      <c r="AW61" s="319">
        <v>170.71</v>
      </c>
      <c r="AX61" s="325"/>
      <c r="AY61" s="325"/>
      <c r="AZ61" s="319"/>
      <c r="BA61" s="319"/>
      <c r="BB61" s="319"/>
      <c r="BC61" s="319"/>
      <c r="BD61" s="319"/>
      <c r="BE61" s="319"/>
      <c r="BF61" s="319"/>
      <c r="BG61" s="158">
        <f t="shared" si="21"/>
        <v>309.36</v>
      </c>
      <c r="BH61" s="155"/>
      <c r="BI61" s="833"/>
      <c r="BJ61" s="319"/>
      <c r="BK61" s="319"/>
      <c r="BL61" s="319"/>
      <c r="BM61" s="319"/>
      <c r="BN61" s="319"/>
      <c r="BO61" s="319"/>
      <c r="BP61" s="319"/>
      <c r="BQ61" s="319"/>
      <c r="BR61" s="319"/>
      <c r="BS61" s="319"/>
      <c r="BT61" s="319"/>
      <c r="BU61" s="319"/>
      <c r="BV61" s="319"/>
      <c r="BW61" s="319"/>
      <c r="BX61" s="319"/>
      <c r="BY61" s="319"/>
      <c r="BZ61" s="319"/>
      <c r="CA61" s="319"/>
      <c r="CB61" s="319"/>
      <c r="CC61" s="319"/>
      <c r="CD61" s="319"/>
      <c r="CE61" s="319"/>
      <c r="CF61" s="319"/>
      <c r="CG61" s="319"/>
      <c r="CH61" s="319"/>
      <c r="CI61" s="319"/>
      <c r="CJ61" s="319"/>
      <c r="CK61" s="319"/>
      <c r="CL61" s="319"/>
      <c r="CM61" s="319"/>
      <c r="CN61" s="319"/>
      <c r="CO61" s="319"/>
      <c r="CP61" s="319"/>
      <c r="CQ61" s="365"/>
      <c r="CR61" s="419">
        <f t="shared" si="22"/>
        <v>0</v>
      </c>
      <c r="CS61" s="57"/>
      <c r="CT61" s="319"/>
      <c r="CU61" s="319"/>
      <c r="CV61" s="319"/>
      <c r="CW61" s="319"/>
      <c r="CX61" s="319"/>
      <c r="CY61" s="319"/>
      <c r="CZ61" s="319"/>
      <c r="DA61" s="319"/>
      <c r="DB61" s="319"/>
      <c r="DC61" s="319"/>
      <c r="DD61" s="319"/>
      <c r="DE61" s="319"/>
      <c r="DF61" s="319"/>
      <c r="DG61" s="319"/>
      <c r="DH61" s="319"/>
      <c r="DI61" s="319"/>
      <c r="DJ61" s="319"/>
      <c r="DK61" s="319"/>
      <c r="DL61" s="319"/>
      <c r="DM61" s="319"/>
      <c r="DN61" s="319"/>
      <c r="DO61" s="319"/>
      <c r="DP61" s="319"/>
      <c r="DQ61" s="319"/>
      <c r="DR61" s="319"/>
      <c r="DS61" s="319"/>
      <c r="DT61" s="245"/>
      <c r="DU61" s="271"/>
      <c r="DV61" s="177"/>
      <c r="DW61" s="177"/>
      <c r="DX61" s="319"/>
      <c r="DY61" s="319"/>
      <c r="DZ61" s="319"/>
      <c r="EA61" s="319"/>
      <c r="EB61" s="319"/>
      <c r="EC61" s="319"/>
      <c r="ED61" s="319"/>
      <c r="EE61" s="319"/>
      <c r="EF61" s="319"/>
      <c r="EG61" s="319"/>
      <c r="EH61" s="319"/>
      <c r="EI61" s="319"/>
      <c r="EJ61" s="319"/>
      <c r="EK61" s="245"/>
      <c r="EL61" s="466"/>
      <c r="EM61" s="319"/>
      <c r="EN61" s="319"/>
      <c r="EO61" s="319"/>
      <c r="EP61" s="319"/>
      <c r="EQ61" s="319"/>
      <c r="ER61" s="319"/>
      <c r="ES61" s="319"/>
      <c r="ET61" s="319"/>
      <c r="EU61" s="319"/>
      <c r="EV61" s="319"/>
      <c r="EW61" s="319"/>
      <c r="EX61" s="319"/>
      <c r="EY61" s="319"/>
      <c r="EZ61" s="319"/>
      <c r="FA61" s="319"/>
      <c r="FB61" s="319"/>
      <c r="FC61" s="319"/>
      <c r="FD61" s="319"/>
      <c r="FE61" s="319"/>
      <c r="FF61" s="319"/>
      <c r="FG61" s="319"/>
      <c r="FH61" s="319"/>
      <c r="FI61" s="158">
        <f t="shared" si="23"/>
        <v>0</v>
      </c>
      <c r="FJ61" s="95"/>
      <c r="FK61" s="375"/>
      <c r="FL61" s="319"/>
      <c r="FM61" s="319"/>
      <c r="FN61" s="319"/>
      <c r="FO61" s="319"/>
      <c r="FP61" s="319"/>
      <c r="FQ61" s="319"/>
      <c r="FR61" s="319"/>
      <c r="FS61" s="319"/>
      <c r="FT61" s="319"/>
      <c r="FU61" s="319"/>
      <c r="FV61" s="319"/>
      <c r="FW61" s="319"/>
      <c r="FX61" s="319"/>
      <c r="FY61" s="182"/>
      <c r="FZ61" s="270"/>
      <c r="GA61" s="271"/>
      <c r="GB61" s="177"/>
      <c r="GC61" s="177"/>
      <c r="GD61" s="177"/>
      <c r="GE61" s="802"/>
      <c r="GF61" s="435"/>
      <c r="GG61" s="327">
        <f t="shared" si="24"/>
        <v>0</v>
      </c>
      <c r="GH61" s="445">
        <f t="shared" si="25"/>
        <v>0</v>
      </c>
      <c r="GI61" s="605">
        <f t="shared" si="26"/>
        <v>0</v>
      </c>
      <c r="GJ61" s="627">
        <f t="shared" si="27"/>
        <v>236.923</v>
      </c>
      <c r="GK61" s="239">
        <f t="shared" si="28"/>
        <v>0</v>
      </c>
      <c r="GL61" s="36" t="str">
        <f t="shared" si="29"/>
        <v>Корм. концентрат ЭКСТРА ФИД Ф</v>
      </c>
      <c r="GM61" s="38"/>
      <c r="GN61" s="22"/>
      <c r="GO61" s="22"/>
    </row>
    <row r="62" spans="1:198" x14ac:dyDescent="0.3">
      <c r="A62" s="127">
        <f t="shared" si="31"/>
        <v>50</v>
      </c>
      <c r="B62" s="286" t="s">
        <v>18</v>
      </c>
      <c r="C62" s="565">
        <f>'3_квартал'!G62</f>
        <v>46.237000000000002</v>
      </c>
      <c r="D62" s="346">
        <v>29.55</v>
      </c>
      <c r="E62" s="241">
        <v>20.57</v>
      </c>
      <c r="F62" s="889">
        <f>65.742+6.378</f>
        <v>72.12</v>
      </c>
      <c r="G62" s="299">
        <f t="shared" si="9"/>
        <v>40.747</v>
      </c>
      <c r="H62" s="109">
        <v>65.742000000000004</v>
      </c>
      <c r="I62" s="879">
        <v>93.622</v>
      </c>
      <c r="J62" s="112"/>
      <c r="K62" s="319">
        <f>0.151*4</f>
        <v>0.60399999999999998</v>
      </c>
      <c r="L62" s="319">
        <f>0.151*5</f>
        <v>0.755</v>
      </c>
      <c r="M62" s="319"/>
      <c r="N62" s="319">
        <f>0.101*1.5</f>
        <v>0.15150000000000002</v>
      </c>
      <c r="O62" s="319">
        <f>0.449*3</f>
        <v>1.347</v>
      </c>
      <c r="P62" s="319">
        <f>0.151*2</f>
        <v>0.30199999999999999</v>
      </c>
      <c r="Q62" s="319">
        <f>0.405*2.1</f>
        <v>0.85050000000000014</v>
      </c>
      <c r="R62" s="319">
        <f>0.449*3</f>
        <v>1.347</v>
      </c>
      <c r="S62" s="319">
        <f>0.144</f>
        <v>0.14399999999999999</v>
      </c>
      <c r="T62" s="319">
        <f>0.449*1.5</f>
        <v>0.67349999999999999</v>
      </c>
      <c r="U62" s="319">
        <f>0.469*0.25</f>
        <v>0.11724999999999999</v>
      </c>
      <c r="V62" s="319">
        <f>0.469*4.5</f>
        <v>2.1105</v>
      </c>
      <c r="W62" s="319">
        <f>0.488*3</f>
        <v>1.464</v>
      </c>
      <c r="X62" s="319">
        <v>9.0999999999999998E-2</v>
      </c>
      <c r="Y62" s="319">
        <v>9.0999999999999998E-2</v>
      </c>
      <c r="Z62" s="319">
        <f>0.151*3</f>
        <v>0.45299999999999996</v>
      </c>
      <c r="AA62" s="319"/>
      <c r="AB62" s="319"/>
      <c r="AC62" s="319"/>
      <c r="AD62" s="319"/>
      <c r="AE62" s="319"/>
      <c r="AF62" s="319">
        <f>0.449*3</f>
        <v>1.347</v>
      </c>
      <c r="AG62" s="319">
        <f>0.151/0.3*0.4</f>
        <v>0.20133333333333334</v>
      </c>
      <c r="AH62" s="319">
        <f>1.216</f>
        <v>1.216</v>
      </c>
      <c r="AI62" s="319">
        <v>0.49199999999999999</v>
      </c>
      <c r="AJ62" s="319">
        <f>0.151*1.5</f>
        <v>0.22649999999999998</v>
      </c>
      <c r="AK62" s="319">
        <v>0.19700000000000001</v>
      </c>
      <c r="AL62" s="319"/>
      <c r="AM62" s="319"/>
      <c r="AN62" s="319"/>
      <c r="AO62" s="319">
        <v>2.2290000000000001</v>
      </c>
      <c r="AP62" s="319">
        <v>1.4999999999999999E-2</v>
      </c>
      <c r="AQ62" s="319">
        <f>0.449*1.5</f>
        <v>0.67349999999999999</v>
      </c>
      <c r="AR62" s="319">
        <f>0.449*6</f>
        <v>2.694</v>
      </c>
      <c r="AS62" s="319">
        <f>0.449*3</f>
        <v>1.347</v>
      </c>
      <c r="AT62" s="319"/>
      <c r="AU62" s="319">
        <f>0.469*2</f>
        <v>0.93799999999999994</v>
      </c>
      <c r="AV62" s="319">
        <f>0.405*2.4</f>
        <v>0.97199999999999998</v>
      </c>
      <c r="AW62" s="319">
        <v>1.512</v>
      </c>
      <c r="AX62" s="319">
        <f>2.026/5*3</f>
        <v>1.2155999999999998</v>
      </c>
      <c r="AY62" s="319">
        <f>2.026/5*2</f>
        <v>0.8103999999999999</v>
      </c>
      <c r="AZ62" s="319">
        <v>0.252</v>
      </c>
      <c r="BA62" s="319">
        <v>3.5000000000000003E-2</v>
      </c>
      <c r="BB62" s="319">
        <v>8.1000000000000003E-2</v>
      </c>
      <c r="BC62" s="319">
        <f>0.151*4</f>
        <v>0.60399999999999998</v>
      </c>
      <c r="BD62" s="319">
        <f>0.161*4</f>
        <v>0.64400000000000002</v>
      </c>
      <c r="BE62" s="319">
        <f>0.469*2</f>
        <v>0.93799999999999994</v>
      </c>
      <c r="BF62" s="319">
        <f>0.151*3</f>
        <v>0.45299999999999996</v>
      </c>
      <c r="BG62" s="158">
        <f t="shared" si="21"/>
        <v>29.594583333333325</v>
      </c>
      <c r="BH62" s="112"/>
      <c r="BI62" s="833">
        <v>0.30199999999999999</v>
      </c>
      <c r="BJ62" s="319">
        <v>0.252</v>
      </c>
      <c r="BK62" s="319">
        <v>2.5000000000000001E-2</v>
      </c>
      <c r="BL62" s="319">
        <f>0.161*4</f>
        <v>0.64400000000000002</v>
      </c>
      <c r="BM62" s="319"/>
      <c r="BN62" s="319">
        <f>0.101*5</f>
        <v>0.505</v>
      </c>
      <c r="BO62" s="319">
        <f>0.151*1.5</f>
        <v>0.22649999999999998</v>
      </c>
      <c r="BP62" s="319">
        <v>0.23899999999999999</v>
      </c>
      <c r="BQ62" s="319"/>
      <c r="BR62" s="319">
        <v>0.151</v>
      </c>
      <c r="BS62" s="319">
        <v>1.3460000000000001</v>
      </c>
      <c r="BT62" s="319">
        <f>0.937/2*0.8</f>
        <v>0.37480000000000002</v>
      </c>
      <c r="BU62" s="319">
        <f>0.151*1.5</f>
        <v>0.22649999999999998</v>
      </c>
      <c r="BV62" s="319">
        <f>1.346/3*2</f>
        <v>0.89733333333333343</v>
      </c>
      <c r="BW62" s="319">
        <f>0.252/0.5</f>
        <v>0.504</v>
      </c>
      <c r="BX62" s="319">
        <f>0.469*1.8</f>
        <v>0.84419999999999995</v>
      </c>
      <c r="BY62" s="319">
        <v>3.024</v>
      </c>
      <c r="BZ62" s="319">
        <v>2.5000000000000001E-2</v>
      </c>
      <c r="CA62" s="319">
        <v>2.4700000000000002</v>
      </c>
      <c r="CB62" s="319"/>
      <c r="CC62" s="319">
        <f>0.973/2.4*1.5</f>
        <v>0.60812500000000003</v>
      </c>
      <c r="CD62" s="319">
        <v>9.0999999999999998E-2</v>
      </c>
      <c r="CE62" s="319"/>
      <c r="CF62" s="319">
        <f>0.492*0.5</f>
        <v>0.246</v>
      </c>
      <c r="CG62" s="319">
        <f>1.346/3*2.4</f>
        <v>1.0768</v>
      </c>
      <c r="CH62" s="319">
        <f>0.151</f>
        <v>0.151</v>
      </c>
      <c r="CI62" s="319">
        <v>0.71799999999999997</v>
      </c>
      <c r="CJ62" s="319"/>
      <c r="CK62" s="319">
        <f>0.405*5.5</f>
        <v>2.2275</v>
      </c>
      <c r="CL62" s="319">
        <f>0.227/1.5*2.5</f>
        <v>0.37833333333333335</v>
      </c>
      <c r="CM62" s="319">
        <v>0.73799999999999999</v>
      </c>
      <c r="CN62" s="319">
        <f>0.488*2.5</f>
        <v>1.22</v>
      </c>
      <c r="CO62" s="319"/>
      <c r="CP62" s="319">
        <v>0.39300000000000002</v>
      </c>
      <c r="CQ62" s="365">
        <f>0.469*1.5</f>
        <v>0.70350000000000001</v>
      </c>
      <c r="CR62" s="419">
        <f t="shared" si="22"/>
        <v>20.607591666666664</v>
      </c>
      <c r="CS62" s="57"/>
      <c r="CT62" s="319"/>
      <c r="CU62" s="319"/>
      <c r="CV62" s="319">
        <v>0.20200000000000001</v>
      </c>
      <c r="CW62" s="319"/>
      <c r="CX62" s="319">
        <f>0.151*5</f>
        <v>0.755</v>
      </c>
      <c r="CY62" s="319">
        <f>0.469*2</f>
        <v>0.93799999999999994</v>
      </c>
      <c r="CZ62" s="319">
        <f>0.151*3.8</f>
        <v>0.57379999999999998</v>
      </c>
      <c r="DA62" s="319"/>
      <c r="DB62" s="319"/>
      <c r="DC62" s="319">
        <v>1.216</v>
      </c>
      <c r="DD62" s="319">
        <v>0.47899999999999998</v>
      </c>
      <c r="DE62" s="319">
        <f>0.05*0.5</f>
        <v>2.5000000000000001E-2</v>
      </c>
      <c r="DF62" s="319">
        <v>1.4999999999999999E-2</v>
      </c>
      <c r="DG62" s="319">
        <f>0.151*4</f>
        <v>0.60399999999999998</v>
      </c>
      <c r="DH62" s="319">
        <f>0.469</f>
        <v>0.46899999999999997</v>
      </c>
      <c r="DI62" s="319">
        <f>0.151*7</f>
        <v>1.0569999999999999</v>
      </c>
      <c r="DJ62" s="319">
        <f>0.05*0.6</f>
        <v>0.03</v>
      </c>
      <c r="DK62" s="319">
        <v>0.05</v>
      </c>
      <c r="DL62" s="319">
        <f>0.479*0.3</f>
        <v>0.14369999999999999</v>
      </c>
      <c r="DM62" s="319">
        <v>1.512</v>
      </c>
      <c r="DN62" s="319"/>
      <c r="DO62" s="319">
        <v>0.151</v>
      </c>
      <c r="DP62" s="319">
        <f>2.691/6*3</f>
        <v>1.3454999999999999</v>
      </c>
      <c r="DQ62" s="319"/>
      <c r="DR62" s="319">
        <f>0.469*3.3</f>
        <v>1.5476999999999999</v>
      </c>
      <c r="DS62" s="319">
        <v>0.151</v>
      </c>
      <c r="DT62" s="245">
        <f>0.136/0.9*0.6</f>
        <v>9.0666666666666659E-2</v>
      </c>
      <c r="DU62" s="271"/>
      <c r="DV62" s="177">
        <f>0.504*2</f>
        <v>1.008</v>
      </c>
      <c r="DW62" s="177">
        <f>10.08*4</f>
        <v>40.32</v>
      </c>
      <c r="DX62" s="319"/>
      <c r="DY62" s="319">
        <f>0.151*5</f>
        <v>0.755</v>
      </c>
      <c r="DZ62" s="319">
        <f>0.488*2.6</f>
        <v>1.2687999999999999</v>
      </c>
      <c r="EA62" s="319">
        <f>0.405*4</f>
        <v>1.62</v>
      </c>
      <c r="EB62" s="319">
        <v>0.39300000000000002</v>
      </c>
      <c r="EC62" s="319">
        <v>0.67300000000000004</v>
      </c>
      <c r="ED62" s="319">
        <v>0.21099999999999999</v>
      </c>
      <c r="EE62" s="319">
        <f>0.405*2.2</f>
        <v>0.89100000000000013</v>
      </c>
      <c r="EF62" s="319">
        <f>0.469*0.8</f>
        <v>0.37519999999999998</v>
      </c>
      <c r="EG62" s="319">
        <f>0.449*4</f>
        <v>1.796</v>
      </c>
      <c r="EH62" s="319">
        <f>0.151*4</f>
        <v>0.60399999999999998</v>
      </c>
      <c r="EI62" s="319">
        <f>0.151*2</f>
        <v>0.30199999999999999</v>
      </c>
      <c r="EJ62" s="319">
        <v>0.504</v>
      </c>
      <c r="EK62" s="245">
        <f>0.469</f>
        <v>0.46899999999999997</v>
      </c>
      <c r="EL62" s="466">
        <f>0.151*1.3</f>
        <v>0.1963</v>
      </c>
      <c r="EM62" s="319">
        <f>0.151*4.2</f>
        <v>0.63419999999999999</v>
      </c>
      <c r="EN62" s="319">
        <f>0.151*2</f>
        <v>0.30199999999999999</v>
      </c>
      <c r="EO62" s="319"/>
      <c r="EP62" s="319"/>
      <c r="EQ62" s="319">
        <f>0.469</f>
        <v>0.46899999999999997</v>
      </c>
      <c r="ER62" s="319">
        <v>0.151</v>
      </c>
      <c r="ES62" s="319">
        <v>1.216</v>
      </c>
      <c r="ET62" s="319">
        <f>0.469</f>
        <v>0.46899999999999997</v>
      </c>
      <c r="EU62" s="319">
        <f>1.077/2.4</f>
        <v>0.44874999999999998</v>
      </c>
      <c r="EV62" s="319">
        <f>0.05*2</f>
        <v>0.1</v>
      </c>
      <c r="EW62" s="319">
        <f>0.227/1.5</f>
        <v>0.15133333333333335</v>
      </c>
      <c r="EX62" s="319">
        <f>1.077/2.4*2</f>
        <v>0.89749999999999996</v>
      </c>
      <c r="EY62" s="319">
        <v>0.151</v>
      </c>
      <c r="EZ62" s="319">
        <f>0.469*1.5</f>
        <v>0.70350000000000001</v>
      </c>
      <c r="FA62" s="319">
        <v>0.97299999999999998</v>
      </c>
      <c r="FB62" s="319">
        <v>0.25700000000000001</v>
      </c>
      <c r="FC62" s="319">
        <f>0.181/1.2*0.6</f>
        <v>9.0500000000000011E-2</v>
      </c>
      <c r="FD62" s="319">
        <f>0.136/0.9*0.6</f>
        <v>9.0666666666666659E-2</v>
      </c>
      <c r="FE62" s="319"/>
      <c r="FF62" s="319"/>
      <c r="FG62" s="319"/>
      <c r="FH62" s="319">
        <f>1.512*1.5</f>
        <v>2.2679999999999998</v>
      </c>
      <c r="FI62" s="158">
        <f t="shared" si="23"/>
        <v>72.114116666666632</v>
      </c>
      <c r="FJ62" s="113"/>
      <c r="FK62" s="374"/>
      <c r="FL62" s="319"/>
      <c r="FM62" s="319"/>
      <c r="FN62" s="319"/>
      <c r="FO62" s="319"/>
      <c r="FP62" s="319"/>
      <c r="FQ62" s="319"/>
      <c r="FR62" s="319"/>
      <c r="FS62" s="319"/>
      <c r="FT62" s="319"/>
      <c r="FU62" s="319"/>
      <c r="FV62" s="319"/>
      <c r="FW62" s="319"/>
      <c r="FX62" s="319"/>
      <c r="FY62" s="28"/>
      <c r="FZ62" s="270"/>
      <c r="GA62" s="271"/>
      <c r="GB62" s="177"/>
      <c r="GC62" s="177"/>
      <c r="GD62" s="177"/>
      <c r="GE62" s="806"/>
      <c r="GF62" s="437"/>
      <c r="GG62" s="327">
        <f t="shared" si="24"/>
        <v>0</v>
      </c>
      <c r="GH62" s="445">
        <f t="shared" si="25"/>
        <v>93.622</v>
      </c>
      <c r="GI62" s="605">
        <f t="shared" si="26"/>
        <v>93.622</v>
      </c>
      <c r="GJ62" s="627">
        <f t="shared" si="27"/>
        <v>46.237000000000002</v>
      </c>
      <c r="GK62" s="239">
        <f t="shared" si="28"/>
        <v>20.57</v>
      </c>
      <c r="GL62" s="36" t="str">
        <f t="shared" si="29"/>
        <v>Оксикап</v>
      </c>
      <c r="GM62" s="41"/>
      <c r="GN62" s="22"/>
      <c r="GO62" s="22"/>
    </row>
    <row r="63" spans="1:198" x14ac:dyDescent="0.3">
      <c r="A63" s="127">
        <f t="shared" si="31"/>
        <v>51</v>
      </c>
      <c r="B63" s="877" t="s">
        <v>444</v>
      </c>
      <c r="C63" s="565"/>
      <c r="D63" s="748">
        <v>0</v>
      </c>
      <c r="E63" s="748">
        <v>0</v>
      </c>
      <c r="F63" s="889">
        <v>0</v>
      </c>
      <c r="G63" s="299">
        <v>0</v>
      </c>
      <c r="H63" s="109">
        <v>0</v>
      </c>
      <c r="I63" s="879">
        <v>20</v>
      </c>
      <c r="J63" s="112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19"/>
      <c r="AN63" s="319"/>
      <c r="AO63" s="319"/>
      <c r="AP63" s="319"/>
      <c r="AQ63" s="319"/>
      <c r="AR63" s="319"/>
      <c r="AS63" s="319"/>
      <c r="AT63" s="319"/>
      <c r="AU63" s="319"/>
      <c r="AV63" s="319"/>
      <c r="AW63" s="319"/>
      <c r="AX63" s="319"/>
      <c r="AY63" s="319"/>
      <c r="AZ63" s="319"/>
      <c r="BA63" s="319"/>
      <c r="BB63" s="319"/>
      <c r="BC63" s="319"/>
      <c r="BD63" s="319"/>
      <c r="BE63" s="319"/>
      <c r="BF63" s="319"/>
      <c r="BG63" s="158"/>
      <c r="BH63" s="112"/>
      <c r="BI63" s="833"/>
      <c r="BJ63" s="319"/>
      <c r="BK63" s="319"/>
      <c r="BL63" s="319"/>
      <c r="BM63" s="319"/>
      <c r="BN63" s="319"/>
      <c r="BO63" s="319"/>
      <c r="BP63" s="319"/>
      <c r="BQ63" s="319"/>
      <c r="BR63" s="319"/>
      <c r="BS63" s="319"/>
      <c r="BT63" s="319"/>
      <c r="BU63" s="319"/>
      <c r="BV63" s="319"/>
      <c r="BW63" s="319"/>
      <c r="BX63" s="319"/>
      <c r="BY63" s="319"/>
      <c r="BZ63" s="319"/>
      <c r="CA63" s="319"/>
      <c r="CB63" s="319"/>
      <c r="CC63" s="319"/>
      <c r="CD63" s="319"/>
      <c r="CE63" s="319"/>
      <c r="CF63" s="319"/>
      <c r="CG63" s="319"/>
      <c r="CH63" s="319"/>
      <c r="CI63" s="319"/>
      <c r="CJ63" s="319"/>
      <c r="CK63" s="319"/>
      <c r="CL63" s="319"/>
      <c r="CM63" s="319"/>
      <c r="CN63" s="319"/>
      <c r="CO63" s="319"/>
      <c r="CP63" s="319"/>
      <c r="CQ63" s="365"/>
      <c r="CR63" s="419"/>
      <c r="CS63" s="57"/>
      <c r="CT63" s="319"/>
      <c r="CU63" s="319"/>
      <c r="CV63" s="319"/>
      <c r="CW63" s="319"/>
      <c r="CX63" s="319"/>
      <c r="CY63" s="319"/>
      <c r="CZ63" s="319"/>
      <c r="DA63" s="319"/>
      <c r="DB63" s="319"/>
      <c r="DC63" s="319"/>
      <c r="DD63" s="319"/>
      <c r="DE63" s="319"/>
      <c r="DF63" s="319"/>
      <c r="DG63" s="319"/>
      <c r="DH63" s="319"/>
      <c r="DI63" s="319"/>
      <c r="DJ63" s="319"/>
      <c r="DK63" s="319"/>
      <c r="DL63" s="319"/>
      <c r="DM63" s="319"/>
      <c r="DN63" s="319"/>
      <c r="DO63" s="319"/>
      <c r="DP63" s="319"/>
      <c r="DQ63" s="319"/>
      <c r="DR63" s="319"/>
      <c r="DS63" s="319"/>
      <c r="DT63" s="245"/>
      <c r="DU63" s="271"/>
      <c r="DV63" s="177"/>
      <c r="DW63" s="177"/>
      <c r="DX63" s="319"/>
      <c r="DY63" s="319"/>
      <c r="DZ63" s="319"/>
      <c r="EA63" s="319"/>
      <c r="EB63" s="319"/>
      <c r="EC63" s="319"/>
      <c r="ED63" s="319"/>
      <c r="EE63" s="319"/>
      <c r="EF63" s="319"/>
      <c r="EG63" s="319"/>
      <c r="EH63" s="319"/>
      <c r="EI63" s="319"/>
      <c r="EJ63" s="319"/>
      <c r="EK63" s="245"/>
      <c r="EL63" s="466"/>
      <c r="EM63" s="319"/>
      <c r="EN63" s="319"/>
      <c r="EO63" s="319"/>
      <c r="EP63" s="319"/>
      <c r="EQ63" s="319"/>
      <c r="ER63" s="319"/>
      <c r="ES63" s="319"/>
      <c r="ET63" s="319"/>
      <c r="EU63" s="319"/>
      <c r="EV63" s="319"/>
      <c r="EW63" s="319"/>
      <c r="EX63" s="319"/>
      <c r="EY63" s="319"/>
      <c r="EZ63" s="319"/>
      <c r="FA63" s="319"/>
      <c r="FB63" s="319"/>
      <c r="FC63" s="319"/>
      <c r="FD63" s="319"/>
      <c r="FE63" s="319"/>
      <c r="FF63" s="319"/>
      <c r="FG63" s="319"/>
      <c r="FH63" s="319"/>
      <c r="FI63" s="158"/>
      <c r="FJ63" s="113"/>
      <c r="FK63" s="374"/>
      <c r="FL63" s="319"/>
      <c r="FM63" s="319"/>
      <c r="FN63" s="319"/>
      <c r="FO63" s="319"/>
      <c r="FP63" s="319"/>
      <c r="FQ63" s="319"/>
      <c r="FR63" s="319"/>
      <c r="FS63" s="319"/>
      <c r="FT63" s="319"/>
      <c r="FU63" s="319"/>
      <c r="FV63" s="319"/>
      <c r="FW63" s="319"/>
      <c r="FX63" s="319"/>
      <c r="FY63" s="28"/>
      <c r="FZ63" s="270"/>
      <c r="GA63" s="271"/>
      <c r="GB63" s="177"/>
      <c r="GC63" s="177"/>
      <c r="GD63" s="177"/>
      <c r="GE63" s="806"/>
      <c r="GF63" s="437"/>
      <c r="GG63" s="327"/>
      <c r="GH63" s="445">
        <f t="shared" si="25"/>
        <v>20</v>
      </c>
      <c r="GI63" s="605">
        <f t="shared" ref="GI63" si="32">I63</f>
        <v>20</v>
      </c>
      <c r="GJ63" s="627">
        <f t="shared" ref="GJ63" si="33">C63</f>
        <v>0</v>
      </c>
      <c r="GK63" s="239">
        <f t="shared" ref="GK63" si="34">E63</f>
        <v>0</v>
      </c>
      <c r="GL63" s="36" t="str">
        <f t="shared" si="29"/>
        <v>Олеобиотик</v>
      </c>
      <c r="GM63" s="41"/>
      <c r="GN63" s="22"/>
      <c r="GO63" s="22"/>
    </row>
    <row r="64" spans="1:198" x14ac:dyDescent="0.3">
      <c r="A64" s="127">
        <f t="shared" si="31"/>
        <v>52</v>
      </c>
      <c r="B64" s="791" t="s">
        <v>139</v>
      </c>
      <c r="C64" s="565">
        <f>'3_квартал'!G63</f>
        <v>612.64</v>
      </c>
      <c r="D64" s="748">
        <v>0</v>
      </c>
      <c r="E64" s="748">
        <v>0</v>
      </c>
      <c r="F64" s="889">
        <v>82.93</v>
      </c>
      <c r="G64" s="878">
        <f t="shared" si="9"/>
        <v>27.643000000000001</v>
      </c>
      <c r="H64" s="370">
        <v>82.93</v>
      </c>
      <c r="I64" s="370">
        <v>0</v>
      </c>
      <c r="J64" s="371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319"/>
      <c r="AQ64" s="319"/>
      <c r="AR64" s="319"/>
      <c r="AS64" s="319"/>
      <c r="AT64" s="319"/>
      <c r="AU64" s="319"/>
      <c r="AV64" s="319"/>
      <c r="AW64" s="319"/>
      <c r="AX64" s="319"/>
      <c r="AY64" s="319"/>
      <c r="AZ64" s="319"/>
      <c r="BA64" s="319"/>
      <c r="BB64" s="319"/>
      <c r="BC64" s="319"/>
      <c r="BD64" s="319"/>
      <c r="BE64" s="319"/>
      <c r="BF64" s="319"/>
      <c r="BG64" s="158">
        <f t="shared" si="21"/>
        <v>0</v>
      </c>
      <c r="BH64" s="371"/>
      <c r="BI64" s="833"/>
      <c r="BJ64" s="319"/>
      <c r="BK64" s="319"/>
      <c r="BL64" s="319"/>
      <c r="BM64" s="319"/>
      <c r="BN64" s="319"/>
      <c r="BO64" s="319"/>
      <c r="BP64" s="319"/>
      <c r="BQ64" s="319"/>
      <c r="BR64" s="319"/>
      <c r="BS64" s="319"/>
      <c r="BT64" s="319"/>
      <c r="BU64" s="319"/>
      <c r="BV64" s="319"/>
      <c r="BW64" s="319"/>
      <c r="BX64" s="319"/>
      <c r="BY64" s="319"/>
      <c r="BZ64" s="319"/>
      <c r="CA64" s="319"/>
      <c r="CB64" s="319"/>
      <c r="CC64" s="319"/>
      <c r="CD64" s="319"/>
      <c r="CE64" s="319"/>
      <c r="CF64" s="319"/>
      <c r="CG64" s="319"/>
      <c r="CH64" s="319"/>
      <c r="CI64" s="319"/>
      <c r="CJ64" s="319"/>
      <c r="CK64" s="319"/>
      <c r="CL64" s="319"/>
      <c r="CM64" s="319"/>
      <c r="CN64" s="319"/>
      <c r="CO64" s="319"/>
      <c r="CP64" s="319"/>
      <c r="CQ64" s="365"/>
      <c r="CR64" s="419">
        <f t="shared" si="22"/>
        <v>0</v>
      </c>
      <c r="CS64" s="372"/>
      <c r="CT64" s="319"/>
      <c r="CU64" s="319"/>
      <c r="CV64" s="319"/>
      <c r="CW64" s="319"/>
      <c r="CX64" s="319"/>
      <c r="CY64" s="319"/>
      <c r="CZ64" s="319"/>
      <c r="DA64" s="319"/>
      <c r="DB64" s="319"/>
      <c r="DC64" s="319"/>
      <c r="DD64" s="319"/>
      <c r="DE64" s="319"/>
      <c r="DF64" s="319"/>
      <c r="DG64" s="319"/>
      <c r="DH64" s="319"/>
      <c r="DI64" s="319"/>
      <c r="DJ64" s="319"/>
      <c r="DK64" s="319"/>
      <c r="DL64" s="319"/>
      <c r="DM64" s="319"/>
      <c r="DN64" s="319"/>
      <c r="DO64" s="319"/>
      <c r="DP64" s="319"/>
      <c r="DQ64" s="319"/>
      <c r="DR64" s="319"/>
      <c r="DS64" s="319"/>
      <c r="DT64" s="245"/>
      <c r="DU64" s="355"/>
      <c r="DV64" s="326"/>
      <c r="DW64" s="326"/>
      <c r="DX64" s="319"/>
      <c r="DY64" s="319"/>
      <c r="DZ64" s="319"/>
      <c r="EA64" s="319"/>
      <c r="EB64" s="319"/>
      <c r="EC64" s="319"/>
      <c r="ED64" s="319"/>
      <c r="EE64" s="319"/>
      <c r="EF64" s="319"/>
      <c r="EG64" s="319"/>
      <c r="EH64" s="319"/>
      <c r="EI64" s="319"/>
      <c r="EJ64" s="319"/>
      <c r="EK64" s="245"/>
      <c r="EL64" s="466">
        <f>60.48*1.3</f>
        <v>78.623999999999995</v>
      </c>
      <c r="EM64" s="319"/>
      <c r="EN64" s="319"/>
      <c r="EO64" s="319"/>
      <c r="EP64" s="319"/>
      <c r="EQ64" s="319"/>
      <c r="ER64" s="319"/>
      <c r="ES64" s="319"/>
      <c r="ET64" s="319"/>
      <c r="EU64" s="319"/>
      <c r="EV64" s="319"/>
      <c r="EW64" s="319"/>
      <c r="EX64" s="319"/>
      <c r="EY64" s="319"/>
      <c r="EZ64" s="319"/>
      <c r="FA64" s="319"/>
      <c r="FB64" s="319">
        <v>4.3099999999999996</v>
      </c>
      <c r="FC64" s="319"/>
      <c r="FD64" s="319"/>
      <c r="FE64" s="319"/>
      <c r="FF64" s="319"/>
      <c r="FG64" s="319"/>
      <c r="FH64" s="319"/>
      <c r="FI64" s="158">
        <f t="shared" si="23"/>
        <v>82.933999999999997</v>
      </c>
      <c r="FJ64" s="373"/>
      <c r="FK64" s="374"/>
      <c r="FL64" s="319"/>
      <c r="FM64" s="319"/>
      <c r="FN64" s="319"/>
      <c r="FO64" s="319"/>
      <c r="FP64" s="319"/>
      <c r="FQ64" s="319"/>
      <c r="FR64" s="319"/>
      <c r="FS64" s="319"/>
      <c r="FT64" s="319"/>
      <c r="FU64" s="319"/>
      <c r="FV64" s="319"/>
      <c r="FW64" s="319"/>
      <c r="FX64" s="319"/>
      <c r="FY64" s="365"/>
      <c r="FZ64" s="375"/>
      <c r="GA64" s="355"/>
      <c r="GB64" s="326"/>
      <c r="GC64" s="326"/>
      <c r="GD64" s="326"/>
      <c r="GE64" s="807"/>
      <c r="GF64" s="435"/>
      <c r="GG64" s="376">
        <f t="shared" si="24"/>
        <v>0</v>
      </c>
      <c r="GH64" s="445">
        <f t="shared" si="25"/>
        <v>0</v>
      </c>
      <c r="GI64" s="605">
        <f t="shared" si="26"/>
        <v>0</v>
      </c>
      <c r="GJ64" s="627">
        <f t="shared" si="27"/>
        <v>612.64</v>
      </c>
      <c r="GK64" s="239">
        <f t="shared" si="28"/>
        <v>0</v>
      </c>
      <c r="GL64" s="377" t="str">
        <f t="shared" si="29"/>
        <v>МеноМет</v>
      </c>
      <c r="GM64" s="378"/>
      <c r="GN64" s="750"/>
      <c r="GO64" s="750"/>
      <c r="GP64" s="167"/>
    </row>
    <row r="65" spans="1:197" x14ac:dyDescent="0.3">
      <c r="A65" s="127">
        <f t="shared" si="20"/>
        <v>53</v>
      </c>
      <c r="B65" s="280" t="s">
        <v>31</v>
      </c>
      <c r="C65" s="565">
        <f>'3_квартал'!G64</f>
        <v>3012.8969999999999</v>
      </c>
      <c r="D65" s="346">
        <f>3014.54+999+392.97</f>
        <v>4406.51</v>
      </c>
      <c r="E65" s="241">
        <f>1480.79</f>
        <v>1480.79</v>
      </c>
      <c r="F65" s="889">
        <f>1725.24+400+1515.55</f>
        <v>3640.79</v>
      </c>
      <c r="G65" s="299">
        <f t="shared" si="9"/>
        <v>3176.03</v>
      </c>
      <c r="H65" s="93">
        <f>125.24+1000+1000+1999</f>
        <v>4124.24</v>
      </c>
      <c r="I65" s="93">
        <f>483.45+25+2974</f>
        <v>3482.45</v>
      </c>
      <c r="J65" s="94"/>
      <c r="K65" s="319"/>
      <c r="L65" s="319">
        <f>30.24*5</f>
        <v>151.19999999999999</v>
      </c>
      <c r="M65" s="319"/>
      <c r="N65" s="319"/>
      <c r="O65" s="319"/>
      <c r="P65" s="319">
        <f>30.24*2</f>
        <v>60.48</v>
      </c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>
        <f>3427.2/20*1.7</f>
        <v>291.31199999999995</v>
      </c>
      <c r="AB65" s="319">
        <f>0.068*0.5</f>
        <v>3.4000000000000002E-2</v>
      </c>
      <c r="AC65" s="319">
        <f>3427.2/20*9</f>
        <v>1542.2399999999998</v>
      </c>
      <c r="AD65" s="319">
        <f>3427.2/20*9.3</f>
        <v>1593.6479999999999</v>
      </c>
      <c r="AE65" s="319"/>
      <c r="AF65" s="319"/>
      <c r="AG65" s="319">
        <f>0.605/0.3*0.4</f>
        <v>0.80666666666666664</v>
      </c>
      <c r="AH65" s="319"/>
      <c r="AI65" s="319"/>
      <c r="AJ65" s="319">
        <f>25.2*1.5</f>
        <v>37.799999999999997</v>
      </c>
      <c r="AK65" s="319"/>
      <c r="AL65" s="319">
        <v>15.12</v>
      </c>
      <c r="AM65" s="319">
        <v>2.016</v>
      </c>
      <c r="AN65" s="319">
        <v>1.21</v>
      </c>
      <c r="AO65" s="319"/>
      <c r="AP65" s="319"/>
      <c r="AQ65" s="319"/>
      <c r="AR65" s="319"/>
      <c r="AS65" s="319"/>
      <c r="AT65" s="319">
        <f>504/10*6</f>
        <v>302.39999999999998</v>
      </c>
      <c r="AU65" s="319"/>
      <c r="AV65" s="319"/>
      <c r="AW65" s="319">
        <v>15.12</v>
      </c>
      <c r="AX65" s="319"/>
      <c r="AY65" s="319"/>
      <c r="AZ65" s="319">
        <v>46.368000000000002</v>
      </c>
      <c r="BA65" s="319">
        <v>70.56</v>
      </c>
      <c r="BB65" s="319">
        <v>64.512</v>
      </c>
      <c r="BC65" s="319">
        <f>30.24*4</f>
        <v>120.96</v>
      </c>
      <c r="BD65" s="319"/>
      <c r="BE65" s="319"/>
      <c r="BF65" s="319">
        <f>30.24*3</f>
        <v>90.72</v>
      </c>
      <c r="BG65" s="158">
        <f t="shared" si="21"/>
        <v>4406.5066666666671</v>
      </c>
      <c r="BH65" s="94"/>
      <c r="BI65" s="833">
        <v>1.21</v>
      </c>
      <c r="BJ65" s="319"/>
      <c r="BK65" s="319">
        <v>10.08</v>
      </c>
      <c r="BL65" s="319"/>
      <c r="BM65" s="319">
        <f>70.56*5</f>
        <v>352.8</v>
      </c>
      <c r="BN65" s="319"/>
      <c r="BO65" s="319"/>
      <c r="BP65" s="319"/>
      <c r="BQ65" s="319">
        <f>2.016/0.6</f>
        <v>3.3600000000000003</v>
      </c>
      <c r="BR65" s="319"/>
      <c r="BS65" s="319"/>
      <c r="BT65" s="319"/>
      <c r="BU65" s="319"/>
      <c r="BV65" s="319"/>
      <c r="BW65" s="319">
        <f>46.368/0.5</f>
        <v>92.736000000000004</v>
      </c>
      <c r="BX65" s="319"/>
      <c r="BY65" s="319">
        <v>40.32</v>
      </c>
      <c r="BZ65" s="319">
        <v>10.08</v>
      </c>
      <c r="CA65" s="319"/>
      <c r="CB65" s="319">
        <f>70.56*5</f>
        <v>352.8</v>
      </c>
      <c r="CC65" s="319"/>
      <c r="CD65" s="319"/>
      <c r="CE65" s="319">
        <f>70.56*5</f>
        <v>352.8</v>
      </c>
      <c r="CF65" s="319"/>
      <c r="CG65" s="319"/>
      <c r="CH65" s="319"/>
      <c r="CI65" s="319"/>
      <c r="CJ65" s="319">
        <v>201.6</v>
      </c>
      <c r="CK65" s="319"/>
      <c r="CL65" s="319">
        <f>37.8/1.5*2.5</f>
        <v>63</v>
      </c>
      <c r="CM65" s="319"/>
      <c r="CN65" s="319"/>
      <c r="CO65" s="319"/>
      <c r="CP65" s="319"/>
      <c r="CQ65" s="365"/>
      <c r="CR65" s="419">
        <f t="shared" si="22"/>
        <v>1480.7859999999998</v>
      </c>
      <c r="CS65" s="57"/>
      <c r="CT65" s="319">
        <f>705.6/10*8</f>
        <v>564.48</v>
      </c>
      <c r="CU65" s="319">
        <f>705.6/10*2</f>
        <v>141.12</v>
      </c>
      <c r="CV65" s="319">
        <v>0.80600000000000005</v>
      </c>
      <c r="CW65" s="319">
        <v>15.12</v>
      </c>
      <c r="CX65" s="319"/>
      <c r="CY65" s="319"/>
      <c r="CZ65" s="319">
        <f>30.24*3.8</f>
        <v>114.91199999999999</v>
      </c>
      <c r="DA65" s="319">
        <f>2116.8/15*3.7</f>
        <v>522.14400000000001</v>
      </c>
      <c r="DB65" s="319">
        <f>2116.8/15*5.5</f>
        <v>776.16000000000008</v>
      </c>
      <c r="DC65" s="319"/>
      <c r="DD65" s="319"/>
      <c r="DE65" s="319">
        <f>20.16*0.5</f>
        <v>10.08</v>
      </c>
      <c r="DF65" s="319"/>
      <c r="DG65" s="319"/>
      <c r="DH65" s="319"/>
      <c r="DI65" s="319">
        <f>30.24*7</f>
        <v>211.67999999999998</v>
      </c>
      <c r="DJ65" s="319">
        <f>100.8*0.6</f>
        <v>60.48</v>
      </c>
      <c r="DK65" s="319">
        <v>40.32</v>
      </c>
      <c r="DL65" s="319"/>
      <c r="DM65" s="319">
        <v>15.12</v>
      </c>
      <c r="DN65" s="319"/>
      <c r="DO65" s="319"/>
      <c r="DP65" s="319"/>
      <c r="DQ65" s="319">
        <f>2116.8/15*5.8</f>
        <v>818.49599999999998</v>
      </c>
      <c r="DR65" s="319"/>
      <c r="DS65" s="319"/>
      <c r="DT65" s="245"/>
      <c r="DU65" s="271">
        <f>5.04*8</f>
        <v>40.32</v>
      </c>
      <c r="DV65" s="177">
        <f>0.504*2</f>
        <v>1.008</v>
      </c>
      <c r="DW65" s="177"/>
      <c r="DX65" s="319"/>
      <c r="DY65" s="319"/>
      <c r="DZ65" s="319"/>
      <c r="EA65" s="319"/>
      <c r="EB65" s="319"/>
      <c r="EC65" s="319"/>
      <c r="ED65" s="319"/>
      <c r="EE65" s="319"/>
      <c r="EF65" s="319"/>
      <c r="EG65" s="319"/>
      <c r="EH65" s="319"/>
      <c r="EI65" s="319"/>
      <c r="EJ65" s="319"/>
      <c r="EK65" s="245"/>
      <c r="EL65" s="466">
        <f>25.2*1.3</f>
        <v>32.76</v>
      </c>
      <c r="EM65" s="319">
        <f>30.24*4.2</f>
        <v>127.008</v>
      </c>
      <c r="EN65" s="319">
        <f>30.24*2</f>
        <v>60.48</v>
      </c>
      <c r="EO65" s="319">
        <f>2.016</f>
        <v>2.016</v>
      </c>
      <c r="EP65" s="319">
        <v>1.3440000000000001</v>
      </c>
      <c r="EQ65" s="319"/>
      <c r="ER65" s="319"/>
      <c r="ES65" s="319"/>
      <c r="ET65" s="319"/>
      <c r="EU65" s="319"/>
      <c r="EV65" s="319"/>
      <c r="EW65" s="319">
        <f>60.48/1.5</f>
        <v>40.32</v>
      </c>
      <c r="EX65" s="319"/>
      <c r="EY65" s="319"/>
      <c r="EZ65" s="319"/>
      <c r="FA65" s="319"/>
      <c r="FB65" s="319">
        <v>42.84</v>
      </c>
      <c r="FC65" s="319"/>
      <c r="FD65" s="319"/>
      <c r="FE65" s="319">
        <v>1.21</v>
      </c>
      <c r="FF65" s="319">
        <f>0.059*2</f>
        <v>0.11799999999999999</v>
      </c>
      <c r="FG65" s="319">
        <f>0.029*2</f>
        <v>5.8000000000000003E-2</v>
      </c>
      <c r="FH65" s="319">
        <f>0.252*1.5</f>
        <v>0.378</v>
      </c>
      <c r="FI65" s="158">
        <f t="shared" si="23"/>
        <v>3640.7780000000007</v>
      </c>
      <c r="FJ65" s="95"/>
      <c r="FK65" s="374"/>
      <c r="FL65" s="319"/>
      <c r="FM65" s="319"/>
      <c r="FN65" s="319"/>
      <c r="FO65" s="319"/>
      <c r="FP65" s="319"/>
      <c r="FQ65" s="319"/>
      <c r="FR65" s="319"/>
      <c r="FS65" s="319"/>
      <c r="FT65" s="319"/>
      <c r="FU65" s="319"/>
      <c r="FV65" s="319"/>
      <c r="FW65" s="319"/>
      <c r="FX65" s="319"/>
      <c r="FY65" s="28"/>
      <c r="FZ65" s="270"/>
      <c r="GA65" s="271"/>
      <c r="GB65" s="177"/>
      <c r="GC65" s="177"/>
      <c r="GD65" s="177"/>
      <c r="GE65" s="802"/>
      <c r="GF65" s="435"/>
      <c r="GG65" s="327">
        <f t="shared" si="24"/>
        <v>0</v>
      </c>
      <c r="GH65" s="445">
        <f t="shared" si="25"/>
        <v>3482.45</v>
      </c>
      <c r="GI65" s="605">
        <f t="shared" si="26"/>
        <v>3482.45</v>
      </c>
      <c r="GJ65" s="627">
        <f t="shared" si="27"/>
        <v>3012.8969999999999</v>
      </c>
      <c r="GK65" s="239">
        <f t="shared" si="28"/>
        <v>1480.79</v>
      </c>
      <c r="GL65" s="36" t="str">
        <f t="shared" si="29"/>
        <v>Микосорб</v>
      </c>
      <c r="GM65" s="664"/>
      <c r="GN65" s="22"/>
      <c r="GO65" s="22"/>
    </row>
    <row r="66" spans="1:197" x14ac:dyDescent="0.3">
      <c r="A66" s="127">
        <f t="shared" si="20"/>
        <v>54</v>
      </c>
      <c r="B66" s="455" t="s">
        <v>41</v>
      </c>
      <c r="C66" s="565">
        <f>'3_квартал'!G65</f>
        <v>4608.5529999999999</v>
      </c>
      <c r="D66" s="346">
        <f>3456.14+2106.97</f>
        <v>5563.11</v>
      </c>
      <c r="E66" s="241">
        <v>3702.39</v>
      </c>
      <c r="F66" s="889">
        <f>4190.64+2372.2</f>
        <v>6562.84</v>
      </c>
      <c r="G66" s="299">
        <f t="shared" si="9"/>
        <v>5276.1130000000003</v>
      </c>
      <c r="H66" s="93">
        <v>4190.6400000000003</v>
      </c>
      <c r="I66" s="93">
        <f>147.8+5000</f>
        <v>5147.8</v>
      </c>
      <c r="J66" s="112"/>
      <c r="K66" s="319"/>
      <c r="L66" s="319">
        <f>24.192*5</f>
        <v>120.96000000000001</v>
      </c>
      <c r="M66" s="319"/>
      <c r="N66" s="319"/>
      <c r="O66" s="319">
        <f>132.048*3</f>
        <v>396.14400000000001</v>
      </c>
      <c r="P66" s="319">
        <f>24.192*2</f>
        <v>48.384</v>
      </c>
      <c r="Q66" s="319">
        <f>131.04*2.1</f>
        <v>275.18399999999997</v>
      </c>
      <c r="R66" s="319">
        <f>132.048*3</f>
        <v>396.14400000000001</v>
      </c>
      <c r="S66" s="319"/>
      <c r="T66" s="319">
        <f>132.048*1.5</f>
        <v>198.072</v>
      </c>
      <c r="U66" s="319"/>
      <c r="V66" s="319"/>
      <c r="W66" s="319"/>
      <c r="X66" s="319"/>
      <c r="Y66" s="319">
        <v>14.515000000000001</v>
      </c>
      <c r="Z66" s="319"/>
      <c r="AA66" s="319"/>
      <c r="AB66" s="319"/>
      <c r="AC66" s="319"/>
      <c r="AD66" s="319"/>
      <c r="AE66" s="319"/>
      <c r="AF66" s="319">
        <f>132.048*3</f>
        <v>396.14400000000001</v>
      </c>
      <c r="AG66" s="319"/>
      <c r="AH66" s="319">
        <f>393.12</f>
        <v>393.12</v>
      </c>
      <c r="AI66" s="319"/>
      <c r="AJ66" s="319">
        <f>24.192*1.5</f>
        <v>36.287999999999997</v>
      </c>
      <c r="AK66" s="319"/>
      <c r="AL66" s="319"/>
      <c r="AM66" s="319"/>
      <c r="AN66" s="319"/>
      <c r="AO66" s="319">
        <v>720.72</v>
      </c>
      <c r="AP66" s="319">
        <v>6.6150000000000002</v>
      </c>
      <c r="AQ66" s="319">
        <f>132.048*1.5</f>
        <v>198.072</v>
      </c>
      <c r="AR66" s="319">
        <f>132.048*6</f>
        <v>792.28800000000001</v>
      </c>
      <c r="AS66" s="319">
        <f>132.048*3</f>
        <v>396.14400000000001</v>
      </c>
      <c r="AT66" s="319"/>
      <c r="AU66" s="319"/>
      <c r="AV66" s="319">
        <f>131.04*2.4</f>
        <v>314.49599999999998</v>
      </c>
      <c r="AW66" s="319"/>
      <c r="AX66" s="319">
        <f>655.2/5*3</f>
        <v>393.12000000000006</v>
      </c>
      <c r="AY66" s="319">
        <f>655.2/5*2</f>
        <v>262.08000000000004</v>
      </c>
      <c r="AZ66" s="319"/>
      <c r="BA66" s="319"/>
      <c r="BB66" s="319">
        <v>35.28</v>
      </c>
      <c r="BC66" s="319">
        <f>24.192*4</f>
        <v>96.768000000000001</v>
      </c>
      <c r="BD66" s="319"/>
      <c r="BE66" s="319"/>
      <c r="BF66" s="319">
        <f>24.192*3</f>
        <v>72.575999999999993</v>
      </c>
      <c r="BG66" s="158">
        <f t="shared" si="21"/>
        <v>5563.1139999999996</v>
      </c>
      <c r="BH66" s="112"/>
      <c r="BI66" s="833"/>
      <c r="BJ66" s="319"/>
      <c r="BK66" s="319"/>
      <c r="BL66" s="319"/>
      <c r="BM66" s="319">
        <f>100.8*5</f>
        <v>504</v>
      </c>
      <c r="BN66" s="319"/>
      <c r="BO66" s="319"/>
      <c r="BP66" s="319"/>
      <c r="BQ66" s="319"/>
      <c r="BR66" s="319">
        <v>24.192</v>
      </c>
      <c r="BS66" s="319">
        <v>396.14400000000001</v>
      </c>
      <c r="BT66" s="319"/>
      <c r="BU66" s="319"/>
      <c r="BV66" s="319">
        <f>396.144/3*2</f>
        <v>264.096</v>
      </c>
      <c r="BW66" s="319"/>
      <c r="BX66" s="319"/>
      <c r="BY66" s="319"/>
      <c r="BZ66" s="319"/>
      <c r="CA66" s="319"/>
      <c r="CB66" s="319">
        <f>100.8*5</f>
        <v>504</v>
      </c>
      <c r="CC66" s="319">
        <f>314.496/2.4*1.5</f>
        <v>196.56</v>
      </c>
      <c r="CD66" s="319"/>
      <c r="CE66" s="319">
        <f>100.8*5</f>
        <v>504</v>
      </c>
      <c r="CF66" s="319"/>
      <c r="CG66" s="319">
        <f>396.144/3*2.4</f>
        <v>316.91519999999997</v>
      </c>
      <c r="CH66" s="319"/>
      <c r="CI66" s="319">
        <v>211.27699999999999</v>
      </c>
      <c r="CJ66" s="319"/>
      <c r="CK66" s="319">
        <f>131.04*5.5</f>
        <v>720.71999999999991</v>
      </c>
      <c r="CL66" s="319">
        <f>36.288/1.5*2.5</f>
        <v>60.47999999999999</v>
      </c>
      <c r="CM66" s="319"/>
      <c r="CN66" s="319"/>
      <c r="CO66" s="319"/>
      <c r="CP66" s="319"/>
      <c r="CQ66" s="365"/>
      <c r="CR66" s="419">
        <f t="shared" si="22"/>
        <v>3702.3842</v>
      </c>
      <c r="CS66" s="57"/>
      <c r="CT66" s="319">
        <f>1008/10*8</f>
        <v>806.4</v>
      </c>
      <c r="CU66" s="319">
        <f>1008/10*2</f>
        <v>201.6</v>
      </c>
      <c r="CV66" s="319"/>
      <c r="CW66" s="319"/>
      <c r="CX66" s="319"/>
      <c r="CY66" s="319"/>
      <c r="CZ66" s="319">
        <f>24.192*3.8</f>
        <v>91.929599999999994</v>
      </c>
      <c r="DA66" s="319">
        <f>1436.4/15*3.7</f>
        <v>354.31200000000001</v>
      </c>
      <c r="DB66" s="319">
        <f>1436.4/15*5.5</f>
        <v>526.68000000000006</v>
      </c>
      <c r="DC66" s="319">
        <v>393.12</v>
      </c>
      <c r="DD66" s="319"/>
      <c r="DE66" s="319"/>
      <c r="DF66" s="319">
        <v>6.6150000000000002</v>
      </c>
      <c r="DG66" s="319"/>
      <c r="DH66" s="319"/>
      <c r="DI66" s="319">
        <f>24.192*7</f>
        <v>169.34399999999999</v>
      </c>
      <c r="DJ66" s="319"/>
      <c r="DK66" s="319">
        <v>22.05</v>
      </c>
      <c r="DL66" s="319"/>
      <c r="DM66" s="319"/>
      <c r="DN66" s="319"/>
      <c r="DO66" s="319"/>
      <c r="DP66" s="319">
        <f>792.288/6*3</f>
        <v>396.14400000000001</v>
      </c>
      <c r="DQ66" s="319">
        <f>1436.4/15*5.8</f>
        <v>555.40800000000002</v>
      </c>
      <c r="DR66" s="319"/>
      <c r="DS66" s="319"/>
      <c r="DT66" s="245">
        <f>21.773/0.9*0.6</f>
        <v>14.515333333333331</v>
      </c>
      <c r="DU66" s="271"/>
      <c r="DV66" s="177"/>
      <c r="DW66" s="177"/>
      <c r="DX66" s="319"/>
      <c r="DY66" s="319"/>
      <c r="DZ66" s="319"/>
      <c r="EA66" s="319">
        <f>131.04*4</f>
        <v>524.16</v>
      </c>
      <c r="EB66" s="319"/>
      <c r="EC66" s="319">
        <v>198.072</v>
      </c>
      <c r="ED66" s="319"/>
      <c r="EE66" s="319">
        <f>131.04*2.2</f>
        <v>288.28800000000001</v>
      </c>
      <c r="EF66" s="319"/>
      <c r="EG66" s="319">
        <f>132.048*4</f>
        <v>528.19200000000001</v>
      </c>
      <c r="EH66" s="319">
        <f>24.192*4</f>
        <v>96.768000000000001</v>
      </c>
      <c r="EI66" s="319"/>
      <c r="EJ66" s="319"/>
      <c r="EK66" s="245"/>
      <c r="EL66" s="466">
        <f>24.192*1.3</f>
        <v>31.4496</v>
      </c>
      <c r="EM66" s="319">
        <f>24.192*4.2</f>
        <v>101.60640000000001</v>
      </c>
      <c r="EN66" s="319">
        <f>24.192*2</f>
        <v>48.384</v>
      </c>
      <c r="EO66" s="319"/>
      <c r="EP66" s="319"/>
      <c r="EQ66" s="319"/>
      <c r="ER66" s="319">
        <v>24.192</v>
      </c>
      <c r="ES66" s="319">
        <v>393.12</v>
      </c>
      <c r="ET66" s="319"/>
      <c r="EU66" s="319">
        <f>316.915/2.4</f>
        <v>132.04791666666668</v>
      </c>
      <c r="EV66" s="319"/>
      <c r="EW66" s="319">
        <f>36.288/1.5</f>
        <v>24.191999999999997</v>
      </c>
      <c r="EX66" s="319">
        <f>316.915/2.4*2</f>
        <v>264.09583333333336</v>
      </c>
      <c r="EY66" s="319"/>
      <c r="EZ66" s="319"/>
      <c r="FA66" s="319">
        <v>314.49599999999998</v>
      </c>
      <c r="FB66" s="319">
        <v>41.125999999999998</v>
      </c>
      <c r="FC66" s="319"/>
      <c r="FD66" s="319">
        <f>21.773/0.9*0.6</f>
        <v>14.515333333333331</v>
      </c>
      <c r="FE66" s="319"/>
      <c r="FF66" s="319"/>
      <c r="FG66" s="319"/>
      <c r="FH66" s="319"/>
      <c r="FI66" s="158">
        <f t="shared" si="23"/>
        <v>6562.8230166666672</v>
      </c>
      <c r="FJ66" s="113"/>
      <c r="FK66" s="374"/>
      <c r="FL66" s="319"/>
      <c r="FM66" s="319"/>
      <c r="FN66" s="319"/>
      <c r="FO66" s="319"/>
      <c r="FP66" s="319"/>
      <c r="FQ66" s="319"/>
      <c r="FR66" s="319"/>
      <c r="FS66" s="319"/>
      <c r="FT66" s="319"/>
      <c r="FU66" s="319"/>
      <c r="FV66" s="319"/>
      <c r="FW66" s="319"/>
      <c r="FX66" s="319"/>
      <c r="FY66" s="28"/>
      <c r="FZ66" s="270"/>
      <c r="GA66" s="271"/>
      <c r="GB66" s="177"/>
      <c r="GC66" s="177"/>
      <c r="GD66" s="177"/>
      <c r="GE66" s="802"/>
      <c r="GF66" s="435"/>
      <c r="GG66" s="327">
        <f t="shared" si="24"/>
        <v>0</v>
      </c>
      <c r="GH66" s="445">
        <f t="shared" si="25"/>
        <v>5147.8</v>
      </c>
      <c r="GI66" s="605">
        <f t="shared" si="26"/>
        <v>5147.8</v>
      </c>
      <c r="GJ66" s="627">
        <f t="shared" si="27"/>
        <v>4608.5529999999999</v>
      </c>
      <c r="GK66" s="239">
        <f t="shared" si="28"/>
        <v>3702.39</v>
      </c>
      <c r="GL66" s="36" t="str">
        <f t="shared" si="29"/>
        <v>МЕГАсодиум</v>
      </c>
      <c r="GM66" s="38"/>
      <c r="GN66" s="14"/>
      <c r="GO66" s="14"/>
    </row>
    <row r="67" spans="1:197" x14ac:dyDescent="0.3">
      <c r="A67" s="132">
        <f>A66+1</f>
        <v>55</v>
      </c>
      <c r="B67" s="283" t="s">
        <v>20</v>
      </c>
      <c r="C67" s="565">
        <f>'3_квартал'!G66</f>
        <v>0</v>
      </c>
      <c r="D67" s="241">
        <v>0</v>
      </c>
      <c r="E67" s="241">
        <v>0</v>
      </c>
      <c r="F67" s="889">
        <v>0</v>
      </c>
      <c r="G67" s="299">
        <f t="shared" si="9"/>
        <v>0</v>
      </c>
      <c r="H67" s="93">
        <v>0</v>
      </c>
      <c r="I67" s="93">
        <v>0</v>
      </c>
      <c r="J67" s="94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  <c r="BE67" s="319"/>
      <c r="BF67" s="319"/>
      <c r="BG67" s="158">
        <f t="shared" si="21"/>
        <v>0</v>
      </c>
      <c r="BH67" s="94"/>
      <c r="BI67" s="833"/>
      <c r="BJ67" s="319"/>
      <c r="BK67" s="319"/>
      <c r="BL67" s="319"/>
      <c r="BM67" s="319"/>
      <c r="BN67" s="319"/>
      <c r="BO67" s="319"/>
      <c r="BP67" s="319"/>
      <c r="BQ67" s="319"/>
      <c r="BR67" s="319"/>
      <c r="BS67" s="319"/>
      <c r="BT67" s="319"/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65"/>
      <c r="CR67" s="419">
        <f t="shared" si="22"/>
        <v>0</v>
      </c>
      <c r="CS67" s="57"/>
      <c r="CT67" s="319"/>
      <c r="CU67" s="319"/>
      <c r="CV67" s="319"/>
      <c r="CW67" s="319"/>
      <c r="CX67" s="319"/>
      <c r="CY67" s="319"/>
      <c r="CZ67" s="319"/>
      <c r="DA67" s="319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319"/>
      <c r="DT67" s="245"/>
      <c r="DU67" s="271"/>
      <c r="DV67" s="177"/>
      <c r="DW67" s="177"/>
      <c r="DX67" s="319"/>
      <c r="DY67" s="319"/>
      <c r="DZ67" s="319"/>
      <c r="EA67" s="319"/>
      <c r="EB67" s="319"/>
      <c r="EC67" s="319"/>
      <c r="ED67" s="319"/>
      <c r="EE67" s="319"/>
      <c r="EF67" s="319"/>
      <c r="EG67" s="319"/>
      <c r="EH67" s="319"/>
      <c r="EI67" s="319"/>
      <c r="EJ67" s="319"/>
      <c r="EK67" s="245"/>
      <c r="EL67" s="466"/>
      <c r="EM67" s="319"/>
      <c r="EN67" s="319"/>
      <c r="EO67" s="319"/>
      <c r="EP67" s="319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319"/>
      <c r="FD67" s="319"/>
      <c r="FE67" s="319"/>
      <c r="FF67" s="319"/>
      <c r="FG67" s="319"/>
      <c r="FH67" s="319"/>
      <c r="FI67" s="158">
        <f t="shared" si="23"/>
        <v>0</v>
      </c>
      <c r="FJ67" s="95"/>
      <c r="FK67" s="374"/>
      <c r="FL67" s="319"/>
      <c r="FM67" s="319"/>
      <c r="FN67" s="319"/>
      <c r="FO67" s="319"/>
      <c r="FP67" s="319"/>
      <c r="FQ67" s="319"/>
      <c r="FR67" s="319"/>
      <c r="FS67" s="319"/>
      <c r="FT67" s="319"/>
      <c r="FU67" s="319"/>
      <c r="FV67" s="319"/>
      <c r="FW67" s="319"/>
      <c r="FX67" s="319"/>
      <c r="FY67" s="28"/>
      <c r="FZ67" s="270"/>
      <c r="GA67" s="271"/>
      <c r="GB67" s="177"/>
      <c r="GC67" s="177"/>
      <c r="GD67" s="177"/>
      <c r="GE67" s="802"/>
      <c r="GF67" s="435"/>
      <c r="GG67" s="327">
        <f t="shared" si="24"/>
        <v>0</v>
      </c>
      <c r="GH67" s="445">
        <f t="shared" si="25"/>
        <v>0</v>
      </c>
      <c r="GI67" s="605">
        <f t="shared" si="26"/>
        <v>0</v>
      </c>
      <c r="GJ67" s="627">
        <f t="shared" si="27"/>
        <v>0</v>
      </c>
      <c r="GK67" s="239">
        <f t="shared" si="28"/>
        <v>0</v>
      </c>
      <c r="GL67" s="36" t="str">
        <f t="shared" si="29"/>
        <v>Меносвит</v>
      </c>
      <c r="GM67" s="38"/>
      <c r="GN67" s="22"/>
      <c r="GO67" s="22"/>
    </row>
    <row r="68" spans="1:197" x14ac:dyDescent="0.3">
      <c r="A68" s="132">
        <f>A67+1</f>
        <v>56</v>
      </c>
      <c r="B68" s="276" t="s">
        <v>122</v>
      </c>
      <c r="C68" s="565">
        <f>'3_квартал'!G67</f>
        <v>0</v>
      </c>
      <c r="D68" s="241">
        <v>0</v>
      </c>
      <c r="E68" s="241">
        <v>0</v>
      </c>
      <c r="F68" s="889">
        <v>0</v>
      </c>
      <c r="G68" s="299">
        <f t="shared" si="9"/>
        <v>0</v>
      </c>
      <c r="H68" s="93">
        <v>0</v>
      </c>
      <c r="I68" s="93">
        <v>0</v>
      </c>
      <c r="J68" s="112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319"/>
      <c r="AQ68" s="319"/>
      <c r="AR68" s="319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158">
        <f t="shared" si="21"/>
        <v>0</v>
      </c>
      <c r="BH68" s="112"/>
      <c r="BI68" s="833"/>
      <c r="BJ68" s="319"/>
      <c r="BK68" s="319"/>
      <c r="BL68" s="319"/>
      <c r="BM68" s="319"/>
      <c r="BN68" s="319"/>
      <c r="BO68" s="319"/>
      <c r="BP68" s="319"/>
      <c r="BQ68" s="319"/>
      <c r="BR68" s="319"/>
      <c r="BS68" s="319"/>
      <c r="BT68" s="319"/>
      <c r="BU68" s="319"/>
      <c r="BV68" s="319"/>
      <c r="BW68" s="319"/>
      <c r="BX68" s="319"/>
      <c r="BY68" s="319"/>
      <c r="BZ68" s="319"/>
      <c r="CA68" s="319"/>
      <c r="CB68" s="319"/>
      <c r="CC68" s="319"/>
      <c r="CD68" s="319"/>
      <c r="CE68" s="319"/>
      <c r="CF68" s="319"/>
      <c r="CG68" s="319"/>
      <c r="CH68" s="319"/>
      <c r="CI68" s="319"/>
      <c r="CJ68" s="319"/>
      <c r="CK68" s="319"/>
      <c r="CL68" s="319"/>
      <c r="CM68" s="319"/>
      <c r="CN68" s="319"/>
      <c r="CO68" s="319"/>
      <c r="CP68" s="319"/>
      <c r="CQ68" s="365"/>
      <c r="CR68" s="419">
        <f t="shared" si="22"/>
        <v>0</v>
      </c>
      <c r="CS68" s="57"/>
      <c r="CT68" s="319"/>
      <c r="CU68" s="319"/>
      <c r="CV68" s="319"/>
      <c r="CW68" s="319"/>
      <c r="CX68" s="319"/>
      <c r="CY68" s="319"/>
      <c r="CZ68" s="319"/>
      <c r="DA68" s="319"/>
      <c r="DB68" s="319"/>
      <c r="DC68" s="319"/>
      <c r="DD68" s="319"/>
      <c r="DE68" s="319"/>
      <c r="DF68" s="319"/>
      <c r="DG68" s="319"/>
      <c r="DH68" s="319"/>
      <c r="DI68" s="319"/>
      <c r="DJ68" s="319"/>
      <c r="DK68" s="319"/>
      <c r="DL68" s="319"/>
      <c r="DM68" s="319"/>
      <c r="DN68" s="319"/>
      <c r="DO68" s="319"/>
      <c r="DP68" s="319"/>
      <c r="DQ68" s="319"/>
      <c r="DR68" s="319"/>
      <c r="DS68" s="319"/>
      <c r="DT68" s="245"/>
      <c r="DU68" s="271"/>
      <c r="DV68" s="177"/>
      <c r="DW68" s="177"/>
      <c r="DX68" s="319"/>
      <c r="DY68" s="319"/>
      <c r="DZ68" s="319"/>
      <c r="EA68" s="319"/>
      <c r="EB68" s="319"/>
      <c r="EC68" s="319"/>
      <c r="ED68" s="319"/>
      <c r="EE68" s="319"/>
      <c r="EF68" s="319"/>
      <c r="EG68" s="319"/>
      <c r="EH68" s="319"/>
      <c r="EI68" s="319"/>
      <c r="EJ68" s="319"/>
      <c r="EK68" s="245"/>
      <c r="EL68" s="466"/>
      <c r="EM68" s="319"/>
      <c r="EN68" s="319"/>
      <c r="EO68" s="319"/>
      <c r="EP68" s="319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319"/>
      <c r="FD68" s="319"/>
      <c r="FE68" s="319"/>
      <c r="FF68" s="319"/>
      <c r="FG68" s="319"/>
      <c r="FH68" s="319"/>
      <c r="FI68" s="158">
        <f t="shared" si="23"/>
        <v>0</v>
      </c>
      <c r="FJ68" s="113"/>
      <c r="FK68" s="374"/>
      <c r="FL68" s="319"/>
      <c r="FM68" s="319"/>
      <c r="FN68" s="319"/>
      <c r="FO68" s="319"/>
      <c r="FP68" s="319"/>
      <c r="FQ68" s="319"/>
      <c r="FR68" s="319"/>
      <c r="FS68" s="319"/>
      <c r="FT68" s="319"/>
      <c r="FU68" s="319"/>
      <c r="FV68" s="319"/>
      <c r="FW68" s="319"/>
      <c r="FX68" s="319"/>
      <c r="FY68" s="28"/>
      <c r="FZ68" s="270"/>
      <c r="GA68" s="271"/>
      <c r="GB68" s="177"/>
      <c r="GC68" s="177"/>
      <c r="GD68" s="177"/>
      <c r="GE68" s="802"/>
      <c r="GF68" s="435"/>
      <c r="GG68" s="327">
        <f t="shared" si="24"/>
        <v>0</v>
      </c>
      <c r="GH68" s="445">
        <f t="shared" si="25"/>
        <v>0</v>
      </c>
      <c r="GI68" s="605">
        <f t="shared" si="26"/>
        <v>0</v>
      </c>
      <c r="GJ68" s="627">
        <f t="shared" si="27"/>
        <v>0</v>
      </c>
      <c r="GK68" s="239">
        <f t="shared" si="28"/>
        <v>0</v>
      </c>
      <c r="GL68" s="36" t="str">
        <f t="shared" si="29"/>
        <v>МеноХерб</v>
      </c>
      <c r="GM68" s="38"/>
      <c r="GN68" s="14"/>
      <c r="GO68" s="22"/>
    </row>
    <row r="69" spans="1:197" x14ac:dyDescent="0.3">
      <c r="A69" s="132">
        <f>A68+1</f>
        <v>57</v>
      </c>
      <c r="B69" s="792" t="s">
        <v>21</v>
      </c>
      <c r="C69" s="565">
        <f>'3_квартал'!G68</f>
        <v>332.50700000000001</v>
      </c>
      <c r="D69" s="346">
        <v>164.51</v>
      </c>
      <c r="E69" s="241">
        <v>80.64</v>
      </c>
      <c r="F69" s="889">
        <v>423.6</v>
      </c>
      <c r="G69" s="299">
        <f t="shared" si="9"/>
        <v>222.917</v>
      </c>
      <c r="H69" s="93">
        <v>257.33</v>
      </c>
      <c r="I69" s="93">
        <v>327.73</v>
      </c>
      <c r="J69" s="112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>
        <f>72.576*0.5</f>
        <v>36.287999999999997</v>
      </c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>
        <v>41.125999999999998</v>
      </c>
      <c r="AN69" s="319">
        <v>87.090999999999994</v>
      </c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158">
        <f t="shared" si="21"/>
        <v>164.505</v>
      </c>
      <c r="BH69" s="112"/>
      <c r="BI69" s="833"/>
      <c r="BJ69" s="319"/>
      <c r="BK69" s="319"/>
      <c r="BL69" s="319"/>
      <c r="BM69" s="319"/>
      <c r="BN69" s="319"/>
      <c r="BO69" s="319"/>
      <c r="BP69" s="319"/>
      <c r="BQ69" s="319">
        <f>38.707/0.6</f>
        <v>64.51166666666667</v>
      </c>
      <c r="BR69" s="319"/>
      <c r="BS69" s="319"/>
      <c r="BT69" s="319"/>
      <c r="BU69" s="319"/>
      <c r="BV69" s="319"/>
      <c r="BW69" s="319"/>
      <c r="BX69" s="319"/>
      <c r="BY69" s="319">
        <v>16.128</v>
      </c>
      <c r="BZ69" s="319"/>
      <c r="CA69" s="319"/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65"/>
      <c r="CR69" s="419">
        <f t="shared" si="22"/>
        <v>80.63966666666667</v>
      </c>
      <c r="CS69" s="57"/>
      <c r="CT69" s="319"/>
      <c r="CU69" s="319"/>
      <c r="CV69" s="319"/>
      <c r="CW69" s="319"/>
      <c r="CX69" s="319"/>
      <c r="CY69" s="319"/>
      <c r="CZ69" s="319"/>
      <c r="DA69" s="319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319"/>
      <c r="DT69" s="245"/>
      <c r="DU69" s="271"/>
      <c r="DV69" s="177"/>
      <c r="DW69" s="177"/>
      <c r="DX69" s="319"/>
      <c r="DY69" s="319"/>
      <c r="DZ69" s="319"/>
      <c r="EA69" s="319"/>
      <c r="EB69" s="319"/>
      <c r="EC69" s="319"/>
      <c r="ED69" s="319"/>
      <c r="EE69" s="319"/>
      <c r="EF69" s="319"/>
      <c r="EG69" s="319"/>
      <c r="EH69" s="319"/>
      <c r="EI69" s="319"/>
      <c r="EJ69" s="319"/>
      <c r="EK69" s="245"/>
      <c r="EL69" s="466"/>
      <c r="EM69" s="319"/>
      <c r="EN69" s="319"/>
      <c r="EO69" s="319">
        <f>38.707</f>
        <v>38.707000000000001</v>
      </c>
      <c r="EP69" s="319">
        <v>27.417999999999999</v>
      </c>
      <c r="EQ69" s="319"/>
      <c r="ER69" s="319"/>
      <c r="ES69" s="319"/>
      <c r="ET69" s="319"/>
      <c r="EU69" s="319"/>
      <c r="EV69" s="319"/>
      <c r="EW69" s="319"/>
      <c r="EX69" s="319"/>
      <c r="EY69" s="319"/>
      <c r="EZ69" s="319"/>
      <c r="FA69" s="319"/>
      <c r="FB69" s="319"/>
      <c r="FC69" s="319"/>
      <c r="FD69" s="319"/>
      <c r="FE69" s="319">
        <v>87.090999999999994</v>
      </c>
      <c r="FF69" s="319">
        <f>71.153*2</f>
        <v>142.30600000000001</v>
      </c>
      <c r="FG69" s="319">
        <f>64.037*2</f>
        <v>128.07400000000001</v>
      </c>
      <c r="FH69" s="319"/>
      <c r="FI69" s="158">
        <f t="shared" si="23"/>
        <v>423.59600000000006</v>
      </c>
      <c r="FJ69" s="113"/>
      <c r="FK69" s="374"/>
      <c r="FL69" s="319"/>
      <c r="FM69" s="319"/>
      <c r="FN69" s="319"/>
      <c r="FO69" s="319"/>
      <c r="FP69" s="319"/>
      <c r="FQ69" s="319"/>
      <c r="FR69" s="319"/>
      <c r="FS69" s="319"/>
      <c r="FT69" s="319"/>
      <c r="FU69" s="319"/>
      <c r="FV69" s="319"/>
      <c r="FW69" s="319"/>
      <c r="FX69" s="319"/>
      <c r="FY69" s="28"/>
      <c r="FZ69" s="270"/>
      <c r="GA69" s="271"/>
      <c r="GB69" s="177"/>
      <c r="GC69" s="177"/>
      <c r="GD69" s="177"/>
      <c r="GE69" s="802"/>
      <c r="GF69" s="435"/>
      <c r="GG69" s="327">
        <f t="shared" si="24"/>
        <v>0</v>
      </c>
      <c r="GH69" s="445">
        <f t="shared" si="25"/>
        <v>327.73</v>
      </c>
      <c r="GI69" s="605">
        <f t="shared" si="26"/>
        <v>327.73</v>
      </c>
      <c r="GJ69" s="627">
        <f t="shared" si="27"/>
        <v>332.50700000000001</v>
      </c>
      <c r="GK69" s="239">
        <f t="shared" si="28"/>
        <v>80.64</v>
      </c>
      <c r="GL69" s="36" t="str">
        <f t="shared" si="29"/>
        <v>Новихол</v>
      </c>
      <c r="GM69" s="38"/>
      <c r="GN69" s="14"/>
      <c r="GO69" s="22"/>
    </row>
    <row r="70" spans="1:197" x14ac:dyDescent="0.3">
      <c r="A70" s="132">
        <f t="shared" ref="A70:A72" si="35">A69+1</f>
        <v>58</v>
      </c>
      <c r="B70" s="283" t="s">
        <v>216</v>
      </c>
      <c r="C70" s="565">
        <f>'3_квартал'!G69</f>
        <v>1941.21</v>
      </c>
      <c r="D70" s="346">
        <f>1696.14+752.62</f>
        <v>2448.7600000000002</v>
      </c>
      <c r="E70" s="241">
        <v>544.32000000000005</v>
      </c>
      <c r="F70" s="889">
        <f>703.06+3464.4</f>
        <v>4167.46</v>
      </c>
      <c r="G70" s="299">
        <f t="shared" si="9"/>
        <v>2386.8470000000002</v>
      </c>
      <c r="H70" s="93">
        <v>703.06</v>
      </c>
      <c r="I70" s="93">
        <v>6535.6</v>
      </c>
      <c r="J70" s="146"/>
      <c r="K70" s="319"/>
      <c r="L70" s="319">
        <f>141.12*5</f>
        <v>705.6</v>
      </c>
      <c r="M70" s="319"/>
      <c r="N70" s="319"/>
      <c r="O70" s="319"/>
      <c r="P70" s="319">
        <f>141.12*2</f>
        <v>282.24</v>
      </c>
      <c r="Q70" s="319"/>
      <c r="R70" s="319"/>
      <c r="S70" s="319"/>
      <c r="T70" s="319"/>
      <c r="U70" s="319"/>
      <c r="V70" s="319"/>
      <c r="W70" s="319"/>
      <c r="X70" s="319"/>
      <c r="Y70" s="319">
        <v>96.768000000000001</v>
      </c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>
        <f>161.28*1.5</f>
        <v>241.92000000000002</v>
      </c>
      <c r="AK70" s="319"/>
      <c r="AL70" s="319"/>
      <c r="AM70" s="319">
        <v>53.75</v>
      </c>
      <c r="AN70" s="319"/>
      <c r="AO70" s="319"/>
      <c r="AP70" s="319"/>
      <c r="AQ70" s="319"/>
      <c r="AR70" s="319"/>
      <c r="AS70" s="319"/>
      <c r="AT70" s="319"/>
      <c r="AU70" s="319"/>
      <c r="AV70" s="319"/>
      <c r="AW70" s="319"/>
      <c r="AX70" s="319"/>
      <c r="AY70" s="319"/>
      <c r="AZ70" s="319"/>
      <c r="BA70" s="319"/>
      <c r="BB70" s="319">
        <v>80.64</v>
      </c>
      <c r="BC70" s="319">
        <f>141.12*4</f>
        <v>564.48</v>
      </c>
      <c r="BD70" s="319"/>
      <c r="BE70" s="319"/>
      <c r="BF70" s="319">
        <f>141.12*3</f>
        <v>423.36</v>
      </c>
      <c r="BG70" s="158">
        <f t="shared" si="21"/>
        <v>2448.7580000000003</v>
      </c>
      <c r="BH70" s="146"/>
      <c r="BI70" s="833"/>
      <c r="BJ70" s="319"/>
      <c r="BK70" s="319"/>
      <c r="BL70" s="319"/>
      <c r="BM70" s="319"/>
      <c r="BN70" s="319"/>
      <c r="BO70" s="319"/>
      <c r="BP70" s="319"/>
      <c r="BQ70" s="319"/>
      <c r="BR70" s="319">
        <v>141.12</v>
      </c>
      <c r="BS70" s="319"/>
      <c r="BT70" s="319"/>
      <c r="BU70" s="319"/>
      <c r="BV70" s="319"/>
      <c r="BW70" s="319"/>
      <c r="BX70" s="319"/>
      <c r="BY70" s="319"/>
      <c r="BZ70" s="319"/>
      <c r="CA70" s="319"/>
      <c r="CB70" s="319"/>
      <c r="CC70" s="319"/>
      <c r="CD70" s="319"/>
      <c r="CE70" s="319"/>
      <c r="CF70" s="319"/>
      <c r="CG70" s="319"/>
      <c r="CH70" s="319"/>
      <c r="CI70" s="319"/>
      <c r="CJ70" s="319"/>
      <c r="CK70" s="319"/>
      <c r="CL70" s="319">
        <f>241.92/1.5*2.5</f>
        <v>403.2</v>
      </c>
      <c r="CM70" s="319"/>
      <c r="CN70" s="319"/>
      <c r="CO70" s="319"/>
      <c r="CP70" s="319"/>
      <c r="CQ70" s="365"/>
      <c r="CR70" s="419">
        <f t="shared" si="22"/>
        <v>544.31999999999994</v>
      </c>
      <c r="CS70" s="147"/>
      <c r="CT70" s="319"/>
      <c r="CU70" s="319"/>
      <c r="CV70" s="319"/>
      <c r="CW70" s="319"/>
      <c r="CX70" s="319"/>
      <c r="CY70" s="319"/>
      <c r="CZ70" s="319">
        <f>141.12*3.8</f>
        <v>536.25599999999997</v>
      </c>
      <c r="DA70" s="319"/>
      <c r="DB70" s="319"/>
      <c r="DC70" s="319"/>
      <c r="DD70" s="319"/>
      <c r="DE70" s="319"/>
      <c r="DF70" s="319"/>
      <c r="DG70" s="319"/>
      <c r="DH70" s="319"/>
      <c r="DI70" s="319">
        <f>141.12*7</f>
        <v>987.84</v>
      </c>
      <c r="DJ70" s="319"/>
      <c r="DK70" s="319">
        <v>50.4</v>
      </c>
      <c r="DL70" s="319"/>
      <c r="DM70" s="319"/>
      <c r="DN70" s="319"/>
      <c r="DO70" s="319"/>
      <c r="DP70" s="319"/>
      <c r="DQ70" s="319"/>
      <c r="DR70" s="319"/>
      <c r="DS70" s="319"/>
      <c r="DT70" s="245">
        <f>145.152/0.9*0.6</f>
        <v>96.767999999999986</v>
      </c>
      <c r="DU70" s="271"/>
      <c r="DV70" s="177"/>
      <c r="DW70" s="177"/>
      <c r="DX70" s="319"/>
      <c r="DY70" s="319"/>
      <c r="DZ70" s="319"/>
      <c r="EA70" s="319"/>
      <c r="EB70" s="319"/>
      <c r="EC70" s="319"/>
      <c r="ED70" s="319"/>
      <c r="EE70" s="319"/>
      <c r="EF70" s="319"/>
      <c r="EG70" s="319"/>
      <c r="EH70" s="319">
        <f>141.12*4</f>
        <v>564.48</v>
      </c>
      <c r="EI70" s="319"/>
      <c r="EJ70" s="319"/>
      <c r="EK70" s="245"/>
      <c r="EL70" s="466">
        <f>161.28*1.3</f>
        <v>209.66400000000002</v>
      </c>
      <c r="EM70" s="319">
        <f>141.12*4.2</f>
        <v>592.70400000000006</v>
      </c>
      <c r="EN70" s="319">
        <f>141.12*2</f>
        <v>282.24</v>
      </c>
      <c r="EO70" s="319"/>
      <c r="EP70" s="319">
        <v>35.834000000000003</v>
      </c>
      <c r="EQ70" s="319"/>
      <c r="ER70" s="319">
        <v>141.12</v>
      </c>
      <c r="ES70" s="319"/>
      <c r="ET70" s="319"/>
      <c r="EU70" s="319"/>
      <c r="EV70" s="319"/>
      <c r="EW70" s="319">
        <f>211.68/1.5</f>
        <v>141.12</v>
      </c>
      <c r="EX70" s="319"/>
      <c r="EY70" s="319"/>
      <c r="EZ70" s="319"/>
      <c r="FA70" s="319"/>
      <c r="FB70" s="319">
        <v>274.17599999999999</v>
      </c>
      <c r="FC70" s="319"/>
      <c r="FD70" s="319">
        <f>145.152/0.9*0.6</f>
        <v>96.767999999999986</v>
      </c>
      <c r="FE70" s="319"/>
      <c r="FF70" s="319">
        <f>79.044*2</f>
        <v>158.08799999999999</v>
      </c>
      <c r="FG70" s="319"/>
      <c r="FH70" s="319"/>
      <c r="FI70" s="158">
        <f t="shared" si="23"/>
        <v>4167.4580000000005</v>
      </c>
      <c r="FJ70" s="148"/>
      <c r="FK70" s="374"/>
      <c r="FL70" s="319"/>
      <c r="FM70" s="319"/>
      <c r="FN70" s="319"/>
      <c r="FO70" s="319"/>
      <c r="FP70" s="319"/>
      <c r="FQ70" s="319"/>
      <c r="FR70" s="319"/>
      <c r="FS70" s="319"/>
      <c r="FT70" s="319"/>
      <c r="FU70" s="319"/>
      <c r="FV70" s="319"/>
      <c r="FW70" s="319"/>
      <c r="FX70" s="319"/>
      <c r="FY70" s="28"/>
      <c r="FZ70" s="270"/>
      <c r="GA70" s="271"/>
      <c r="GB70" s="177"/>
      <c r="GC70" s="177"/>
      <c r="GD70" s="177"/>
      <c r="GE70" s="802"/>
      <c r="GF70" s="435"/>
      <c r="GG70" s="327">
        <f t="shared" si="24"/>
        <v>0</v>
      </c>
      <c r="GH70" s="445">
        <f t="shared" si="25"/>
        <v>6535.6</v>
      </c>
      <c r="GI70" s="605">
        <f t="shared" si="26"/>
        <v>6535.6</v>
      </c>
      <c r="GJ70" s="627">
        <f t="shared" si="27"/>
        <v>1941.21</v>
      </c>
      <c r="GK70" s="239">
        <f t="shared" si="28"/>
        <v>544.32000000000005</v>
      </c>
      <c r="GL70" s="36" t="str">
        <f t="shared" si="29"/>
        <v>Карбонат калия  гранул</v>
      </c>
      <c r="GM70" s="231"/>
      <c r="GN70" s="14"/>
      <c r="GO70" s="22"/>
    </row>
    <row r="71" spans="1:197" x14ac:dyDescent="0.3">
      <c r="A71" s="132">
        <f t="shared" si="35"/>
        <v>59</v>
      </c>
      <c r="B71" s="283" t="s">
        <v>217</v>
      </c>
      <c r="C71" s="565">
        <f>'3_квартал'!G70</f>
        <v>4523.78</v>
      </c>
      <c r="D71" s="241">
        <v>0</v>
      </c>
      <c r="E71" s="241">
        <v>0</v>
      </c>
      <c r="F71" s="889">
        <v>0</v>
      </c>
      <c r="G71" s="299">
        <f t="shared" si="9"/>
        <v>0</v>
      </c>
      <c r="H71" s="93">
        <v>0</v>
      </c>
      <c r="I71" s="93">
        <v>0</v>
      </c>
      <c r="J71" s="146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319"/>
      <c r="AQ71" s="319"/>
      <c r="AR71" s="319"/>
      <c r="AS71" s="319"/>
      <c r="AT71" s="319"/>
      <c r="AU71" s="319"/>
      <c r="AV71" s="319"/>
      <c r="AW71" s="319"/>
      <c r="AX71" s="319"/>
      <c r="AY71" s="319"/>
      <c r="AZ71" s="319"/>
      <c r="BA71" s="319"/>
      <c r="BB71" s="319"/>
      <c r="BC71" s="319"/>
      <c r="BD71" s="319"/>
      <c r="BE71" s="319"/>
      <c r="BF71" s="319"/>
      <c r="BG71" s="158">
        <f t="shared" si="21"/>
        <v>0</v>
      </c>
      <c r="BH71" s="146"/>
      <c r="BI71" s="833"/>
      <c r="BJ71" s="319"/>
      <c r="BK71" s="319"/>
      <c r="BL71" s="319"/>
      <c r="BM71" s="319"/>
      <c r="BN71" s="319"/>
      <c r="BO71" s="319"/>
      <c r="BP71" s="319"/>
      <c r="BQ71" s="319"/>
      <c r="BR71" s="319"/>
      <c r="BS71" s="319"/>
      <c r="BT71" s="319"/>
      <c r="BU71" s="319"/>
      <c r="BV71" s="319"/>
      <c r="BW71" s="319"/>
      <c r="BX71" s="319"/>
      <c r="BY71" s="319"/>
      <c r="BZ71" s="319"/>
      <c r="CA71" s="319"/>
      <c r="CB71" s="319"/>
      <c r="CC71" s="319"/>
      <c r="CD71" s="319"/>
      <c r="CE71" s="319"/>
      <c r="CF71" s="319"/>
      <c r="CG71" s="319"/>
      <c r="CH71" s="319"/>
      <c r="CI71" s="319"/>
      <c r="CJ71" s="319"/>
      <c r="CK71" s="319"/>
      <c r="CL71" s="319"/>
      <c r="CM71" s="319"/>
      <c r="CN71" s="319"/>
      <c r="CO71" s="319"/>
      <c r="CP71" s="319"/>
      <c r="CQ71" s="365"/>
      <c r="CR71" s="419">
        <f t="shared" si="22"/>
        <v>0</v>
      </c>
      <c r="CS71" s="147"/>
      <c r="CT71" s="319"/>
      <c r="CU71" s="319"/>
      <c r="CV71" s="319"/>
      <c r="CW71" s="319"/>
      <c r="CX71" s="319"/>
      <c r="CY71" s="319"/>
      <c r="CZ71" s="319"/>
      <c r="DA71" s="319"/>
      <c r="DB71" s="319"/>
      <c r="DC71" s="319"/>
      <c r="DD71" s="319"/>
      <c r="DE71" s="319"/>
      <c r="DF71" s="319"/>
      <c r="DG71" s="319"/>
      <c r="DH71" s="319"/>
      <c r="DI71" s="319"/>
      <c r="DJ71" s="319"/>
      <c r="DK71" s="319"/>
      <c r="DL71" s="319"/>
      <c r="DM71" s="319"/>
      <c r="DN71" s="319"/>
      <c r="DO71" s="319"/>
      <c r="DP71" s="319"/>
      <c r="DQ71" s="319"/>
      <c r="DR71" s="319"/>
      <c r="DS71" s="319"/>
      <c r="DT71" s="245"/>
      <c r="DU71" s="271"/>
      <c r="DV71" s="177"/>
      <c r="DW71" s="177"/>
      <c r="DX71" s="319"/>
      <c r="DY71" s="319"/>
      <c r="DZ71" s="319"/>
      <c r="EA71" s="319"/>
      <c r="EB71" s="319"/>
      <c r="EC71" s="319"/>
      <c r="ED71" s="319"/>
      <c r="EE71" s="319"/>
      <c r="EF71" s="319"/>
      <c r="EG71" s="319"/>
      <c r="EH71" s="319"/>
      <c r="EI71" s="319"/>
      <c r="EJ71" s="319"/>
      <c r="EK71" s="245"/>
      <c r="EL71" s="466"/>
      <c r="EM71" s="319"/>
      <c r="EN71" s="319"/>
      <c r="EO71" s="319"/>
      <c r="EP71" s="319"/>
      <c r="EQ71" s="319"/>
      <c r="ER71" s="319"/>
      <c r="ES71" s="319"/>
      <c r="ET71" s="319"/>
      <c r="EU71" s="319"/>
      <c r="EV71" s="319"/>
      <c r="EW71" s="319"/>
      <c r="EX71" s="319"/>
      <c r="EY71" s="319"/>
      <c r="EZ71" s="319"/>
      <c r="FA71" s="319"/>
      <c r="FB71" s="319"/>
      <c r="FC71" s="319"/>
      <c r="FD71" s="319"/>
      <c r="FE71" s="319"/>
      <c r="FF71" s="319"/>
      <c r="FG71" s="319"/>
      <c r="FH71" s="319"/>
      <c r="FI71" s="158">
        <f t="shared" si="23"/>
        <v>0</v>
      </c>
      <c r="FJ71" s="148"/>
      <c r="FK71" s="374"/>
      <c r="FL71" s="319"/>
      <c r="FM71" s="319"/>
      <c r="FN71" s="319"/>
      <c r="FO71" s="319"/>
      <c r="FP71" s="319"/>
      <c r="FQ71" s="319"/>
      <c r="FR71" s="319"/>
      <c r="FS71" s="319"/>
      <c r="FT71" s="319"/>
      <c r="FU71" s="319"/>
      <c r="FV71" s="319"/>
      <c r="FW71" s="319"/>
      <c r="FX71" s="319"/>
      <c r="FY71" s="28"/>
      <c r="FZ71" s="270"/>
      <c r="GA71" s="271"/>
      <c r="GB71" s="177"/>
      <c r="GC71" s="177"/>
      <c r="GD71" s="177"/>
      <c r="GE71" s="802"/>
      <c r="GF71" s="435"/>
      <c r="GG71" s="327">
        <f t="shared" si="24"/>
        <v>0</v>
      </c>
      <c r="GH71" s="445">
        <f t="shared" si="25"/>
        <v>0</v>
      </c>
      <c r="GI71" s="605">
        <f t="shared" si="26"/>
        <v>0</v>
      </c>
      <c r="GJ71" s="627">
        <f t="shared" si="27"/>
        <v>4523.78</v>
      </c>
      <c r="GK71" s="239">
        <f t="shared" si="28"/>
        <v>0</v>
      </c>
      <c r="GL71" s="36" t="str">
        <f t="shared" si="29"/>
        <v>Карбонат калия (поташ)</v>
      </c>
      <c r="GM71" s="231"/>
      <c r="GN71" s="14"/>
      <c r="GO71" s="22"/>
    </row>
    <row r="72" spans="1:197" x14ac:dyDescent="0.3">
      <c r="A72" s="132">
        <f t="shared" si="35"/>
        <v>60</v>
      </c>
      <c r="B72" s="278" t="s">
        <v>46</v>
      </c>
      <c r="C72" s="565">
        <f>'3_квартал'!G71</f>
        <v>6866.0429999999997</v>
      </c>
      <c r="D72" s="346">
        <f>3841.89+1760.23</f>
        <v>5602.12</v>
      </c>
      <c r="E72" s="241">
        <v>5486.54</v>
      </c>
      <c r="F72" s="889">
        <f>2753.23+8669.06</f>
        <v>11422.289999999999</v>
      </c>
      <c r="G72" s="299">
        <f t="shared" si="9"/>
        <v>7503.65</v>
      </c>
      <c r="H72" s="93">
        <f>2753.23+2000+8000</f>
        <v>12753.23</v>
      </c>
      <c r="I72" s="93">
        <v>1330.94</v>
      </c>
      <c r="J72" s="112"/>
      <c r="K72" s="319">
        <f>302.4*4</f>
        <v>1209.5999999999999</v>
      </c>
      <c r="L72" s="319">
        <f>40.32*5</f>
        <v>201.6</v>
      </c>
      <c r="M72" s="319"/>
      <c r="N72" s="319">
        <f>544.32*1.5</f>
        <v>816.48</v>
      </c>
      <c r="O72" s="319"/>
      <c r="P72" s="319">
        <f>40.32*2</f>
        <v>80.64</v>
      </c>
      <c r="Q72" s="319"/>
      <c r="R72" s="319"/>
      <c r="S72" s="319"/>
      <c r="T72" s="319"/>
      <c r="U72" s="319"/>
      <c r="V72" s="319"/>
      <c r="W72" s="319"/>
      <c r="X72" s="319">
        <v>229.82400000000001</v>
      </c>
      <c r="Y72" s="319">
        <v>18.143999999999998</v>
      </c>
      <c r="Z72" s="319">
        <f>302.4*3</f>
        <v>907.19999999999993</v>
      </c>
      <c r="AA72" s="319"/>
      <c r="AB72" s="319">
        <f>638.4*0.5</f>
        <v>319.2</v>
      </c>
      <c r="AC72" s="319"/>
      <c r="AD72" s="319"/>
      <c r="AE72" s="319"/>
      <c r="AF72" s="319"/>
      <c r="AG72" s="319"/>
      <c r="AH72" s="319"/>
      <c r="AI72" s="319"/>
      <c r="AJ72" s="319">
        <f>30.24*1.5</f>
        <v>45.36</v>
      </c>
      <c r="AK72" s="319"/>
      <c r="AL72" s="319"/>
      <c r="AM72" s="319"/>
      <c r="AN72" s="319"/>
      <c r="AO72" s="319"/>
      <c r="AP72" s="319"/>
      <c r="AQ72" s="319"/>
      <c r="AR72" s="319"/>
      <c r="AS72" s="319"/>
      <c r="AT72" s="319"/>
      <c r="AU72" s="319"/>
      <c r="AV72" s="319"/>
      <c r="AW72" s="319"/>
      <c r="AX72" s="319"/>
      <c r="AY72" s="319"/>
      <c r="AZ72" s="319"/>
      <c r="BA72" s="319">
        <v>282.24</v>
      </c>
      <c r="BB72" s="319"/>
      <c r="BC72" s="319">
        <f>40.32*4</f>
        <v>161.28</v>
      </c>
      <c r="BD72" s="319">
        <f>302.4*4</f>
        <v>1209.5999999999999</v>
      </c>
      <c r="BE72" s="319"/>
      <c r="BF72" s="319">
        <f>40.32*3</f>
        <v>120.96000000000001</v>
      </c>
      <c r="BG72" s="158">
        <f t="shared" si="21"/>
        <v>5602.1279999999997</v>
      </c>
      <c r="BH72" s="112"/>
      <c r="BI72" s="833"/>
      <c r="BJ72" s="319"/>
      <c r="BK72" s="319"/>
      <c r="BL72" s="319">
        <f>302.4*4</f>
        <v>1209.5999999999999</v>
      </c>
      <c r="BM72" s="319"/>
      <c r="BN72" s="319">
        <f>544.32*5</f>
        <v>2721.6000000000004</v>
      </c>
      <c r="BO72" s="319">
        <f>302.4*1.5</f>
        <v>453.59999999999997</v>
      </c>
      <c r="BP72" s="319"/>
      <c r="BQ72" s="319"/>
      <c r="BR72" s="319">
        <v>40.32</v>
      </c>
      <c r="BS72" s="319"/>
      <c r="BT72" s="319"/>
      <c r="BU72" s="319">
        <f>302.4*1.5</f>
        <v>453.59999999999997</v>
      </c>
      <c r="BV72" s="319"/>
      <c r="BW72" s="319"/>
      <c r="BX72" s="319"/>
      <c r="BY72" s="319"/>
      <c r="BZ72" s="319"/>
      <c r="CA72" s="319"/>
      <c r="CB72" s="319"/>
      <c r="CC72" s="319"/>
      <c r="CD72" s="319">
        <v>229.82400000000001</v>
      </c>
      <c r="CE72" s="319"/>
      <c r="CF72" s="319"/>
      <c r="CG72" s="319"/>
      <c r="CH72" s="319">
        <f>302.4</f>
        <v>302.39999999999998</v>
      </c>
      <c r="CI72" s="319"/>
      <c r="CJ72" s="319"/>
      <c r="CK72" s="319"/>
      <c r="CL72" s="319">
        <f>45.36/1.5*2.5</f>
        <v>75.599999999999994</v>
      </c>
      <c r="CM72" s="319"/>
      <c r="CN72" s="319"/>
      <c r="CO72" s="319"/>
      <c r="CP72" s="319"/>
      <c r="CQ72" s="365"/>
      <c r="CR72" s="419">
        <f t="shared" si="22"/>
        <v>5486.5439999999999</v>
      </c>
      <c r="CS72" s="57"/>
      <c r="CT72" s="319"/>
      <c r="CU72" s="319"/>
      <c r="CV72" s="319"/>
      <c r="CW72" s="319"/>
      <c r="CX72" s="319">
        <f>302.4*5</f>
        <v>1512</v>
      </c>
      <c r="CY72" s="319"/>
      <c r="CZ72" s="319">
        <f>40.32*3.8</f>
        <v>153.21599999999998</v>
      </c>
      <c r="DA72" s="319"/>
      <c r="DB72" s="319"/>
      <c r="DC72" s="319"/>
      <c r="DD72" s="319"/>
      <c r="DE72" s="319"/>
      <c r="DF72" s="319"/>
      <c r="DG72" s="319">
        <f>302.4*4</f>
        <v>1209.5999999999999</v>
      </c>
      <c r="DH72" s="319"/>
      <c r="DI72" s="319">
        <f>40.32*7</f>
        <v>282.24</v>
      </c>
      <c r="DJ72" s="319">
        <f>403.2*0.6</f>
        <v>241.92</v>
      </c>
      <c r="DK72" s="319"/>
      <c r="DL72" s="319"/>
      <c r="DM72" s="319"/>
      <c r="DN72" s="319"/>
      <c r="DO72" s="319">
        <v>302.39999999999998</v>
      </c>
      <c r="DP72" s="319"/>
      <c r="DQ72" s="319"/>
      <c r="DR72" s="319"/>
      <c r="DS72" s="319"/>
      <c r="DT72" s="245">
        <f>27.216/0.9*0.6</f>
        <v>18.144000000000002</v>
      </c>
      <c r="DU72" s="271"/>
      <c r="DV72" s="177"/>
      <c r="DW72" s="177"/>
      <c r="DX72" s="319"/>
      <c r="DY72" s="319">
        <f>302.4*5</f>
        <v>1512</v>
      </c>
      <c r="DZ72" s="319"/>
      <c r="EA72" s="319"/>
      <c r="EB72" s="319"/>
      <c r="EC72" s="319"/>
      <c r="ED72" s="319"/>
      <c r="EE72" s="319"/>
      <c r="EF72" s="319"/>
      <c r="EG72" s="319"/>
      <c r="EH72" s="319">
        <f>40.32*4</f>
        <v>161.28</v>
      </c>
      <c r="EI72" s="319">
        <f>302.4*2</f>
        <v>604.79999999999995</v>
      </c>
      <c r="EJ72" s="319">
        <v>2721.6</v>
      </c>
      <c r="EK72" s="245"/>
      <c r="EL72" s="466">
        <f>30.24*1.3</f>
        <v>39.311999999999998</v>
      </c>
      <c r="EM72" s="319">
        <f>40.32*4.2</f>
        <v>169.34400000000002</v>
      </c>
      <c r="EN72" s="319">
        <f>40.32*2</f>
        <v>80.64</v>
      </c>
      <c r="EO72" s="319"/>
      <c r="EP72" s="319"/>
      <c r="EQ72" s="319"/>
      <c r="ER72" s="319">
        <v>40.32</v>
      </c>
      <c r="ES72" s="319"/>
      <c r="ET72" s="319"/>
      <c r="EU72" s="319"/>
      <c r="EV72" s="319">
        <f>302.4*2</f>
        <v>604.79999999999995</v>
      </c>
      <c r="EW72" s="319">
        <f>60.48/1.5</f>
        <v>40.32</v>
      </c>
      <c r="EX72" s="319"/>
      <c r="EY72" s="319">
        <v>302.39999999999998</v>
      </c>
      <c r="EZ72" s="319"/>
      <c r="FA72" s="319"/>
      <c r="FB72" s="319">
        <v>51.408000000000001</v>
      </c>
      <c r="FC72" s="319">
        <f>459.648/1.2*0.6</f>
        <v>229.82400000000001</v>
      </c>
      <c r="FD72" s="319">
        <f>27.216/0.9*0.6</f>
        <v>18.144000000000002</v>
      </c>
      <c r="FE72" s="319"/>
      <c r="FF72" s="319"/>
      <c r="FG72" s="319">
        <f>563.294*2</f>
        <v>1126.588</v>
      </c>
      <c r="FH72" s="319"/>
      <c r="FI72" s="158">
        <f t="shared" si="23"/>
        <v>11422.299999999996</v>
      </c>
      <c r="FJ72" s="113"/>
      <c r="FK72" s="374"/>
      <c r="FL72" s="319"/>
      <c r="FM72" s="319"/>
      <c r="FN72" s="319"/>
      <c r="FO72" s="319"/>
      <c r="FP72" s="319"/>
      <c r="FQ72" s="319"/>
      <c r="FR72" s="319"/>
      <c r="FS72" s="319"/>
      <c r="FT72" s="319"/>
      <c r="FU72" s="319"/>
      <c r="FV72" s="319"/>
      <c r="FW72" s="319"/>
      <c r="FX72" s="319"/>
      <c r="FY72" s="28"/>
      <c r="FZ72" s="270"/>
      <c r="GA72" s="271"/>
      <c r="GB72" s="177"/>
      <c r="GC72" s="177"/>
      <c r="GD72" s="177"/>
      <c r="GE72" s="802"/>
      <c r="GF72" s="435"/>
      <c r="GG72" s="327">
        <f t="shared" si="24"/>
        <v>0</v>
      </c>
      <c r="GH72" s="445">
        <f t="shared" si="25"/>
        <v>1330.94</v>
      </c>
      <c r="GI72" s="605">
        <f t="shared" si="26"/>
        <v>1330.94</v>
      </c>
      <c r="GJ72" s="627">
        <f t="shared" si="27"/>
        <v>6866.0429999999997</v>
      </c>
      <c r="GK72" s="239">
        <f t="shared" si="28"/>
        <v>5486.54</v>
      </c>
      <c r="GL72" s="36" t="str">
        <f t="shared" si="29"/>
        <v>кальций хлористый пищ Фудикс</v>
      </c>
      <c r="GM72" s="664"/>
      <c r="GN72" s="14"/>
      <c r="GO72" s="22"/>
    </row>
    <row r="73" spans="1:197" x14ac:dyDescent="0.3">
      <c r="A73" s="130"/>
      <c r="B73" s="287"/>
      <c r="C73" s="348"/>
      <c r="D73" s="591"/>
      <c r="E73" s="580"/>
      <c r="F73" s="891"/>
      <c r="G73" s="579"/>
      <c r="H73" s="144"/>
      <c r="I73" s="144"/>
      <c r="J73" s="94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159"/>
      <c r="BH73" s="94"/>
      <c r="BI73" s="834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260"/>
      <c r="CR73" s="502"/>
      <c r="CS73" s="57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91"/>
      <c r="DU73" s="356"/>
      <c r="DV73" s="178"/>
      <c r="DW73" s="178"/>
      <c r="DX73" s="90"/>
      <c r="DY73" s="90"/>
      <c r="DZ73" s="90"/>
      <c r="EA73" s="90"/>
      <c r="EB73" s="90"/>
      <c r="EC73" s="90"/>
      <c r="ED73" s="90"/>
      <c r="EE73" s="90"/>
      <c r="EF73" s="90"/>
      <c r="EG73" s="90"/>
      <c r="EH73" s="90"/>
      <c r="EI73" s="90"/>
      <c r="EJ73" s="90"/>
      <c r="EK73" s="91"/>
      <c r="EL73" s="467"/>
      <c r="EM73" s="90"/>
      <c r="EN73" s="90"/>
      <c r="EO73" s="90"/>
      <c r="EP73" s="90"/>
      <c r="EQ73" s="90"/>
      <c r="ER73" s="90"/>
      <c r="ES73" s="90"/>
      <c r="ET73" s="90"/>
      <c r="EU73" s="90"/>
      <c r="EV73" s="90"/>
      <c r="EW73" s="90"/>
      <c r="EX73" s="90"/>
      <c r="EY73" s="90"/>
      <c r="EZ73" s="90"/>
      <c r="FA73" s="90"/>
      <c r="FB73" s="90"/>
      <c r="FC73" s="90"/>
      <c r="FD73" s="90"/>
      <c r="FE73" s="90"/>
      <c r="FF73" s="90"/>
      <c r="FG73" s="90"/>
      <c r="FH73" s="90"/>
      <c r="FI73" s="502"/>
      <c r="FJ73" s="95"/>
      <c r="FK73" s="170"/>
      <c r="FL73" s="90"/>
      <c r="FM73" s="90"/>
      <c r="FN73" s="90"/>
      <c r="FO73" s="90"/>
      <c r="FP73" s="90"/>
      <c r="FQ73" s="90"/>
      <c r="FR73" s="90"/>
      <c r="FS73" s="90"/>
      <c r="FT73" s="90"/>
      <c r="FU73" s="90"/>
      <c r="FV73" s="90"/>
      <c r="FW73" s="90"/>
      <c r="FX73" s="90"/>
      <c r="FY73" s="260"/>
      <c r="FZ73" s="347"/>
      <c r="GA73" s="356"/>
      <c r="GB73" s="178"/>
      <c r="GC73" s="178"/>
      <c r="GD73" s="178"/>
      <c r="GE73" s="805"/>
      <c r="GF73" s="436"/>
      <c r="GG73" s="348"/>
      <c r="GH73" s="446"/>
      <c r="GI73" s="607"/>
      <c r="GJ73" s="606"/>
      <c r="GK73" s="606"/>
      <c r="GL73" s="453"/>
      <c r="GM73" s="213"/>
      <c r="GN73" s="22"/>
      <c r="GO73" s="22"/>
    </row>
    <row r="74" spans="1:197" x14ac:dyDescent="0.3">
      <c r="A74" s="127">
        <f>A72+1</f>
        <v>61</v>
      </c>
      <c r="B74" s="278" t="s">
        <v>47</v>
      </c>
      <c r="C74" s="565">
        <f>'3_квартал'!G73</f>
        <v>1603.0730000000001</v>
      </c>
      <c r="D74" s="346">
        <f>760.3+1301.31</f>
        <v>2061.6099999999997</v>
      </c>
      <c r="E74" s="241">
        <v>604.79999999999995</v>
      </c>
      <c r="F74" s="889">
        <f>968.89+2357.72</f>
        <v>3326.6099999999997</v>
      </c>
      <c r="G74" s="299">
        <f t="shared" si="9"/>
        <v>1997.673</v>
      </c>
      <c r="H74" s="93">
        <v>968.89</v>
      </c>
      <c r="I74" s="93">
        <f>5642.28+2000</f>
        <v>7642.28</v>
      </c>
      <c r="J74" s="94"/>
      <c r="K74" s="319"/>
      <c r="L74" s="319">
        <f>100.8*5</f>
        <v>504</v>
      </c>
      <c r="M74" s="319"/>
      <c r="N74" s="319"/>
      <c r="O74" s="319"/>
      <c r="P74" s="319">
        <f>100.8*2</f>
        <v>201.6</v>
      </c>
      <c r="Q74" s="319"/>
      <c r="R74" s="319"/>
      <c r="S74" s="319"/>
      <c r="T74" s="319"/>
      <c r="U74" s="319"/>
      <c r="V74" s="319"/>
      <c r="W74" s="319"/>
      <c r="X74" s="319"/>
      <c r="Y74" s="319">
        <f>66.26+54.7</f>
        <v>120.96000000000001</v>
      </c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>
        <f>201.6*1.5</f>
        <v>302.39999999999998</v>
      </c>
      <c r="AK74" s="319"/>
      <c r="AL74" s="319"/>
      <c r="AM74" s="319"/>
      <c r="AN74" s="319"/>
      <c r="AO74" s="319"/>
      <c r="AP74" s="319">
        <v>30.24</v>
      </c>
      <c r="AQ74" s="319"/>
      <c r="AR74" s="319"/>
      <c r="AS74" s="319"/>
      <c r="AT74" s="319"/>
      <c r="AU74" s="319"/>
      <c r="AV74" s="319"/>
      <c r="AW74" s="319"/>
      <c r="AX74" s="319"/>
      <c r="AY74" s="319"/>
      <c r="AZ74" s="319"/>
      <c r="BA74" s="319">
        <v>35.53</v>
      </c>
      <c r="BB74" s="319">
        <v>161.28</v>
      </c>
      <c r="BC74" s="319">
        <f>100.8*4</f>
        <v>403.2</v>
      </c>
      <c r="BD74" s="319"/>
      <c r="BE74" s="319"/>
      <c r="BF74" s="319">
        <f>100.8*3</f>
        <v>302.39999999999998</v>
      </c>
      <c r="BG74" s="158">
        <f t="shared" ref="BG74:BG102" si="36">SUM(K74:BF74)</f>
        <v>2061.61</v>
      </c>
      <c r="BH74" s="94"/>
      <c r="BI74" s="833"/>
      <c r="BJ74" s="319"/>
      <c r="BK74" s="319"/>
      <c r="BL74" s="319"/>
      <c r="BM74" s="319"/>
      <c r="BN74" s="319"/>
      <c r="BO74" s="319"/>
      <c r="BP74" s="319"/>
      <c r="BQ74" s="319"/>
      <c r="BR74" s="319">
        <v>100.8</v>
      </c>
      <c r="BS74" s="319"/>
      <c r="BT74" s="319"/>
      <c r="BU74" s="319"/>
      <c r="BV74" s="319"/>
      <c r="BW74" s="319"/>
      <c r="BX74" s="319"/>
      <c r="BY74" s="319"/>
      <c r="BZ74" s="319"/>
      <c r="CA74" s="319"/>
      <c r="CB74" s="319"/>
      <c r="CC74" s="319"/>
      <c r="CD74" s="319"/>
      <c r="CE74" s="319"/>
      <c r="CF74" s="319"/>
      <c r="CG74" s="319"/>
      <c r="CH74" s="319"/>
      <c r="CI74" s="319"/>
      <c r="CJ74" s="319"/>
      <c r="CK74" s="319"/>
      <c r="CL74" s="319">
        <f>302.4/1.5*2.5</f>
        <v>504</v>
      </c>
      <c r="CM74" s="319"/>
      <c r="CN74" s="319"/>
      <c r="CO74" s="319"/>
      <c r="CP74" s="319"/>
      <c r="CQ74" s="365"/>
      <c r="CR74" s="419">
        <f t="shared" ref="CR74:CR102" si="37">SUM(BI74:CQ74)</f>
        <v>604.79999999999995</v>
      </c>
      <c r="CS74" s="57"/>
      <c r="CT74" s="319"/>
      <c r="CU74" s="319"/>
      <c r="CV74" s="319"/>
      <c r="CW74" s="319"/>
      <c r="CX74" s="319"/>
      <c r="CY74" s="319"/>
      <c r="CZ74" s="319">
        <f>100.8*3.8</f>
        <v>383.03999999999996</v>
      </c>
      <c r="DA74" s="319"/>
      <c r="DB74" s="319"/>
      <c r="DC74" s="319"/>
      <c r="DD74" s="319"/>
      <c r="DE74" s="319"/>
      <c r="DF74" s="319">
        <v>30.24</v>
      </c>
      <c r="DG74" s="319"/>
      <c r="DH74" s="319"/>
      <c r="DI74" s="319">
        <f>100.8*7</f>
        <v>705.6</v>
      </c>
      <c r="DJ74" s="319">
        <f>50.757*0.6</f>
        <v>30.454199999999997</v>
      </c>
      <c r="DK74" s="319">
        <v>100.8</v>
      </c>
      <c r="DL74" s="319"/>
      <c r="DM74" s="319"/>
      <c r="DN74" s="319"/>
      <c r="DO74" s="319"/>
      <c r="DP74" s="319"/>
      <c r="DQ74" s="319"/>
      <c r="DR74" s="319"/>
      <c r="DS74" s="319"/>
      <c r="DT74" s="245">
        <f>181.44/0.9*0.6</f>
        <v>120.96</v>
      </c>
      <c r="DU74" s="271"/>
      <c r="DV74" s="177"/>
      <c r="DW74" s="177"/>
      <c r="DX74" s="319"/>
      <c r="DY74" s="319"/>
      <c r="DZ74" s="319"/>
      <c r="EA74" s="319"/>
      <c r="EB74" s="319"/>
      <c r="EC74" s="319"/>
      <c r="ED74" s="319"/>
      <c r="EE74" s="319"/>
      <c r="EF74" s="319"/>
      <c r="EG74" s="319"/>
      <c r="EH74" s="319">
        <f>100.8*4</f>
        <v>403.2</v>
      </c>
      <c r="EI74" s="319"/>
      <c r="EJ74" s="319"/>
      <c r="EK74" s="245"/>
      <c r="EL74" s="466">
        <f>201.6*1.3</f>
        <v>262.08</v>
      </c>
      <c r="EM74" s="319">
        <f>100.8*4.2</f>
        <v>423.36</v>
      </c>
      <c r="EN74" s="319">
        <f>100.8*2</f>
        <v>201.6</v>
      </c>
      <c r="EO74" s="319"/>
      <c r="EP74" s="319"/>
      <c r="EQ74" s="319"/>
      <c r="ER74" s="319">
        <v>100.8</v>
      </c>
      <c r="ES74" s="319"/>
      <c r="ET74" s="319"/>
      <c r="EU74" s="319"/>
      <c r="EV74" s="319"/>
      <c r="EW74" s="319">
        <f>151.2/1.5</f>
        <v>100.8</v>
      </c>
      <c r="EX74" s="319"/>
      <c r="EY74" s="319"/>
      <c r="EZ74" s="319"/>
      <c r="FA74" s="319"/>
      <c r="FB74" s="319">
        <v>342.72</v>
      </c>
      <c r="FC74" s="319"/>
      <c r="FD74" s="319">
        <f>181.44/0.9*0.6</f>
        <v>120.96</v>
      </c>
      <c r="FE74" s="319"/>
      <c r="FF74" s="319"/>
      <c r="FG74" s="319"/>
      <c r="FH74" s="319"/>
      <c r="FI74" s="158">
        <f t="shared" ref="FI74:FI102" si="38">SUM(CT74:FH74)</f>
        <v>3326.6142</v>
      </c>
      <c r="FJ74" s="95"/>
      <c r="FK74" s="374"/>
      <c r="FL74" s="319"/>
      <c r="FM74" s="319"/>
      <c r="FN74" s="319"/>
      <c r="FO74" s="319"/>
      <c r="FP74" s="319"/>
      <c r="FQ74" s="319"/>
      <c r="FR74" s="319"/>
      <c r="FS74" s="319"/>
      <c r="FT74" s="319"/>
      <c r="FU74" s="319"/>
      <c r="FV74" s="319"/>
      <c r="FW74" s="319"/>
      <c r="FX74" s="319"/>
      <c r="FY74" s="28"/>
      <c r="FZ74" s="270"/>
      <c r="GA74" s="271"/>
      <c r="GB74" s="177"/>
      <c r="GC74" s="177"/>
      <c r="GD74" s="177"/>
      <c r="GE74" s="802"/>
      <c r="GF74" s="435"/>
      <c r="GG74" s="327">
        <f t="shared" ref="GG74:GG102" si="39">SUM(FK74:GF74)</f>
        <v>0</v>
      </c>
      <c r="GH74" s="445">
        <f t="shared" ref="GH74:GH102" si="40">I74-GG74</f>
        <v>7642.28</v>
      </c>
      <c r="GI74" s="605">
        <f t="shared" ref="GI74:GI102" si="41">I74</f>
        <v>7642.28</v>
      </c>
      <c r="GJ74" s="627">
        <f t="shared" ref="GJ74:GJ102" si="42">C74</f>
        <v>1603.0730000000001</v>
      </c>
      <c r="GK74" s="239">
        <f t="shared" ref="GK74:GK102" si="43">E74</f>
        <v>604.79999999999995</v>
      </c>
      <c r="GL74" s="36" t="str">
        <f t="shared" ref="GL74:GL102" si="44">B74</f>
        <v>кальция пропионат</v>
      </c>
      <c r="GM74" s="232"/>
      <c r="GN74" s="22"/>
      <c r="GO74" s="22"/>
    </row>
    <row r="75" spans="1:197" x14ac:dyDescent="0.3">
      <c r="A75" s="127">
        <f t="shared" ref="A75:A91" si="45">A74+1</f>
        <v>62</v>
      </c>
      <c r="B75" s="278" t="s">
        <v>24</v>
      </c>
      <c r="C75" s="565">
        <f>'3_квартал'!G74</f>
        <v>0</v>
      </c>
      <c r="D75" s="241">
        <v>0</v>
      </c>
      <c r="E75" s="241">
        <v>0</v>
      </c>
      <c r="F75" s="889">
        <v>0</v>
      </c>
      <c r="G75" s="299">
        <f t="shared" si="9"/>
        <v>0</v>
      </c>
      <c r="H75" s="93">
        <v>0</v>
      </c>
      <c r="I75" s="93">
        <v>0</v>
      </c>
      <c r="J75" s="94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319"/>
      <c r="AQ75" s="319"/>
      <c r="AR75" s="319"/>
      <c r="AS75" s="319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158">
        <f t="shared" si="36"/>
        <v>0</v>
      </c>
      <c r="BH75" s="94"/>
      <c r="BI75" s="833"/>
      <c r="BJ75" s="319"/>
      <c r="BK75" s="319"/>
      <c r="BL75" s="319"/>
      <c r="BM75" s="319"/>
      <c r="BN75" s="319"/>
      <c r="BO75" s="319"/>
      <c r="BP75" s="319"/>
      <c r="BQ75" s="319"/>
      <c r="BR75" s="319"/>
      <c r="BS75" s="319"/>
      <c r="BT75" s="319"/>
      <c r="BU75" s="319"/>
      <c r="BV75" s="319"/>
      <c r="BW75" s="319"/>
      <c r="BX75" s="319"/>
      <c r="BY75" s="319"/>
      <c r="BZ75" s="319"/>
      <c r="CA75" s="319"/>
      <c r="CB75" s="319"/>
      <c r="CC75" s="319"/>
      <c r="CD75" s="319"/>
      <c r="CE75" s="319"/>
      <c r="CF75" s="319"/>
      <c r="CG75" s="319"/>
      <c r="CH75" s="319"/>
      <c r="CI75" s="319"/>
      <c r="CJ75" s="319"/>
      <c r="CK75" s="319"/>
      <c r="CL75" s="319"/>
      <c r="CM75" s="319"/>
      <c r="CN75" s="319"/>
      <c r="CO75" s="319"/>
      <c r="CP75" s="319"/>
      <c r="CQ75" s="365"/>
      <c r="CR75" s="419">
        <f t="shared" si="37"/>
        <v>0</v>
      </c>
      <c r="CS75" s="58"/>
      <c r="CT75" s="319"/>
      <c r="CU75" s="319"/>
      <c r="CV75" s="319"/>
      <c r="CW75" s="319"/>
      <c r="CX75" s="319"/>
      <c r="CY75" s="319"/>
      <c r="CZ75" s="319"/>
      <c r="DA75" s="319"/>
      <c r="DB75" s="319"/>
      <c r="DC75" s="319"/>
      <c r="DD75" s="319"/>
      <c r="DE75" s="319"/>
      <c r="DF75" s="319"/>
      <c r="DG75" s="319"/>
      <c r="DH75" s="319"/>
      <c r="DI75" s="319"/>
      <c r="DJ75" s="319"/>
      <c r="DK75" s="319"/>
      <c r="DL75" s="319"/>
      <c r="DM75" s="319"/>
      <c r="DN75" s="319"/>
      <c r="DO75" s="319"/>
      <c r="DP75" s="319"/>
      <c r="DQ75" s="319"/>
      <c r="DR75" s="319"/>
      <c r="DS75" s="319"/>
      <c r="DT75" s="245"/>
      <c r="DU75" s="271"/>
      <c r="DV75" s="177"/>
      <c r="DW75" s="177"/>
      <c r="DX75" s="319"/>
      <c r="DY75" s="319"/>
      <c r="DZ75" s="319"/>
      <c r="EA75" s="319"/>
      <c r="EB75" s="319"/>
      <c r="EC75" s="319"/>
      <c r="ED75" s="319"/>
      <c r="EE75" s="319"/>
      <c r="EF75" s="319"/>
      <c r="EG75" s="319"/>
      <c r="EH75" s="319"/>
      <c r="EI75" s="319"/>
      <c r="EJ75" s="319"/>
      <c r="EK75" s="245"/>
      <c r="EL75" s="466"/>
      <c r="EM75" s="319"/>
      <c r="EN75" s="319"/>
      <c r="EO75" s="319"/>
      <c r="EP75" s="319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319"/>
      <c r="FD75" s="319"/>
      <c r="FE75" s="319"/>
      <c r="FF75" s="319"/>
      <c r="FG75" s="319"/>
      <c r="FH75" s="319"/>
      <c r="FI75" s="158">
        <f t="shared" si="38"/>
        <v>0</v>
      </c>
      <c r="FJ75" s="95"/>
      <c r="FK75" s="374"/>
      <c r="FL75" s="319"/>
      <c r="FM75" s="319"/>
      <c r="FN75" s="319"/>
      <c r="FO75" s="319"/>
      <c r="FP75" s="319"/>
      <c r="FQ75" s="319"/>
      <c r="FR75" s="319"/>
      <c r="FS75" s="319"/>
      <c r="FT75" s="319"/>
      <c r="FU75" s="319"/>
      <c r="FV75" s="319"/>
      <c r="FW75" s="319"/>
      <c r="FX75" s="319"/>
      <c r="FY75" s="28"/>
      <c r="FZ75" s="270"/>
      <c r="GA75" s="271"/>
      <c r="GB75" s="177"/>
      <c r="GC75" s="177"/>
      <c r="GD75" s="177"/>
      <c r="GE75" s="802"/>
      <c r="GF75" s="435"/>
      <c r="GG75" s="327">
        <f t="shared" si="39"/>
        <v>0</v>
      </c>
      <c r="GH75" s="445">
        <f t="shared" si="40"/>
        <v>0</v>
      </c>
      <c r="GI75" s="605">
        <f t="shared" si="41"/>
        <v>0</v>
      </c>
      <c r="GJ75" s="627">
        <f t="shared" si="42"/>
        <v>0</v>
      </c>
      <c r="GK75" s="239">
        <f t="shared" si="43"/>
        <v>0</v>
      </c>
      <c r="GL75" s="36" t="str">
        <f t="shared" si="44"/>
        <v>КонСепт Форте</v>
      </c>
      <c r="GM75" s="664"/>
      <c r="GN75" s="15"/>
      <c r="GO75" s="15"/>
    </row>
    <row r="76" spans="1:197" x14ac:dyDescent="0.3">
      <c r="A76" s="127">
        <f t="shared" si="45"/>
        <v>63</v>
      </c>
      <c r="B76" s="278" t="s">
        <v>156</v>
      </c>
      <c r="C76" s="565">
        <f>'3_квартал'!G75</f>
        <v>0</v>
      </c>
      <c r="D76" s="241">
        <v>0</v>
      </c>
      <c r="E76" s="241">
        <v>0</v>
      </c>
      <c r="F76" s="889">
        <v>0</v>
      </c>
      <c r="G76" s="299">
        <f t="shared" si="9"/>
        <v>0</v>
      </c>
      <c r="H76" s="93">
        <v>0</v>
      </c>
      <c r="I76" s="93">
        <v>0</v>
      </c>
      <c r="J76" s="94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319"/>
      <c r="AQ76" s="319"/>
      <c r="AR76" s="319"/>
      <c r="AS76" s="319"/>
      <c r="AT76" s="319"/>
      <c r="AU76" s="319"/>
      <c r="AV76" s="319"/>
      <c r="AW76" s="319"/>
      <c r="AX76" s="319"/>
      <c r="AY76" s="319"/>
      <c r="AZ76" s="319"/>
      <c r="BA76" s="319"/>
      <c r="BB76" s="319"/>
      <c r="BC76" s="319"/>
      <c r="BD76" s="319"/>
      <c r="BE76" s="319"/>
      <c r="BF76" s="319"/>
      <c r="BG76" s="158">
        <f t="shared" si="36"/>
        <v>0</v>
      </c>
      <c r="BH76" s="94"/>
      <c r="BI76" s="833"/>
      <c r="BJ76" s="319"/>
      <c r="BK76" s="319"/>
      <c r="BL76" s="319"/>
      <c r="BM76" s="319"/>
      <c r="BN76" s="319"/>
      <c r="BO76" s="319"/>
      <c r="BP76" s="319"/>
      <c r="BQ76" s="319"/>
      <c r="BR76" s="319"/>
      <c r="BS76" s="319"/>
      <c r="BT76" s="319"/>
      <c r="BU76" s="319"/>
      <c r="BV76" s="319"/>
      <c r="BW76" s="319"/>
      <c r="BX76" s="319"/>
      <c r="BY76" s="319"/>
      <c r="BZ76" s="319"/>
      <c r="CA76" s="319"/>
      <c r="CB76" s="319"/>
      <c r="CC76" s="319"/>
      <c r="CD76" s="319"/>
      <c r="CE76" s="319"/>
      <c r="CF76" s="319"/>
      <c r="CG76" s="319"/>
      <c r="CH76" s="319"/>
      <c r="CI76" s="319"/>
      <c r="CJ76" s="319"/>
      <c r="CK76" s="319"/>
      <c r="CL76" s="319"/>
      <c r="CM76" s="319"/>
      <c r="CN76" s="319"/>
      <c r="CO76" s="319"/>
      <c r="CP76" s="319"/>
      <c r="CQ76" s="365"/>
      <c r="CR76" s="419">
        <f t="shared" si="37"/>
        <v>0</v>
      </c>
      <c r="CS76" s="57"/>
      <c r="CT76" s="319"/>
      <c r="CU76" s="319"/>
      <c r="CV76" s="319"/>
      <c r="CW76" s="319"/>
      <c r="CX76" s="319"/>
      <c r="CY76" s="319"/>
      <c r="CZ76" s="319"/>
      <c r="DA76" s="319"/>
      <c r="DB76" s="319"/>
      <c r="DC76" s="319"/>
      <c r="DD76" s="319"/>
      <c r="DE76" s="319"/>
      <c r="DF76" s="319"/>
      <c r="DG76" s="319"/>
      <c r="DH76" s="319"/>
      <c r="DI76" s="319"/>
      <c r="DJ76" s="319"/>
      <c r="DK76" s="319"/>
      <c r="DL76" s="319"/>
      <c r="DM76" s="319"/>
      <c r="DN76" s="319"/>
      <c r="DO76" s="319"/>
      <c r="DP76" s="319"/>
      <c r="DQ76" s="319"/>
      <c r="DR76" s="319"/>
      <c r="DS76" s="319"/>
      <c r="DT76" s="245"/>
      <c r="DU76" s="271"/>
      <c r="DV76" s="177"/>
      <c r="DW76" s="177"/>
      <c r="DX76" s="319"/>
      <c r="DY76" s="319"/>
      <c r="DZ76" s="319"/>
      <c r="EA76" s="319"/>
      <c r="EB76" s="319"/>
      <c r="EC76" s="319"/>
      <c r="ED76" s="319"/>
      <c r="EE76" s="319"/>
      <c r="EF76" s="319"/>
      <c r="EG76" s="319"/>
      <c r="EH76" s="319"/>
      <c r="EI76" s="319"/>
      <c r="EJ76" s="319"/>
      <c r="EK76" s="245"/>
      <c r="EL76" s="466"/>
      <c r="EM76" s="319"/>
      <c r="EN76" s="319"/>
      <c r="EO76" s="319"/>
      <c r="EP76" s="319"/>
      <c r="EQ76" s="319"/>
      <c r="ER76" s="319"/>
      <c r="ES76" s="319"/>
      <c r="ET76" s="319"/>
      <c r="EU76" s="319"/>
      <c r="EV76" s="319"/>
      <c r="EW76" s="319"/>
      <c r="EX76" s="319"/>
      <c r="EY76" s="319"/>
      <c r="EZ76" s="319"/>
      <c r="FA76" s="319"/>
      <c r="FB76" s="319"/>
      <c r="FC76" s="319"/>
      <c r="FD76" s="319"/>
      <c r="FE76" s="319"/>
      <c r="FF76" s="319"/>
      <c r="FG76" s="319"/>
      <c r="FH76" s="319"/>
      <c r="FI76" s="158">
        <f t="shared" si="38"/>
        <v>0</v>
      </c>
      <c r="FJ76" s="95"/>
      <c r="FK76" s="374"/>
      <c r="FL76" s="319"/>
      <c r="FM76" s="319"/>
      <c r="FN76" s="319"/>
      <c r="FO76" s="319"/>
      <c r="FP76" s="319"/>
      <c r="FQ76" s="319"/>
      <c r="FR76" s="319"/>
      <c r="FS76" s="319"/>
      <c r="FT76" s="319"/>
      <c r="FU76" s="319"/>
      <c r="FV76" s="319"/>
      <c r="FW76" s="319"/>
      <c r="FX76" s="319"/>
      <c r="FY76" s="28"/>
      <c r="FZ76" s="270"/>
      <c r="GA76" s="271"/>
      <c r="GB76" s="177"/>
      <c r="GC76" s="177"/>
      <c r="GD76" s="177"/>
      <c r="GE76" s="802"/>
      <c r="GF76" s="435"/>
      <c r="GG76" s="327">
        <f t="shared" si="39"/>
        <v>0</v>
      </c>
      <c r="GH76" s="445">
        <f t="shared" si="40"/>
        <v>0</v>
      </c>
      <c r="GI76" s="605">
        <f t="shared" si="41"/>
        <v>0</v>
      </c>
      <c r="GJ76" s="627">
        <f t="shared" si="42"/>
        <v>0</v>
      </c>
      <c r="GK76" s="239">
        <f t="shared" si="43"/>
        <v>0</v>
      </c>
      <c r="GL76" s="36" t="str">
        <f t="shared" si="44"/>
        <v>Корм.концентрат  Ультра Фид Ф</v>
      </c>
      <c r="GM76" s="38"/>
      <c r="GN76" s="14"/>
      <c r="GO76" s="14"/>
    </row>
    <row r="77" spans="1:197" x14ac:dyDescent="0.3">
      <c r="A77" s="127">
        <f t="shared" si="45"/>
        <v>64</v>
      </c>
      <c r="B77" s="280" t="s">
        <v>32</v>
      </c>
      <c r="C77" s="565">
        <f>'3_квартал'!G76</f>
        <v>342.233</v>
      </c>
      <c r="D77" s="346">
        <f>102.62+49+280.25</f>
        <v>431.87</v>
      </c>
      <c r="E77" s="241">
        <v>37.97</v>
      </c>
      <c r="F77" s="889">
        <f>30.78+299+282.16</f>
        <v>611.94000000000005</v>
      </c>
      <c r="G77" s="299">
        <f t="shared" si="9"/>
        <v>360.59300000000002</v>
      </c>
      <c r="H77" s="93">
        <f>30.78+299</f>
        <v>329.78</v>
      </c>
      <c r="I77" s="93">
        <f>116.84+250+50</f>
        <v>416.84000000000003</v>
      </c>
      <c r="J77" s="94"/>
      <c r="K77" s="319"/>
      <c r="L77" s="319"/>
      <c r="M77" s="319">
        <f>0.101*2</f>
        <v>0.20200000000000001</v>
      </c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>
        <v>12.096</v>
      </c>
      <c r="Y77" s="319"/>
      <c r="Z77" s="319"/>
      <c r="AA77" s="319"/>
      <c r="AB77" s="319">
        <f>0.068*0.5</f>
        <v>3.4000000000000002E-2</v>
      </c>
      <c r="AC77" s="319"/>
      <c r="AD77" s="319"/>
      <c r="AE77" s="319"/>
      <c r="AF77" s="319"/>
      <c r="AG77" s="319"/>
      <c r="AH77" s="319"/>
      <c r="AI77" s="319"/>
      <c r="AJ77" s="319"/>
      <c r="AK77" s="319"/>
      <c r="AL77" s="319">
        <v>302.39999999999998</v>
      </c>
      <c r="AM77" s="319">
        <v>2.419</v>
      </c>
      <c r="AN77" s="319">
        <v>1.21</v>
      </c>
      <c r="AO77" s="319"/>
      <c r="AP77" s="319"/>
      <c r="AQ77" s="319"/>
      <c r="AR77" s="319"/>
      <c r="AS77" s="319"/>
      <c r="AT77" s="319"/>
      <c r="AU77" s="319"/>
      <c r="AV77" s="319"/>
      <c r="AW77" s="319">
        <v>60.48</v>
      </c>
      <c r="AX77" s="319"/>
      <c r="AY77" s="319"/>
      <c r="AZ77" s="319">
        <v>4.5359999999999996</v>
      </c>
      <c r="BA77" s="319">
        <v>16.228999999999999</v>
      </c>
      <c r="BB77" s="319">
        <v>32.256</v>
      </c>
      <c r="BC77" s="319"/>
      <c r="BD77" s="319"/>
      <c r="BE77" s="319"/>
      <c r="BF77" s="319"/>
      <c r="BG77" s="158">
        <f t="shared" si="36"/>
        <v>431.86199999999997</v>
      </c>
      <c r="BH77" s="94"/>
      <c r="BI77" s="833"/>
      <c r="BJ77" s="319"/>
      <c r="BK77" s="319"/>
      <c r="BL77" s="319"/>
      <c r="BM77" s="319"/>
      <c r="BN77" s="319"/>
      <c r="BO77" s="319"/>
      <c r="BP77" s="319"/>
      <c r="BQ77" s="319">
        <f>4.032/0.6</f>
        <v>6.7200000000000006</v>
      </c>
      <c r="BR77" s="319"/>
      <c r="BS77" s="319"/>
      <c r="BT77" s="319"/>
      <c r="BU77" s="319"/>
      <c r="BV77" s="319"/>
      <c r="BW77" s="319">
        <f>4.536/0.5</f>
        <v>9.0719999999999992</v>
      </c>
      <c r="BX77" s="319"/>
      <c r="BY77" s="319">
        <v>10.08</v>
      </c>
      <c r="BZ77" s="319"/>
      <c r="CA77" s="319"/>
      <c r="CB77" s="319"/>
      <c r="CC77" s="319"/>
      <c r="CD77" s="319">
        <v>12.096</v>
      </c>
      <c r="CE77" s="319"/>
      <c r="CF77" s="319"/>
      <c r="CG77" s="319"/>
      <c r="CH77" s="319"/>
      <c r="CI77" s="319"/>
      <c r="CJ77" s="319"/>
      <c r="CK77" s="319"/>
      <c r="CL77" s="319"/>
      <c r="CM77" s="319"/>
      <c r="CN77" s="319"/>
      <c r="CO77" s="319"/>
      <c r="CP77" s="319"/>
      <c r="CQ77" s="365"/>
      <c r="CR77" s="419">
        <f t="shared" si="37"/>
        <v>37.968000000000004</v>
      </c>
      <c r="CS77" s="57"/>
      <c r="CT77" s="319"/>
      <c r="CU77" s="319"/>
      <c r="CV77" s="319"/>
      <c r="CW77" s="319">
        <v>302.39999999999998</v>
      </c>
      <c r="CX77" s="319"/>
      <c r="CY77" s="319"/>
      <c r="CZ77" s="319"/>
      <c r="DA77" s="319"/>
      <c r="DB77" s="319"/>
      <c r="DC77" s="319"/>
      <c r="DD77" s="319"/>
      <c r="DE77" s="319"/>
      <c r="DF77" s="319"/>
      <c r="DG77" s="319"/>
      <c r="DH77" s="319"/>
      <c r="DI77" s="319"/>
      <c r="DJ77" s="319">
        <f>23.184*0.6</f>
        <v>13.910400000000001</v>
      </c>
      <c r="DK77" s="319">
        <v>20.16</v>
      </c>
      <c r="DL77" s="319"/>
      <c r="DM77" s="319">
        <v>60.48</v>
      </c>
      <c r="DN77" s="319"/>
      <c r="DO77" s="319"/>
      <c r="DP77" s="319"/>
      <c r="DQ77" s="319"/>
      <c r="DR77" s="319"/>
      <c r="DS77" s="319"/>
      <c r="DT77" s="245"/>
      <c r="DU77" s="271">
        <f>5.04*8</f>
        <v>40.32</v>
      </c>
      <c r="DV77" s="177">
        <f>0.504*2</f>
        <v>1.008</v>
      </c>
      <c r="DW77" s="177">
        <f>10.08*4</f>
        <v>40.32</v>
      </c>
      <c r="DX77" s="319">
        <f>21.773/2*3</f>
        <v>32.659500000000001</v>
      </c>
      <c r="DY77" s="319"/>
      <c r="DZ77" s="319"/>
      <c r="EA77" s="319"/>
      <c r="EB77" s="319"/>
      <c r="EC77" s="319"/>
      <c r="ED77" s="319"/>
      <c r="EE77" s="319"/>
      <c r="EF77" s="319"/>
      <c r="EG77" s="319"/>
      <c r="EH77" s="319"/>
      <c r="EI77" s="319">
        <f>20.16*2</f>
        <v>40.32</v>
      </c>
      <c r="EJ77" s="319"/>
      <c r="EK77" s="245"/>
      <c r="EL77" s="466"/>
      <c r="EM77" s="319"/>
      <c r="EN77" s="319"/>
      <c r="EO77" s="319">
        <f>4.032</f>
        <v>4.032</v>
      </c>
      <c r="EP77" s="319">
        <v>1.613</v>
      </c>
      <c r="EQ77" s="319"/>
      <c r="ER77" s="319"/>
      <c r="ES77" s="319"/>
      <c r="ET77" s="319"/>
      <c r="EU77" s="319"/>
      <c r="EV77" s="319"/>
      <c r="EW77" s="319">
        <f>30.24/1.5</f>
        <v>20.16</v>
      </c>
      <c r="EX77" s="319"/>
      <c r="EY77" s="319">
        <v>20.16</v>
      </c>
      <c r="EZ77" s="319"/>
      <c r="FA77" s="319"/>
      <c r="FB77" s="319"/>
      <c r="FC77" s="319">
        <f>24.192/1.2*0.6</f>
        <v>12.096</v>
      </c>
      <c r="FD77" s="319"/>
      <c r="FE77" s="319">
        <v>1.21</v>
      </c>
      <c r="FF77" s="319">
        <f>0.059*2</f>
        <v>0.11799999999999999</v>
      </c>
      <c r="FG77" s="319">
        <f>0.296*2</f>
        <v>0.59199999999999997</v>
      </c>
      <c r="FH77" s="319">
        <f>0.252*1.5</f>
        <v>0.378</v>
      </c>
      <c r="FI77" s="158">
        <f t="shared" si="38"/>
        <v>611.93690000000015</v>
      </c>
      <c r="FJ77" s="95"/>
      <c r="FK77" s="374"/>
      <c r="FL77" s="319"/>
      <c r="FM77" s="319"/>
      <c r="FN77" s="319"/>
      <c r="FO77" s="319"/>
      <c r="FP77" s="319"/>
      <c r="FQ77" s="319"/>
      <c r="FR77" s="319"/>
      <c r="FS77" s="319"/>
      <c r="FT77" s="319"/>
      <c r="FU77" s="319"/>
      <c r="FV77" s="319"/>
      <c r="FW77" s="319"/>
      <c r="FX77" s="319"/>
      <c r="FY77" s="28"/>
      <c r="FZ77" s="270"/>
      <c r="GA77" s="271"/>
      <c r="GB77" s="177"/>
      <c r="GC77" s="177"/>
      <c r="GD77" s="177"/>
      <c r="GE77" s="802"/>
      <c r="GF77" s="435"/>
      <c r="GG77" s="327">
        <f t="shared" si="39"/>
        <v>0</v>
      </c>
      <c r="GH77" s="445">
        <f t="shared" si="40"/>
        <v>416.84000000000003</v>
      </c>
      <c r="GI77" s="605">
        <f t="shared" si="41"/>
        <v>416.84000000000003</v>
      </c>
      <c r="GJ77" s="627">
        <f t="shared" si="42"/>
        <v>342.233</v>
      </c>
      <c r="GK77" s="239">
        <f t="shared" si="43"/>
        <v>37.97</v>
      </c>
      <c r="GL77" s="36" t="str">
        <f t="shared" si="44"/>
        <v>и-сак</v>
      </c>
      <c r="GM77" s="664"/>
      <c r="GN77" s="14"/>
      <c r="GO77" s="14"/>
    </row>
    <row r="78" spans="1:197" x14ac:dyDescent="0.3">
      <c r="A78" s="127">
        <f t="shared" si="45"/>
        <v>65</v>
      </c>
      <c r="B78" s="283" t="s">
        <v>22</v>
      </c>
      <c r="C78" s="565">
        <f>'3_квартал'!G77</f>
        <v>0</v>
      </c>
      <c r="D78" s="241">
        <v>0</v>
      </c>
      <c r="E78" s="241">
        <v>0</v>
      </c>
      <c r="F78" s="889">
        <v>0</v>
      </c>
      <c r="G78" s="299">
        <f t="shared" si="9"/>
        <v>0</v>
      </c>
      <c r="H78" s="93">
        <v>0</v>
      </c>
      <c r="I78" s="93">
        <v>0</v>
      </c>
      <c r="J78" s="146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/>
      <c r="BB78" s="319"/>
      <c r="BC78" s="319"/>
      <c r="BD78" s="319"/>
      <c r="BE78" s="319"/>
      <c r="BF78" s="319"/>
      <c r="BG78" s="158">
        <f t="shared" si="36"/>
        <v>0</v>
      </c>
      <c r="BH78" s="146"/>
      <c r="BI78" s="833"/>
      <c r="BJ78" s="319"/>
      <c r="BK78" s="319"/>
      <c r="BL78" s="319"/>
      <c r="BM78" s="319"/>
      <c r="BN78" s="319"/>
      <c r="BO78" s="319"/>
      <c r="BP78" s="319"/>
      <c r="BQ78" s="319"/>
      <c r="BR78" s="319"/>
      <c r="BS78" s="319"/>
      <c r="BT78" s="319"/>
      <c r="BU78" s="319"/>
      <c r="BV78" s="319"/>
      <c r="BW78" s="319"/>
      <c r="BX78" s="319"/>
      <c r="BY78" s="319"/>
      <c r="BZ78" s="319"/>
      <c r="CA78" s="319"/>
      <c r="CB78" s="319"/>
      <c r="CC78" s="319"/>
      <c r="CD78" s="319"/>
      <c r="CE78" s="319"/>
      <c r="CF78" s="319"/>
      <c r="CG78" s="319"/>
      <c r="CH78" s="319"/>
      <c r="CI78" s="319"/>
      <c r="CJ78" s="319"/>
      <c r="CK78" s="319"/>
      <c r="CL78" s="319"/>
      <c r="CM78" s="319"/>
      <c r="CN78" s="319"/>
      <c r="CO78" s="319"/>
      <c r="CP78" s="319"/>
      <c r="CQ78" s="365"/>
      <c r="CR78" s="419">
        <f t="shared" si="37"/>
        <v>0</v>
      </c>
      <c r="CS78" s="147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245"/>
      <c r="DU78" s="271"/>
      <c r="DV78" s="177"/>
      <c r="DW78" s="177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245"/>
      <c r="EL78" s="466"/>
      <c r="EM78" s="319"/>
      <c r="EN78" s="319"/>
      <c r="EO78" s="319"/>
      <c r="EP78" s="319"/>
      <c r="EQ78" s="319"/>
      <c r="ER78" s="319"/>
      <c r="ES78" s="319"/>
      <c r="ET78" s="319"/>
      <c r="EU78" s="319"/>
      <c r="EV78" s="319"/>
      <c r="EW78" s="319"/>
      <c r="EX78" s="319"/>
      <c r="EY78" s="319"/>
      <c r="EZ78" s="319"/>
      <c r="FA78" s="319"/>
      <c r="FB78" s="319"/>
      <c r="FC78" s="319"/>
      <c r="FD78" s="319"/>
      <c r="FE78" s="319"/>
      <c r="FF78" s="319"/>
      <c r="FG78" s="319"/>
      <c r="FH78" s="319"/>
      <c r="FI78" s="158">
        <f t="shared" si="38"/>
        <v>0</v>
      </c>
      <c r="FJ78" s="148"/>
      <c r="FK78" s="374"/>
      <c r="FL78" s="319"/>
      <c r="FM78" s="319"/>
      <c r="FN78" s="319"/>
      <c r="FO78" s="319"/>
      <c r="FP78" s="319"/>
      <c r="FQ78" s="319"/>
      <c r="FR78" s="319"/>
      <c r="FS78" s="319"/>
      <c r="FT78" s="319"/>
      <c r="FU78" s="319"/>
      <c r="FV78" s="319"/>
      <c r="FW78" s="319"/>
      <c r="FX78" s="319"/>
      <c r="FY78" s="28"/>
      <c r="FZ78" s="270"/>
      <c r="GA78" s="271"/>
      <c r="GB78" s="177"/>
      <c r="GC78" s="177"/>
      <c r="GD78" s="177"/>
      <c r="GE78" s="802"/>
      <c r="GF78" s="435"/>
      <c r="GG78" s="327">
        <f t="shared" si="39"/>
        <v>0</v>
      </c>
      <c r="GH78" s="445">
        <f t="shared" si="40"/>
        <v>0</v>
      </c>
      <c r="GI78" s="605">
        <f t="shared" si="41"/>
        <v>0</v>
      </c>
      <c r="GJ78" s="627">
        <f t="shared" si="42"/>
        <v>0</v>
      </c>
      <c r="GK78" s="239">
        <f t="shared" si="43"/>
        <v>0</v>
      </c>
      <c r="GL78" s="36" t="str">
        <f t="shared" si="44"/>
        <v>Новират плюс</v>
      </c>
      <c r="GM78" s="38"/>
      <c r="GN78" s="26"/>
      <c r="GO78" s="26"/>
    </row>
    <row r="79" spans="1:197" x14ac:dyDescent="0.3">
      <c r="A79" s="127">
        <f t="shared" si="45"/>
        <v>66</v>
      </c>
      <c r="B79" s="280" t="s">
        <v>159</v>
      </c>
      <c r="C79" s="565">
        <f>'3_квартал'!G78</f>
        <v>26.573</v>
      </c>
      <c r="D79" s="593">
        <f>14.83+7.15</f>
        <v>21.98</v>
      </c>
      <c r="E79" s="241">
        <v>10.75</v>
      </c>
      <c r="F79" s="889">
        <v>27.67</v>
      </c>
      <c r="G79" s="299">
        <f t="shared" si="9"/>
        <v>20.132999999999999</v>
      </c>
      <c r="H79" s="93">
        <v>82.1</v>
      </c>
      <c r="I79" s="93">
        <v>54.43</v>
      </c>
      <c r="J79" s="146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19">
        <v>1.008</v>
      </c>
      <c r="AM79" s="319"/>
      <c r="AN79" s="319">
        <v>4.8380000000000001</v>
      </c>
      <c r="AO79" s="319"/>
      <c r="AP79" s="319"/>
      <c r="AQ79" s="319"/>
      <c r="AR79" s="319"/>
      <c r="AS79" s="319"/>
      <c r="AT79" s="319">
        <f>26.88/10*6</f>
        <v>16.128</v>
      </c>
      <c r="AU79" s="319"/>
      <c r="AV79" s="319"/>
      <c r="AW79" s="319"/>
      <c r="AX79" s="319"/>
      <c r="AY79" s="319"/>
      <c r="AZ79" s="319"/>
      <c r="BA79" s="319"/>
      <c r="BB79" s="319"/>
      <c r="BC79" s="319"/>
      <c r="BD79" s="319"/>
      <c r="BE79" s="319"/>
      <c r="BF79" s="319"/>
      <c r="BG79" s="158">
        <f t="shared" si="36"/>
        <v>21.974</v>
      </c>
      <c r="BH79" s="146"/>
      <c r="BI79" s="833"/>
      <c r="BJ79" s="319"/>
      <c r="BK79" s="319"/>
      <c r="BL79" s="319"/>
      <c r="BM79" s="319"/>
      <c r="BN79" s="319"/>
      <c r="BO79" s="319"/>
      <c r="BP79" s="319"/>
      <c r="BQ79" s="319"/>
      <c r="BR79" s="319"/>
      <c r="BS79" s="319"/>
      <c r="BT79" s="319"/>
      <c r="BU79" s="319"/>
      <c r="BV79" s="319"/>
      <c r="BW79" s="319"/>
      <c r="BX79" s="319"/>
      <c r="BY79" s="319"/>
      <c r="BZ79" s="319"/>
      <c r="CA79" s="319"/>
      <c r="CB79" s="319"/>
      <c r="CC79" s="319"/>
      <c r="CD79" s="319"/>
      <c r="CE79" s="319"/>
      <c r="CF79" s="319"/>
      <c r="CG79" s="319"/>
      <c r="CH79" s="319"/>
      <c r="CI79" s="319"/>
      <c r="CJ79" s="319">
        <v>10.752000000000001</v>
      </c>
      <c r="CK79" s="319"/>
      <c r="CL79" s="319"/>
      <c r="CM79" s="319"/>
      <c r="CN79" s="319"/>
      <c r="CO79" s="319"/>
      <c r="CP79" s="319"/>
      <c r="CQ79" s="365"/>
      <c r="CR79" s="419">
        <f t="shared" si="37"/>
        <v>10.752000000000001</v>
      </c>
      <c r="CS79" s="147"/>
      <c r="CT79" s="319"/>
      <c r="CU79" s="319"/>
      <c r="CV79" s="319"/>
      <c r="CW79" s="319">
        <v>1.008</v>
      </c>
      <c r="CX79" s="319"/>
      <c r="CY79" s="319"/>
      <c r="CZ79" s="319"/>
      <c r="DA79" s="319"/>
      <c r="DB79" s="319"/>
      <c r="DC79" s="319"/>
      <c r="DD79" s="319"/>
      <c r="DE79" s="319"/>
      <c r="DF79" s="319"/>
      <c r="DG79" s="319"/>
      <c r="DH79" s="319"/>
      <c r="DI79" s="319"/>
      <c r="DJ79" s="319"/>
      <c r="DK79" s="319"/>
      <c r="DL79" s="319"/>
      <c r="DM79" s="319"/>
      <c r="DN79" s="319"/>
      <c r="DO79" s="319"/>
      <c r="DP79" s="319"/>
      <c r="DQ79" s="319"/>
      <c r="DR79" s="319"/>
      <c r="DS79" s="319">
        <v>0.30199999999999999</v>
      </c>
      <c r="DT79" s="245"/>
      <c r="DU79" s="271">
        <f>2.016*8</f>
        <v>16.128</v>
      </c>
      <c r="DV79" s="177">
        <f>1.683*2</f>
        <v>3.3660000000000001</v>
      </c>
      <c r="DW79" s="177"/>
      <c r="DX79" s="319"/>
      <c r="DY79" s="319"/>
      <c r="DZ79" s="319"/>
      <c r="EA79" s="319"/>
      <c r="EB79" s="319"/>
      <c r="EC79" s="319"/>
      <c r="ED79" s="319"/>
      <c r="EE79" s="319"/>
      <c r="EF79" s="319"/>
      <c r="EG79" s="319"/>
      <c r="EH79" s="319"/>
      <c r="EI79" s="319"/>
      <c r="EJ79" s="319"/>
      <c r="EK79" s="245"/>
      <c r="EL79" s="466"/>
      <c r="EM79" s="319"/>
      <c r="EN79" s="319"/>
      <c r="EO79" s="319"/>
      <c r="EP79" s="319"/>
      <c r="EQ79" s="319"/>
      <c r="ER79" s="319"/>
      <c r="ES79" s="319"/>
      <c r="ET79" s="319"/>
      <c r="EU79" s="319"/>
      <c r="EV79" s="319"/>
      <c r="EW79" s="319"/>
      <c r="EX79" s="319"/>
      <c r="EY79" s="319"/>
      <c r="EZ79" s="319"/>
      <c r="FA79" s="319"/>
      <c r="FB79" s="319"/>
      <c r="FC79" s="319"/>
      <c r="FD79" s="319"/>
      <c r="FE79" s="319">
        <v>4.8380000000000001</v>
      </c>
      <c r="FF79" s="319"/>
      <c r="FG79" s="319"/>
      <c r="FH79" s="319">
        <f>1.344*1.5</f>
        <v>2.016</v>
      </c>
      <c r="FI79" s="158">
        <f t="shared" si="38"/>
        <v>27.658000000000001</v>
      </c>
      <c r="FJ79" s="148"/>
      <c r="FK79" s="374"/>
      <c r="FL79" s="319"/>
      <c r="FM79" s="319"/>
      <c r="FN79" s="319"/>
      <c r="FO79" s="319"/>
      <c r="FP79" s="319"/>
      <c r="FQ79" s="319"/>
      <c r="FR79" s="319"/>
      <c r="FS79" s="319"/>
      <c r="FT79" s="319"/>
      <c r="FU79" s="319"/>
      <c r="FV79" s="319"/>
      <c r="FW79" s="319"/>
      <c r="FX79" s="319"/>
      <c r="FY79" s="28"/>
      <c r="FZ79" s="270"/>
      <c r="GA79" s="271"/>
      <c r="GB79" s="177"/>
      <c r="GC79" s="177"/>
      <c r="GD79" s="177"/>
      <c r="GE79" s="802"/>
      <c r="GF79" s="435"/>
      <c r="GG79" s="327">
        <f t="shared" si="39"/>
        <v>0</v>
      </c>
      <c r="GH79" s="445">
        <f t="shared" si="40"/>
        <v>54.43</v>
      </c>
      <c r="GI79" s="605">
        <f t="shared" si="41"/>
        <v>54.43</v>
      </c>
      <c r="GJ79" s="627">
        <f t="shared" si="42"/>
        <v>26.573</v>
      </c>
      <c r="GK79" s="239">
        <f t="shared" si="43"/>
        <v>10.75</v>
      </c>
      <c r="GL79" s="36" t="str">
        <f t="shared" si="44"/>
        <v>Селениум Ист 3000</v>
      </c>
      <c r="GM79" s="38"/>
      <c r="GN79" s="26"/>
      <c r="GO79" s="26"/>
    </row>
    <row r="80" spans="1:197" x14ac:dyDescent="0.3">
      <c r="A80" s="127">
        <f t="shared" si="45"/>
        <v>67</v>
      </c>
      <c r="B80" s="280" t="s">
        <v>113</v>
      </c>
      <c r="C80" s="565">
        <f>'3_квартал'!G79</f>
        <v>771.51700000000005</v>
      </c>
      <c r="D80" s="346">
        <v>990.74</v>
      </c>
      <c r="E80" s="241">
        <v>536.12</v>
      </c>
      <c r="F80" s="889">
        <f>806.79+99+25.87</f>
        <v>931.66</v>
      </c>
      <c r="G80" s="299">
        <f t="shared" si="9"/>
        <v>819.50699999999995</v>
      </c>
      <c r="H80" s="93">
        <v>906.79</v>
      </c>
      <c r="I80" s="93">
        <v>473.13</v>
      </c>
      <c r="J80" s="94"/>
      <c r="K80" s="319">
        <f>3.506*4</f>
        <v>14.023999999999999</v>
      </c>
      <c r="L80" s="319">
        <f>4.383*5</f>
        <v>21.914999999999999</v>
      </c>
      <c r="M80" s="319"/>
      <c r="N80" s="319"/>
      <c r="O80" s="319">
        <f>10.957*3</f>
        <v>32.871000000000002</v>
      </c>
      <c r="P80" s="319">
        <f>4.383*2</f>
        <v>8.766</v>
      </c>
      <c r="Q80" s="319">
        <f>21.913*2.1</f>
        <v>46.017300000000006</v>
      </c>
      <c r="R80" s="319">
        <f>10.957*3</f>
        <v>32.871000000000002</v>
      </c>
      <c r="S80" s="319">
        <f>1.841</f>
        <v>1.841</v>
      </c>
      <c r="T80" s="319">
        <f>6.574*1.5</f>
        <v>9.8610000000000007</v>
      </c>
      <c r="U80" s="319">
        <f>4.602*0.25</f>
        <v>1.1505000000000001</v>
      </c>
      <c r="V80" s="319">
        <f>9.203*4.5</f>
        <v>41.413499999999999</v>
      </c>
      <c r="W80" s="319">
        <f>3.068*3</f>
        <v>9.2040000000000006</v>
      </c>
      <c r="X80" s="319">
        <v>2.1040000000000001</v>
      </c>
      <c r="Y80" s="319">
        <v>2.63</v>
      </c>
      <c r="Z80" s="319">
        <f>3.506*3</f>
        <v>10.517999999999999</v>
      </c>
      <c r="AA80" s="319">
        <f>153.391/20*1.7</f>
        <v>13.038234999999998</v>
      </c>
      <c r="AB80" s="319"/>
      <c r="AC80" s="319">
        <f>153.391/20*9</f>
        <v>69.025949999999995</v>
      </c>
      <c r="AD80" s="319">
        <f>153.391/20*9.3</f>
        <v>71.326814999999996</v>
      </c>
      <c r="AE80" s="319"/>
      <c r="AF80" s="319">
        <f>10.957*3</f>
        <v>32.871000000000002</v>
      </c>
      <c r="AG80" s="319">
        <f>0.197/0.3*0.4</f>
        <v>0.26266666666666671</v>
      </c>
      <c r="AH80" s="319">
        <f>65.739</f>
        <v>65.739000000000004</v>
      </c>
      <c r="AI80" s="319">
        <v>3.0680000000000001</v>
      </c>
      <c r="AJ80" s="319">
        <f>4.383*1.5</f>
        <v>6.5745000000000005</v>
      </c>
      <c r="AK80" s="319">
        <v>4.6020000000000003</v>
      </c>
      <c r="AL80" s="319"/>
      <c r="AM80" s="319">
        <v>0.13100000000000001</v>
      </c>
      <c r="AN80" s="319"/>
      <c r="AO80" s="319">
        <v>120.52200000000001</v>
      </c>
      <c r="AP80" s="319">
        <v>5.2590000000000003</v>
      </c>
      <c r="AQ80" s="319">
        <f>6.574*1.5</f>
        <v>9.8610000000000007</v>
      </c>
      <c r="AR80" s="319">
        <f>10.957*6</f>
        <v>65.742000000000004</v>
      </c>
      <c r="AS80" s="319">
        <f>10.957*3</f>
        <v>32.871000000000002</v>
      </c>
      <c r="AT80" s="319"/>
      <c r="AU80" s="319">
        <f>9.203*2</f>
        <v>18.405999999999999</v>
      </c>
      <c r="AV80" s="319">
        <f>21.913*2.4</f>
        <v>52.591200000000001</v>
      </c>
      <c r="AW80" s="319">
        <v>3.944</v>
      </c>
      <c r="AX80" s="319">
        <f>109.565/5*3</f>
        <v>65.739000000000004</v>
      </c>
      <c r="AY80" s="319">
        <f>109.565/5*2</f>
        <v>43.826000000000001</v>
      </c>
      <c r="AZ80" s="319">
        <v>1.0960000000000001</v>
      </c>
      <c r="BA80" s="319">
        <v>2.4540000000000002</v>
      </c>
      <c r="BB80" s="319">
        <v>3.5059999999999998</v>
      </c>
      <c r="BC80" s="319">
        <f>4.383*4</f>
        <v>17.532</v>
      </c>
      <c r="BD80" s="319">
        <f>3.506*4</f>
        <v>14.023999999999999</v>
      </c>
      <c r="BE80" s="319">
        <f>9.203*2</f>
        <v>18.405999999999999</v>
      </c>
      <c r="BF80" s="319">
        <f>4.383*3</f>
        <v>13.149000000000001</v>
      </c>
      <c r="BG80" s="158">
        <f t="shared" si="36"/>
        <v>990.75366666666639</v>
      </c>
      <c r="BH80" s="94"/>
      <c r="BI80" s="833">
        <v>0.39400000000000002</v>
      </c>
      <c r="BJ80" s="319">
        <v>10.957000000000001</v>
      </c>
      <c r="BK80" s="319">
        <v>0.877</v>
      </c>
      <c r="BL80" s="319">
        <f>3.506*4</f>
        <v>14.023999999999999</v>
      </c>
      <c r="BM80" s="319">
        <f>4.383*5</f>
        <v>21.914999999999999</v>
      </c>
      <c r="BN80" s="319"/>
      <c r="BO80" s="319">
        <f>3.506*1.5</f>
        <v>5.2589999999999995</v>
      </c>
      <c r="BP80" s="319">
        <v>3.0680000000000001</v>
      </c>
      <c r="BQ80" s="319">
        <f>0.526/0.6</f>
        <v>0.87666666666666671</v>
      </c>
      <c r="BR80" s="319">
        <v>4.383</v>
      </c>
      <c r="BS80" s="319">
        <v>32.869999999999997</v>
      </c>
      <c r="BT80" s="319">
        <f>18.407/2*0.8</f>
        <v>7.3628</v>
      </c>
      <c r="BU80" s="319">
        <f>3.506*1.5</f>
        <v>5.2589999999999995</v>
      </c>
      <c r="BV80" s="319">
        <f>32.87/3*2</f>
        <v>21.91333333333333</v>
      </c>
      <c r="BW80" s="319">
        <f>1.096/0.5</f>
        <v>2.1920000000000002</v>
      </c>
      <c r="BX80" s="319">
        <f>9.203*1.8</f>
        <v>16.5654</v>
      </c>
      <c r="BY80" s="319">
        <v>4.383</v>
      </c>
      <c r="BZ80" s="319">
        <v>0.877</v>
      </c>
      <c r="CA80" s="319">
        <v>18.626000000000001</v>
      </c>
      <c r="CB80" s="319">
        <f>4.383*5</f>
        <v>21.914999999999999</v>
      </c>
      <c r="CC80" s="319">
        <f>52.591/2.4*1.5</f>
        <v>32.869375000000005</v>
      </c>
      <c r="CD80" s="319">
        <v>2.1040000000000001</v>
      </c>
      <c r="CE80" s="319">
        <f>4.383*5</f>
        <v>21.914999999999999</v>
      </c>
      <c r="CF80" s="319">
        <f>3.068*0.5</f>
        <v>1.534</v>
      </c>
      <c r="CG80" s="319">
        <f>32.87/3*2.4</f>
        <v>26.295999999999996</v>
      </c>
      <c r="CH80" s="319">
        <f>3.506</f>
        <v>3.5059999999999998</v>
      </c>
      <c r="CI80" s="319">
        <v>10.518000000000001</v>
      </c>
      <c r="CJ80" s="319"/>
      <c r="CK80" s="319">
        <f>21.913*5.5</f>
        <v>120.5215</v>
      </c>
      <c r="CL80" s="319">
        <f>6.574/1.5*2.5</f>
        <v>10.956666666666665</v>
      </c>
      <c r="CM80" s="319">
        <v>4.6020000000000003</v>
      </c>
      <c r="CN80" s="319">
        <f>3.068*2.5</f>
        <v>7.67</v>
      </c>
      <c r="CO80" s="319">
        <f>59.165*1.3</f>
        <v>76.914500000000004</v>
      </c>
      <c r="CP80" s="319">
        <v>9.2029999999999994</v>
      </c>
      <c r="CQ80" s="365">
        <f>9.203*1.5</f>
        <v>13.804499999999999</v>
      </c>
      <c r="CR80" s="419">
        <f t="shared" si="37"/>
        <v>536.13174166666658</v>
      </c>
      <c r="CS80" s="57"/>
      <c r="CT80" s="319">
        <f>43.826/10*8</f>
        <v>35.0608</v>
      </c>
      <c r="CU80" s="319">
        <f>43.826/10*2</f>
        <v>8.7652000000000001</v>
      </c>
      <c r="CV80" s="319">
        <v>0.26300000000000001</v>
      </c>
      <c r="CW80" s="319"/>
      <c r="CX80" s="319">
        <f>3.506*5</f>
        <v>17.529999999999998</v>
      </c>
      <c r="CY80" s="319">
        <f>9.203*2</f>
        <v>18.405999999999999</v>
      </c>
      <c r="CZ80" s="319">
        <f>4.383*3.8</f>
        <v>16.6554</v>
      </c>
      <c r="DA80" s="319">
        <f>115.043/15*3.7</f>
        <v>28.377273333333335</v>
      </c>
      <c r="DB80" s="319">
        <f>115.043/15*5.5</f>
        <v>42.182433333333336</v>
      </c>
      <c r="DC80" s="319">
        <v>65.739000000000004</v>
      </c>
      <c r="DD80" s="319">
        <v>6.1360000000000001</v>
      </c>
      <c r="DE80" s="319">
        <f>1.753*0.5</f>
        <v>0.87649999999999995</v>
      </c>
      <c r="DF80" s="319">
        <v>5.2590000000000003</v>
      </c>
      <c r="DG80" s="319">
        <f>3.506*4</f>
        <v>14.023999999999999</v>
      </c>
      <c r="DH80" s="319">
        <f>9.203</f>
        <v>9.2029999999999994</v>
      </c>
      <c r="DI80" s="319">
        <f>4.383*7</f>
        <v>30.681000000000001</v>
      </c>
      <c r="DJ80" s="319">
        <f>3.506*0.6</f>
        <v>2.1035999999999997</v>
      </c>
      <c r="DK80" s="319">
        <v>2.1909999999999998</v>
      </c>
      <c r="DL80" s="319">
        <f>6.136*0.3</f>
        <v>1.8408</v>
      </c>
      <c r="DM80" s="319">
        <v>3.944</v>
      </c>
      <c r="DN80" s="319"/>
      <c r="DO80" s="319">
        <v>3.5059999999999998</v>
      </c>
      <c r="DP80" s="319">
        <f>65.739/6*3</f>
        <v>32.869500000000002</v>
      </c>
      <c r="DQ80" s="319">
        <f>115.043/15*5.8</f>
        <v>44.483293333333336</v>
      </c>
      <c r="DR80" s="319">
        <f>9.203*3.3</f>
        <v>30.369899999999998</v>
      </c>
      <c r="DS80" s="319"/>
      <c r="DT80" s="245">
        <f>3.944/0.9*0.6</f>
        <v>2.6293333333333333</v>
      </c>
      <c r="DU80" s="271"/>
      <c r="DV80" s="177"/>
      <c r="DW80" s="177"/>
      <c r="DX80" s="319"/>
      <c r="DY80" s="319">
        <f>3.506*5</f>
        <v>17.529999999999998</v>
      </c>
      <c r="DZ80" s="319">
        <f>3.068*2.6</f>
        <v>7.9768000000000008</v>
      </c>
      <c r="EA80" s="319">
        <f>21.913*4</f>
        <v>87.652000000000001</v>
      </c>
      <c r="EB80" s="319">
        <v>9.2029999999999994</v>
      </c>
      <c r="EC80" s="319">
        <v>9.8610000000000007</v>
      </c>
      <c r="ED80" s="319">
        <v>2.0710000000000002</v>
      </c>
      <c r="EE80" s="319">
        <f>21.913*2.2</f>
        <v>48.208600000000004</v>
      </c>
      <c r="EF80" s="319">
        <f>9.203*0.8</f>
        <v>7.3624000000000001</v>
      </c>
      <c r="EG80" s="319">
        <f>10.957*4</f>
        <v>43.828000000000003</v>
      </c>
      <c r="EH80" s="319">
        <f>4.383*4</f>
        <v>17.532</v>
      </c>
      <c r="EI80" s="319">
        <f>3.506*2</f>
        <v>7.0119999999999996</v>
      </c>
      <c r="EJ80" s="319"/>
      <c r="EK80" s="245">
        <f>9.203</f>
        <v>9.2029999999999994</v>
      </c>
      <c r="EL80" s="466">
        <f>4.383*1.3</f>
        <v>5.6979000000000006</v>
      </c>
      <c r="EM80" s="319">
        <f>4.383*4.2</f>
        <v>18.4086</v>
      </c>
      <c r="EN80" s="319">
        <f>4.383*2</f>
        <v>8.766</v>
      </c>
      <c r="EO80" s="319">
        <f>0.526</f>
        <v>0.52600000000000002</v>
      </c>
      <c r="EP80" s="319">
        <v>8.7999999999999995E-2</v>
      </c>
      <c r="EQ80" s="319">
        <f>4.602</f>
        <v>4.6020000000000003</v>
      </c>
      <c r="ER80" s="319">
        <v>4.383</v>
      </c>
      <c r="ES80" s="319">
        <v>65.739000000000004</v>
      </c>
      <c r="ET80" s="319">
        <f>9.203</f>
        <v>9.2029999999999994</v>
      </c>
      <c r="EU80" s="319">
        <f>26.296/2.4</f>
        <v>10.956666666666667</v>
      </c>
      <c r="EV80" s="319">
        <f>2.191*2</f>
        <v>4.3819999999999997</v>
      </c>
      <c r="EW80" s="319">
        <f>6.574/1.5</f>
        <v>4.3826666666666663</v>
      </c>
      <c r="EX80" s="319">
        <f>26.296/2.4*2</f>
        <v>21.913333333333334</v>
      </c>
      <c r="EY80" s="319">
        <v>3.5059999999999998</v>
      </c>
      <c r="EZ80" s="319">
        <f>9.203*1.5</f>
        <v>13.804499999999999</v>
      </c>
      <c r="FA80" s="319">
        <v>52.591000000000001</v>
      </c>
      <c r="FB80" s="319">
        <v>7.45</v>
      </c>
      <c r="FC80" s="319">
        <f>4.207/1.2*0.6</f>
        <v>2.1034999999999999</v>
      </c>
      <c r="FD80" s="319">
        <f>3.944/0.9*0.6</f>
        <v>2.6293333333333333</v>
      </c>
      <c r="FE80" s="319"/>
      <c r="FF80" s="319"/>
      <c r="FG80" s="319"/>
      <c r="FH80" s="319"/>
      <c r="FI80" s="158">
        <f t="shared" si="38"/>
        <v>931.66833333333295</v>
      </c>
      <c r="FJ80" s="95"/>
      <c r="FK80" s="374"/>
      <c r="FL80" s="319"/>
      <c r="FM80" s="319"/>
      <c r="FN80" s="319"/>
      <c r="FO80" s="319"/>
      <c r="FP80" s="319"/>
      <c r="FQ80" s="319"/>
      <c r="FR80" s="319"/>
      <c r="FS80" s="319"/>
      <c r="FT80" s="319"/>
      <c r="FU80" s="319"/>
      <c r="FV80" s="319"/>
      <c r="FW80" s="319"/>
      <c r="FX80" s="319"/>
      <c r="FY80" s="28"/>
      <c r="FZ80" s="270"/>
      <c r="GA80" s="271"/>
      <c r="GB80" s="177"/>
      <c r="GC80" s="177"/>
      <c r="GD80" s="177"/>
      <c r="GE80" s="802"/>
      <c r="GF80" s="435"/>
      <c r="GG80" s="327">
        <f t="shared" si="39"/>
        <v>0</v>
      </c>
      <c r="GH80" s="445">
        <f t="shared" si="40"/>
        <v>473.13</v>
      </c>
      <c r="GI80" s="605">
        <f t="shared" si="41"/>
        <v>473.13</v>
      </c>
      <c r="GJ80" s="627">
        <f t="shared" si="42"/>
        <v>771.51700000000005</v>
      </c>
      <c r="GK80" s="239">
        <f t="shared" si="43"/>
        <v>536.12</v>
      </c>
      <c r="GL80" s="36" t="str">
        <f t="shared" si="44"/>
        <v>Сел-плекс 2300 (Сел-плекс )</v>
      </c>
      <c r="GM80" s="664"/>
      <c r="GN80" s="22"/>
      <c r="GO80" s="22"/>
    </row>
    <row r="81" spans="1:197" x14ac:dyDescent="0.3">
      <c r="A81" s="367">
        <f t="shared" si="45"/>
        <v>68</v>
      </c>
      <c r="B81" s="368" t="s">
        <v>133</v>
      </c>
      <c r="C81" s="565">
        <f>'3_квартал'!G80</f>
        <v>0</v>
      </c>
      <c r="D81" s="346">
        <v>0</v>
      </c>
      <c r="E81" s="241">
        <v>0</v>
      </c>
      <c r="F81" s="889">
        <v>0</v>
      </c>
      <c r="G81" s="299">
        <f t="shared" si="9"/>
        <v>0</v>
      </c>
      <c r="H81" s="370">
        <v>0</v>
      </c>
      <c r="I81" s="370">
        <v>0</v>
      </c>
      <c r="J81" s="94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  <c r="AC81" s="319"/>
      <c r="AD81" s="319"/>
      <c r="AE81" s="319"/>
      <c r="AF81" s="319"/>
      <c r="AG81" s="319"/>
      <c r="AH81" s="319"/>
      <c r="AI81" s="319"/>
      <c r="AJ81" s="319"/>
      <c r="AK81" s="319"/>
      <c r="AL81" s="319"/>
      <c r="AM81" s="319"/>
      <c r="AN81" s="319"/>
      <c r="AO81" s="319"/>
      <c r="AP81" s="319"/>
      <c r="AQ81" s="319"/>
      <c r="AR81" s="319"/>
      <c r="AS81" s="319"/>
      <c r="AT81" s="319"/>
      <c r="AU81" s="319"/>
      <c r="AV81" s="319"/>
      <c r="AW81" s="319"/>
      <c r="AX81" s="319"/>
      <c r="AY81" s="319"/>
      <c r="AZ81" s="319"/>
      <c r="BA81" s="319"/>
      <c r="BB81" s="319"/>
      <c r="BC81" s="319"/>
      <c r="BD81" s="319"/>
      <c r="BE81" s="319"/>
      <c r="BF81" s="319"/>
      <c r="BG81" s="158">
        <f t="shared" si="36"/>
        <v>0</v>
      </c>
      <c r="BH81" s="94"/>
      <c r="BI81" s="833"/>
      <c r="BJ81" s="319"/>
      <c r="BK81" s="319"/>
      <c r="BL81" s="319"/>
      <c r="BM81" s="319"/>
      <c r="BN81" s="319"/>
      <c r="BO81" s="319"/>
      <c r="BP81" s="319"/>
      <c r="BQ81" s="319"/>
      <c r="BR81" s="319"/>
      <c r="BS81" s="319"/>
      <c r="BT81" s="319"/>
      <c r="BU81" s="319"/>
      <c r="BV81" s="319"/>
      <c r="BW81" s="319"/>
      <c r="BX81" s="319"/>
      <c r="BY81" s="319"/>
      <c r="BZ81" s="319"/>
      <c r="CA81" s="319"/>
      <c r="CB81" s="319"/>
      <c r="CC81" s="319"/>
      <c r="CD81" s="319"/>
      <c r="CE81" s="319"/>
      <c r="CF81" s="319"/>
      <c r="CG81" s="319"/>
      <c r="CH81" s="319"/>
      <c r="CI81" s="319"/>
      <c r="CJ81" s="319"/>
      <c r="CK81" s="319"/>
      <c r="CL81" s="319"/>
      <c r="CM81" s="319"/>
      <c r="CN81" s="319"/>
      <c r="CO81" s="319"/>
      <c r="CP81" s="319"/>
      <c r="CQ81" s="365"/>
      <c r="CR81" s="419">
        <f t="shared" si="37"/>
        <v>0</v>
      </c>
      <c r="CS81" s="57"/>
      <c r="CT81" s="319"/>
      <c r="CU81" s="319"/>
      <c r="CV81" s="319"/>
      <c r="CW81" s="319"/>
      <c r="CX81" s="319"/>
      <c r="CY81" s="319"/>
      <c r="CZ81" s="319"/>
      <c r="DA81" s="319"/>
      <c r="DB81" s="319"/>
      <c r="DC81" s="319"/>
      <c r="DD81" s="319"/>
      <c r="DE81" s="319"/>
      <c r="DF81" s="319"/>
      <c r="DG81" s="319"/>
      <c r="DH81" s="319"/>
      <c r="DI81" s="319"/>
      <c r="DJ81" s="319"/>
      <c r="DK81" s="319"/>
      <c r="DL81" s="319"/>
      <c r="DM81" s="319"/>
      <c r="DN81" s="319"/>
      <c r="DO81" s="319"/>
      <c r="DP81" s="319"/>
      <c r="DQ81" s="319"/>
      <c r="DR81" s="319"/>
      <c r="DS81" s="319"/>
      <c r="DT81" s="245"/>
      <c r="DU81" s="355"/>
      <c r="DV81" s="326"/>
      <c r="DW81" s="326"/>
      <c r="DX81" s="319"/>
      <c r="DY81" s="319"/>
      <c r="DZ81" s="319"/>
      <c r="EA81" s="319"/>
      <c r="EB81" s="319"/>
      <c r="EC81" s="319"/>
      <c r="ED81" s="319"/>
      <c r="EE81" s="319"/>
      <c r="EF81" s="319"/>
      <c r="EG81" s="319"/>
      <c r="EH81" s="319"/>
      <c r="EI81" s="319"/>
      <c r="EJ81" s="319"/>
      <c r="EK81" s="245"/>
      <c r="EL81" s="466"/>
      <c r="EM81" s="319"/>
      <c r="EN81" s="319"/>
      <c r="EO81" s="319"/>
      <c r="EP81" s="319"/>
      <c r="EQ81" s="319"/>
      <c r="ER81" s="319"/>
      <c r="ES81" s="319"/>
      <c r="ET81" s="319"/>
      <c r="EU81" s="319"/>
      <c r="EV81" s="319"/>
      <c r="EW81" s="319"/>
      <c r="EX81" s="319"/>
      <c r="EY81" s="319"/>
      <c r="EZ81" s="319"/>
      <c r="FA81" s="319"/>
      <c r="FB81" s="319"/>
      <c r="FC81" s="319"/>
      <c r="FD81" s="319"/>
      <c r="FE81" s="319"/>
      <c r="FF81" s="319"/>
      <c r="FG81" s="319"/>
      <c r="FH81" s="319"/>
      <c r="FI81" s="158">
        <f t="shared" si="38"/>
        <v>0</v>
      </c>
      <c r="FJ81" s="95"/>
      <c r="FK81" s="374"/>
      <c r="FL81" s="319"/>
      <c r="FM81" s="319"/>
      <c r="FN81" s="319"/>
      <c r="FO81" s="319"/>
      <c r="FP81" s="319"/>
      <c r="FQ81" s="319"/>
      <c r="FR81" s="319"/>
      <c r="FS81" s="319"/>
      <c r="FT81" s="319"/>
      <c r="FU81" s="319"/>
      <c r="FV81" s="319"/>
      <c r="FW81" s="319"/>
      <c r="FX81" s="319"/>
      <c r="FY81" s="365"/>
      <c r="FZ81" s="375"/>
      <c r="GA81" s="355"/>
      <c r="GB81" s="326"/>
      <c r="GC81" s="326"/>
      <c r="GD81" s="326"/>
      <c r="GE81" s="807"/>
      <c r="GF81" s="435"/>
      <c r="GG81" s="376">
        <f t="shared" si="39"/>
        <v>0</v>
      </c>
      <c r="GH81" s="445">
        <f t="shared" si="40"/>
        <v>0</v>
      </c>
      <c r="GI81" s="605">
        <f t="shared" si="41"/>
        <v>0</v>
      </c>
      <c r="GJ81" s="627">
        <f t="shared" si="42"/>
        <v>0</v>
      </c>
      <c r="GK81" s="239">
        <f t="shared" si="43"/>
        <v>0</v>
      </c>
      <c r="GL81" s="36" t="str">
        <f t="shared" si="44"/>
        <v>Сыворотка молочная деминерал.</v>
      </c>
      <c r="GM81" s="378"/>
      <c r="GN81" s="22"/>
      <c r="GO81" s="22"/>
    </row>
    <row r="82" spans="1:197" x14ac:dyDescent="0.3">
      <c r="A82" s="367">
        <f t="shared" si="45"/>
        <v>69</v>
      </c>
      <c r="B82" s="278" t="s">
        <v>23</v>
      </c>
      <c r="C82" s="565">
        <f>'3_квартал'!G81</f>
        <v>84.8</v>
      </c>
      <c r="D82" s="346">
        <v>60.91</v>
      </c>
      <c r="E82" s="241">
        <v>22.42</v>
      </c>
      <c r="F82" s="889">
        <f>109.38+62.19</f>
        <v>171.57</v>
      </c>
      <c r="G82" s="299">
        <f t="shared" si="9"/>
        <v>84.966999999999999</v>
      </c>
      <c r="H82" s="93">
        <f>9.38+100</f>
        <v>109.38</v>
      </c>
      <c r="I82" s="93">
        <v>37.81</v>
      </c>
      <c r="J82" s="94"/>
      <c r="K82" s="319">
        <f>1.463*4</f>
        <v>5.8520000000000003</v>
      </c>
      <c r="L82" s="319">
        <f>2.101*5</f>
        <v>10.504999999999999</v>
      </c>
      <c r="M82" s="319"/>
      <c r="N82" s="319"/>
      <c r="O82" s="319"/>
      <c r="P82" s="319">
        <f>2.101*2</f>
        <v>4.202</v>
      </c>
      <c r="Q82" s="319"/>
      <c r="R82" s="319"/>
      <c r="S82" s="319"/>
      <c r="T82" s="319"/>
      <c r="U82" s="319"/>
      <c r="V82" s="319"/>
      <c r="W82" s="319"/>
      <c r="X82" s="319">
        <v>0.92800000000000005</v>
      </c>
      <c r="Y82" s="319">
        <v>1.21</v>
      </c>
      <c r="Z82" s="319">
        <f>1.714*3</f>
        <v>5.1419999999999995</v>
      </c>
      <c r="AA82" s="319"/>
      <c r="AB82" s="319"/>
      <c r="AC82" s="319"/>
      <c r="AD82" s="319"/>
      <c r="AE82" s="319">
        <f>2.419</f>
        <v>2.419</v>
      </c>
      <c r="AF82" s="319"/>
      <c r="AG82" s="319">
        <f>0.454/0.3*0.4</f>
        <v>0.60533333333333339</v>
      </c>
      <c r="AH82" s="319"/>
      <c r="AI82" s="319"/>
      <c r="AJ82" s="319">
        <f>2.016*1.5</f>
        <v>3.024</v>
      </c>
      <c r="AK82" s="319"/>
      <c r="AL82" s="319"/>
      <c r="AM82" s="319"/>
      <c r="AN82" s="319"/>
      <c r="AO82" s="319"/>
      <c r="AP82" s="319"/>
      <c r="AQ82" s="319"/>
      <c r="AR82" s="319"/>
      <c r="AS82" s="319"/>
      <c r="AT82" s="319"/>
      <c r="AU82" s="319"/>
      <c r="AV82" s="319"/>
      <c r="AW82" s="319">
        <v>6.048</v>
      </c>
      <c r="AX82" s="319"/>
      <c r="AY82" s="319"/>
      <c r="AZ82" s="319"/>
      <c r="BA82" s="319"/>
      <c r="BB82" s="319"/>
      <c r="BC82" s="319">
        <f>2.084*4</f>
        <v>8.3360000000000003</v>
      </c>
      <c r="BD82" s="319">
        <f>1.599*4</f>
        <v>6.3959999999999999</v>
      </c>
      <c r="BE82" s="319"/>
      <c r="BF82" s="319">
        <f>2.084*3</f>
        <v>6.2520000000000007</v>
      </c>
      <c r="BG82" s="158">
        <f t="shared" si="36"/>
        <v>60.919333333333334</v>
      </c>
      <c r="BH82" s="94"/>
      <c r="BI82" s="833">
        <v>0.90700000000000003</v>
      </c>
      <c r="BJ82" s="319"/>
      <c r="BK82" s="319"/>
      <c r="BL82" s="319">
        <f>1.599*4</f>
        <v>6.3959999999999999</v>
      </c>
      <c r="BM82" s="319"/>
      <c r="BN82" s="319"/>
      <c r="BO82" s="319">
        <f>1.714*1.5</f>
        <v>2.5709999999999997</v>
      </c>
      <c r="BP82" s="319"/>
      <c r="BQ82" s="319"/>
      <c r="BR82" s="319">
        <v>2.0840000000000001</v>
      </c>
      <c r="BS82" s="319"/>
      <c r="BT82" s="319"/>
      <c r="BU82" s="319">
        <f>1.599*1.5</f>
        <v>2.3984999999999999</v>
      </c>
      <c r="BV82" s="319"/>
      <c r="BW82" s="319"/>
      <c r="BX82" s="319"/>
      <c r="BY82" s="319"/>
      <c r="BZ82" s="319"/>
      <c r="CA82" s="319"/>
      <c r="CB82" s="319"/>
      <c r="CC82" s="319"/>
      <c r="CD82" s="319">
        <v>0.96</v>
      </c>
      <c r="CE82" s="319"/>
      <c r="CF82" s="319">
        <f>0.582*0.5</f>
        <v>0.29099999999999998</v>
      </c>
      <c r="CG82" s="319"/>
      <c r="CH82" s="319">
        <v>1.599</v>
      </c>
      <c r="CI82" s="319"/>
      <c r="CJ82" s="319"/>
      <c r="CK82" s="319"/>
      <c r="CL82" s="319">
        <f>3.126/1.5*2.5</f>
        <v>5.21</v>
      </c>
      <c r="CM82" s="319"/>
      <c r="CN82" s="319"/>
      <c r="CO82" s="319"/>
      <c r="CP82" s="319"/>
      <c r="CQ82" s="365"/>
      <c r="CR82" s="419">
        <f t="shared" si="37"/>
        <v>22.416499999999999</v>
      </c>
      <c r="CS82" s="57"/>
      <c r="CT82" s="319"/>
      <c r="CU82" s="319"/>
      <c r="CV82" s="319">
        <v>0.60499999999999998</v>
      </c>
      <c r="CW82" s="319"/>
      <c r="CX82" s="319">
        <f>1.599*5</f>
        <v>7.9950000000000001</v>
      </c>
      <c r="CY82" s="319"/>
      <c r="CZ82" s="319">
        <f>2.084*3.8</f>
        <v>7.9192</v>
      </c>
      <c r="DA82" s="319"/>
      <c r="DB82" s="319"/>
      <c r="DC82" s="319"/>
      <c r="DD82" s="319"/>
      <c r="DE82" s="319"/>
      <c r="DF82" s="319"/>
      <c r="DG82" s="319">
        <f>1.599*4</f>
        <v>6.3959999999999999</v>
      </c>
      <c r="DH82" s="319"/>
      <c r="DI82" s="319">
        <f>2.084*7</f>
        <v>14.588000000000001</v>
      </c>
      <c r="DJ82" s="319"/>
      <c r="DK82" s="319"/>
      <c r="DL82" s="319"/>
      <c r="DM82" s="319">
        <v>6.048</v>
      </c>
      <c r="DN82" s="319">
        <v>2.419</v>
      </c>
      <c r="DO82" s="319">
        <v>1.599</v>
      </c>
      <c r="DP82" s="319"/>
      <c r="DQ82" s="319"/>
      <c r="DR82" s="319"/>
      <c r="DS82" s="319">
        <v>0.30199999999999999</v>
      </c>
      <c r="DT82" s="245">
        <f>1.875/0.9*0.6</f>
        <v>1.25</v>
      </c>
      <c r="DU82" s="271"/>
      <c r="DV82" s="177"/>
      <c r="DW82" s="177">
        <f>18.144*4</f>
        <v>72.575999999999993</v>
      </c>
      <c r="DX82" s="319"/>
      <c r="DY82" s="319">
        <f>1.599*5</f>
        <v>7.9950000000000001</v>
      </c>
      <c r="DZ82" s="319"/>
      <c r="EA82" s="319"/>
      <c r="EB82" s="319"/>
      <c r="EC82" s="319"/>
      <c r="ED82" s="319"/>
      <c r="EE82" s="319"/>
      <c r="EF82" s="319"/>
      <c r="EG82" s="319"/>
      <c r="EH82" s="319">
        <f>2.084*4</f>
        <v>8.3360000000000003</v>
      </c>
      <c r="EI82" s="319">
        <f>1.599*2</f>
        <v>3.198</v>
      </c>
      <c r="EJ82" s="319"/>
      <c r="EK82" s="245"/>
      <c r="EL82" s="466">
        <f>2.084*1.3</f>
        <v>2.7092000000000001</v>
      </c>
      <c r="EM82" s="319">
        <f>2.084*4.2</f>
        <v>8.7528000000000006</v>
      </c>
      <c r="EN82" s="319">
        <f>2.084*2</f>
        <v>4.1680000000000001</v>
      </c>
      <c r="EO82" s="319"/>
      <c r="EP82" s="319"/>
      <c r="EQ82" s="319"/>
      <c r="ER82" s="319">
        <v>2.0840000000000001</v>
      </c>
      <c r="ES82" s="319"/>
      <c r="ET82" s="319"/>
      <c r="EU82" s="319"/>
      <c r="EV82" s="319">
        <f>1.599*2</f>
        <v>3.198</v>
      </c>
      <c r="EW82" s="319">
        <f>3.126/1.5</f>
        <v>2.0840000000000001</v>
      </c>
      <c r="EX82" s="319"/>
      <c r="EY82" s="319">
        <v>1.599</v>
      </c>
      <c r="EZ82" s="319"/>
      <c r="FA82" s="319"/>
      <c r="FB82" s="319">
        <v>3.5430000000000001</v>
      </c>
      <c r="FC82" s="319">
        <f>1.919/1.2*0.6</f>
        <v>0.95950000000000002</v>
      </c>
      <c r="FD82" s="319">
        <f>1.875/0.9*0.6</f>
        <v>1.25</v>
      </c>
      <c r="FE82" s="319"/>
      <c r="FF82" s="319"/>
      <c r="FG82" s="319"/>
      <c r="FH82" s="319"/>
      <c r="FI82" s="158">
        <f t="shared" si="38"/>
        <v>171.57370000000003</v>
      </c>
      <c r="FJ82" s="95"/>
      <c r="FK82" s="374"/>
      <c r="FL82" s="319"/>
      <c r="FM82" s="319"/>
      <c r="FN82" s="319"/>
      <c r="FO82" s="319"/>
      <c r="FP82" s="319"/>
      <c r="FQ82" s="319"/>
      <c r="FR82" s="319"/>
      <c r="FS82" s="319"/>
      <c r="FT82" s="319"/>
      <c r="FU82" s="319"/>
      <c r="FV82" s="319"/>
      <c r="FW82" s="319"/>
      <c r="FX82" s="319"/>
      <c r="FY82" s="28"/>
      <c r="FZ82" s="270"/>
      <c r="GA82" s="271"/>
      <c r="GB82" s="177"/>
      <c r="GC82" s="177"/>
      <c r="GD82" s="177"/>
      <c r="GE82" s="802"/>
      <c r="GF82" s="435"/>
      <c r="GG82" s="327">
        <f t="shared" si="39"/>
        <v>0</v>
      </c>
      <c r="GH82" s="445">
        <f t="shared" si="40"/>
        <v>37.81</v>
      </c>
      <c r="GI82" s="605">
        <f t="shared" si="41"/>
        <v>37.81</v>
      </c>
      <c r="GJ82" s="627">
        <f t="shared" si="42"/>
        <v>84.8</v>
      </c>
      <c r="GK82" s="239">
        <f t="shared" si="43"/>
        <v>22.42</v>
      </c>
      <c r="GL82" s="36" t="str">
        <f t="shared" si="44"/>
        <v>Пулкокс С</v>
      </c>
      <c r="GM82" s="38"/>
      <c r="GN82" s="22"/>
      <c r="GO82" s="22"/>
    </row>
    <row r="83" spans="1:197" x14ac:dyDescent="0.3">
      <c r="A83" s="367">
        <f>A82+1</f>
        <v>70</v>
      </c>
      <c r="B83" s="278" t="s">
        <v>112</v>
      </c>
      <c r="C83" s="565">
        <f>'3_квартал'!G82</f>
        <v>150</v>
      </c>
      <c r="D83" s="346">
        <v>0</v>
      </c>
      <c r="E83" s="241">
        <v>0</v>
      </c>
      <c r="F83" s="889">
        <v>0</v>
      </c>
      <c r="G83" s="299">
        <f t="shared" si="9"/>
        <v>0</v>
      </c>
      <c r="H83" s="324">
        <v>0</v>
      </c>
      <c r="I83" s="324">
        <v>0</v>
      </c>
      <c r="J83" s="94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319"/>
      <c r="AY83" s="319"/>
      <c r="AZ83" s="319"/>
      <c r="BA83" s="319"/>
      <c r="BB83" s="319"/>
      <c r="BC83" s="319"/>
      <c r="BD83" s="319"/>
      <c r="BE83" s="319"/>
      <c r="BF83" s="319"/>
      <c r="BG83" s="158">
        <f t="shared" si="36"/>
        <v>0</v>
      </c>
      <c r="BH83" s="94"/>
      <c r="BI83" s="833"/>
      <c r="BJ83" s="319"/>
      <c r="BK83" s="319"/>
      <c r="BL83" s="319"/>
      <c r="BM83" s="319"/>
      <c r="BN83" s="319"/>
      <c r="BO83" s="319"/>
      <c r="BP83" s="319"/>
      <c r="BQ83" s="319"/>
      <c r="BR83" s="319"/>
      <c r="BS83" s="319"/>
      <c r="BT83" s="319"/>
      <c r="BU83" s="319"/>
      <c r="BV83" s="319"/>
      <c r="BW83" s="319"/>
      <c r="BX83" s="319"/>
      <c r="BY83" s="319"/>
      <c r="BZ83" s="319"/>
      <c r="CA83" s="319"/>
      <c r="CB83" s="319"/>
      <c r="CC83" s="319"/>
      <c r="CD83" s="319"/>
      <c r="CE83" s="319"/>
      <c r="CF83" s="319"/>
      <c r="CG83" s="319"/>
      <c r="CH83" s="319"/>
      <c r="CI83" s="319"/>
      <c r="CJ83" s="319"/>
      <c r="CK83" s="319"/>
      <c r="CL83" s="319"/>
      <c r="CM83" s="319"/>
      <c r="CN83" s="319"/>
      <c r="CO83" s="319"/>
      <c r="CP83" s="319"/>
      <c r="CQ83" s="365"/>
      <c r="CR83" s="419">
        <f t="shared" si="37"/>
        <v>0</v>
      </c>
      <c r="CS83" s="57"/>
      <c r="CT83" s="319"/>
      <c r="CU83" s="319"/>
      <c r="CV83" s="319"/>
      <c r="CW83" s="319"/>
      <c r="CX83" s="319"/>
      <c r="CY83" s="319"/>
      <c r="CZ83" s="319"/>
      <c r="DA83" s="319"/>
      <c r="DB83" s="319"/>
      <c r="DC83" s="319"/>
      <c r="DD83" s="319"/>
      <c r="DE83" s="319"/>
      <c r="DF83" s="319"/>
      <c r="DG83" s="319"/>
      <c r="DH83" s="319"/>
      <c r="DI83" s="319"/>
      <c r="DJ83" s="319"/>
      <c r="DK83" s="319"/>
      <c r="DL83" s="319"/>
      <c r="DM83" s="319"/>
      <c r="DN83" s="319"/>
      <c r="DO83" s="319"/>
      <c r="DP83" s="319"/>
      <c r="DQ83" s="319"/>
      <c r="DR83" s="319"/>
      <c r="DS83" s="319"/>
      <c r="DT83" s="245"/>
      <c r="DU83" s="33"/>
      <c r="DV83" s="24"/>
      <c r="DW83" s="24"/>
      <c r="DX83" s="319"/>
      <c r="DY83" s="319"/>
      <c r="DZ83" s="319"/>
      <c r="EA83" s="319"/>
      <c r="EB83" s="319"/>
      <c r="EC83" s="319"/>
      <c r="ED83" s="319"/>
      <c r="EE83" s="319"/>
      <c r="EF83" s="319"/>
      <c r="EG83" s="319"/>
      <c r="EH83" s="319"/>
      <c r="EI83" s="319"/>
      <c r="EJ83" s="319"/>
      <c r="EK83" s="245"/>
      <c r="EL83" s="466"/>
      <c r="EM83" s="319"/>
      <c r="EN83" s="319"/>
      <c r="EO83" s="319"/>
      <c r="EP83" s="319"/>
      <c r="EQ83" s="319"/>
      <c r="ER83" s="319"/>
      <c r="ES83" s="319"/>
      <c r="ET83" s="319"/>
      <c r="EU83" s="319"/>
      <c r="EV83" s="319"/>
      <c r="EW83" s="319"/>
      <c r="EX83" s="319"/>
      <c r="EY83" s="319"/>
      <c r="EZ83" s="319"/>
      <c r="FA83" s="319"/>
      <c r="FB83" s="319"/>
      <c r="FC83" s="319"/>
      <c r="FD83" s="319"/>
      <c r="FE83" s="319"/>
      <c r="FF83" s="319"/>
      <c r="FG83" s="319"/>
      <c r="FH83" s="319"/>
      <c r="FI83" s="158">
        <f t="shared" si="38"/>
        <v>0</v>
      </c>
      <c r="FJ83" s="95"/>
      <c r="FK83" s="374"/>
      <c r="FL83" s="319"/>
      <c r="FM83" s="319"/>
      <c r="FN83" s="319"/>
      <c r="FO83" s="319"/>
      <c r="FP83" s="319"/>
      <c r="FQ83" s="319"/>
      <c r="FR83" s="319"/>
      <c r="FS83" s="319"/>
      <c r="FT83" s="319"/>
      <c r="FU83" s="319"/>
      <c r="FV83" s="319"/>
      <c r="FW83" s="319"/>
      <c r="FX83" s="319"/>
      <c r="FY83" s="365"/>
      <c r="FZ83" s="164"/>
      <c r="GA83" s="33"/>
      <c r="GB83" s="24"/>
      <c r="GC83" s="24"/>
      <c r="GD83" s="24"/>
      <c r="GE83" s="808"/>
      <c r="GF83" s="472"/>
      <c r="GG83" s="51">
        <f t="shared" si="39"/>
        <v>0</v>
      </c>
      <c r="GH83" s="445">
        <f t="shared" si="40"/>
        <v>0</v>
      </c>
      <c r="GI83" s="605">
        <f t="shared" si="41"/>
        <v>0</v>
      </c>
      <c r="GJ83" s="627">
        <f t="shared" si="42"/>
        <v>150</v>
      </c>
      <c r="GK83" s="239">
        <f t="shared" si="43"/>
        <v>0</v>
      </c>
      <c r="GL83" s="363" t="str">
        <f t="shared" si="44"/>
        <v>Токсинфайбер</v>
      </c>
      <c r="GM83" s="364"/>
      <c r="GN83" s="22"/>
      <c r="GO83" s="22"/>
    </row>
    <row r="84" spans="1:197" x14ac:dyDescent="0.3">
      <c r="A84" s="367">
        <f t="shared" ref="A84:A88" si="46">A83+1</f>
        <v>71</v>
      </c>
      <c r="B84" s="276" t="s">
        <v>28</v>
      </c>
      <c r="C84" s="565">
        <f>'3_квартал'!G83</f>
        <v>75.433000000000007</v>
      </c>
      <c r="D84" s="328">
        <v>73.7</v>
      </c>
      <c r="E84" s="241">
        <v>0</v>
      </c>
      <c r="F84" s="889">
        <v>0</v>
      </c>
      <c r="G84" s="299">
        <f t="shared" si="9"/>
        <v>24.567</v>
      </c>
      <c r="H84" s="93">
        <v>0</v>
      </c>
      <c r="I84" s="93">
        <v>0</v>
      </c>
      <c r="J84" s="94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>
        <f>33.6*0.5</f>
        <v>16.8</v>
      </c>
      <c r="AC84" s="319"/>
      <c r="AD84" s="319"/>
      <c r="AE84" s="319"/>
      <c r="AF84" s="319"/>
      <c r="AG84" s="319">
        <f>25.704/0.3*0.4</f>
        <v>34.272000000000006</v>
      </c>
      <c r="AH84" s="319"/>
      <c r="AI84" s="319"/>
      <c r="AJ84" s="319"/>
      <c r="AK84" s="319"/>
      <c r="AL84" s="319"/>
      <c r="AM84" s="319"/>
      <c r="AN84" s="319">
        <v>22.63</v>
      </c>
      <c r="AO84" s="319"/>
      <c r="AP84" s="319"/>
      <c r="AQ84" s="319"/>
      <c r="AR84" s="319"/>
      <c r="AS84" s="319"/>
      <c r="AT84" s="319"/>
      <c r="AU84" s="319"/>
      <c r="AV84" s="319"/>
      <c r="AW84" s="319"/>
      <c r="AX84" s="319"/>
      <c r="AY84" s="319"/>
      <c r="AZ84" s="319"/>
      <c r="BA84" s="319"/>
      <c r="BB84" s="319"/>
      <c r="BC84" s="319"/>
      <c r="BD84" s="319"/>
      <c r="BE84" s="319"/>
      <c r="BF84" s="319"/>
      <c r="BG84" s="158">
        <f t="shared" si="36"/>
        <v>73.701999999999998</v>
      </c>
      <c r="BH84" s="94"/>
      <c r="BI84" s="833"/>
      <c r="BJ84" s="319"/>
      <c r="BK84" s="319"/>
      <c r="BL84" s="319"/>
      <c r="BM84" s="319"/>
      <c r="BN84" s="319"/>
      <c r="BO84" s="319"/>
      <c r="BP84" s="319"/>
      <c r="BQ84" s="319"/>
      <c r="BR84" s="319"/>
      <c r="BS84" s="319"/>
      <c r="BT84" s="319"/>
      <c r="BU84" s="319"/>
      <c r="BV84" s="319"/>
      <c r="BW84" s="319"/>
      <c r="BX84" s="319"/>
      <c r="BY84" s="319"/>
      <c r="BZ84" s="319"/>
      <c r="CA84" s="319"/>
      <c r="CB84" s="319"/>
      <c r="CC84" s="319"/>
      <c r="CD84" s="319"/>
      <c r="CE84" s="319"/>
      <c r="CF84" s="319"/>
      <c r="CG84" s="319"/>
      <c r="CH84" s="319"/>
      <c r="CI84" s="319"/>
      <c r="CJ84" s="319"/>
      <c r="CK84" s="319"/>
      <c r="CL84" s="319"/>
      <c r="CM84" s="319"/>
      <c r="CN84" s="319"/>
      <c r="CO84" s="319"/>
      <c r="CP84" s="319"/>
      <c r="CQ84" s="365"/>
      <c r="CR84" s="419">
        <f t="shared" si="37"/>
        <v>0</v>
      </c>
      <c r="CS84" s="57"/>
      <c r="CT84" s="319"/>
      <c r="CU84" s="319"/>
      <c r="CV84" s="319"/>
      <c r="CW84" s="319"/>
      <c r="CX84" s="319"/>
      <c r="CY84" s="319"/>
      <c r="CZ84" s="319"/>
      <c r="DA84" s="319"/>
      <c r="DB84" s="319"/>
      <c r="DC84" s="319"/>
      <c r="DD84" s="319"/>
      <c r="DE84" s="319"/>
      <c r="DF84" s="319"/>
      <c r="DG84" s="319"/>
      <c r="DH84" s="319"/>
      <c r="DI84" s="319"/>
      <c r="DJ84" s="319"/>
      <c r="DK84" s="319"/>
      <c r="DL84" s="319"/>
      <c r="DM84" s="319"/>
      <c r="DN84" s="319"/>
      <c r="DO84" s="319"/>
      <c r="DP84" s="319"/>
      <c r="DQ84" s="319"/>
      <c r="DR84" s="319"/>
      <c r="DS84" s="319"/>
      <c r="DT84" s="245"/>
      <c r="DU84" s="33"/>
      <c r="DV84" s="24"/>
      <c r="DW84" s="24"/>
      <c r="DX84" s="319"/>
      <c r="DY84" s="319"/>
      <c r="DZ84" s="319"/>
      <c r="EA84" s="319"/>
      <c r="EB84" s="319"/>
      <c r="EC84" s="319"/>
      <c r="ED84" s="319"/>
      <c r="EE84" s="319"/>
      <c r="EF84" s="319"/>
      <c r="EG84" s="319"/>
      <c r="EH84" s="319"/>
      <c r="EI84" s="319"/>
      <c r="EJ84" s="319"/>
      <c r="EK84" s="245"/>
      <c r="EL84" s="466"/>
      <c r="EM84" s="319"/>
      <c r="EN84" s="319"/>
      <c r="EO84" s="319"/>
      <c r="EP84" s="319"/>
      <c r="EQ84" s="319"/>
      <c r="ER84" s="319"/>
      <c r="ES84" s="319"/>
      <c r="ET84" s="319"/>
      <c r="EU84" s="319"/>
      <c r="EV84" s="319"/>
      <c r="EW84" s="319"/>
      <c r="EX84" s="319"/>
      <c r="EY84" s="319"/>
      <c r="EZ84" s="319"/>
      <c r="FA84" s="319"/>
      <c r="FB84" s="319"/>
      <c r="FC84" s="319"/>
      <c r="FD84" s="319"/>
      <c r="FE84" s="319"/>
      <c r="FF84" s="319"/>
      <c r="FG84" s="319"/>
      <c r="FH84" s="319"/>
      <c r="FI84" s="158">
        <f t="shared" si="38"/>
        <v>0</v>
      </c>
      <c r="FJ84" s="95"/>
      <c r="FK84" s="374"/>
      <c r="FL84" s="319"/>
      <c r="FM84" s="319"/>
      <c r="FN84" s="319"/>
      <c r="FO84" s="319"/>
      <c r="FP84" s="319"/>
      <c r="FQ84" s="319"/>
      <c r="FR84" s="319"/>
      <c r="FS84" s="319"/>
      <c r="FT84" s="319"/>
      <c r="FU84" s="319"/>
      <c r="FV84" s="319"/>
      <c r="FW84" s="319"/>
      <c r="FX84" s="319"/>
      <c r="FY84" s="365"/>
      <c r="FZ84" s="164"/>
      <c r="GA84" s="33"/>
      <c r="GB84" s="24"/>
      <c r="GC84" s="24"/>
      <c r="GD84" s="24"/>
      <c r="GE84" s="808"/>
      <c r="GF84" s="472"/>
      <c r="GG84" s="51">
        <f t="shared" si="39"/>
        <v>0</v>
      </c>
      <c r="GH84" s="445">
        <f t="shared" si="40"/>
        <v>0</v>
      </c>
      <c r="GI84" s="605">
        <f t="shared" si="41"/>
        <v>0</v>
      </c>
      <c r="GJ84" s="627">
        <f t="shared" si="42"/>
        <v>75.433000000000007</v>
      </c>
      <c r="GK84" s="239">
        <f t="shared" si="43"/>
        <v>0</v>
      </c>
      <c r="GL84" s="363" t="str">
        <f t="shared" si="44"/>
        <v>Полифат А600</v>
      </c>
      <c r="GM84" s="364"/>
      <c r="GN84" s="22"/>
      <c r="GO84" s="22"/>
    </row>
    <row r="85" spans="1:197" x14ac:dyDescent="0.3">
      <c r="A85" s="367">
        <f t="shared" si="46"/>
        <v>72</v>
      </c>
      <c r="B85" s="470" t="s">
        <v>115</v>
      </c>
      <c r="C85" s="565">
        <f>'3_квартал'!G84</f>
        <v>173.76</v>
      </c>
      <c r="D85" s="328">
        <f>89.69+67.65</f>
        <v>157.34</v>
      </c>
      <c r="E85" s="569">
        <v>66.02</v>
      </c>
      <c r="F85" s="889">
        <v>251.89</v>
      </c>
      <c r="G85" s="299">
        <f t="shared" ref="G85" si="47">ROUND(AVERAGE(D85:F85),3)</f>
        <v>158.417</v>
      </c>
      <c r="H85" s="93">
        <v>176.33</v>
      </c>
      <c r="I85" s="93">
        <v>74.44</v>
      </c>
      <c r="J85" s="94"/>
      <c r="K85" s="319">
        <f>5.04*4</f>
        <v>20.16</v>
      </c>
      <c r="L85" s="319">
        <f>5.04*5</f>
        <v>25.2</v>
      </c>
      <c r="M85" s="319"/>
      <c r="N85" s="319">
        <f>0.403*1.5</f>
        <v>0.60450000000000004</v>
      </c>
      <c r="O85" s="319"/>
      <c r="P85" s="319">
        <f>5.04*2</f>
        <v>10.08</v>
      </c>
      <c r="Q85" s="319"/>
      <c r="R85" s="319"/>
      <c r="S85" s="319"/>
      <c r="T85" s="319"/>
      <c r="U85" s="319"/>
      <c r="V85" s="319"/>
      <c r="W85" s="319"/>
      <c r="X85" s="319">
        <v>3.024</v>
      </c>
      <c r="Y85" s="319">
        <v>3.024</v>
      </c>
      <c r="Z85" s="319">
        <f>5.04*3</f>
        <v>15.120000000000001</v>
      </c>
      <c r="AA85" s="319"/>
      <c r="AB85" s="319"/>
      <c r="AC85" s="319"/>
      <c r="AD85" s="319"/>
      <c r="AE85" s="319"/>
      <c r="AF85" s="319"/>
      <c r="AG85" s="319">
        <f>1.512/0.3*0.4</f>
        <v>2.016</v>
      </c>
      <c r="AH85" s="319"/>
      <c r="AI85" s="319"/>
      <c r="AJ85" s="319">
        <f>5.04*1.5</f>
        <v>7.5600000000000005</v>
      </c>
      <c r="AK85" s="319"/>
      <c r="AL85" s="319"/>
      <c r="AM85" s="319"/>
      <c r="AN85" s="319"/>
      <c r="AO85" s="319"/>
      <c r="AP85" s="319"/>
      <c r="AQ85" s="319"/>
      <c r="AR85" s="319"/>
      <c r="AS85" s="319"/>
      <c r="AT85" s="319"/>
      <c r="AU85" s="319"/>
      <c r="AV85" s="319"/>
      <c r="AW85" s="319">
        <v>15.12</v>
      </c>
      <c r="AX85" s="319"/>
      <c r="AY85" s="319"/>
      <c r="AZ85" s="319"/>
      <c r="BA85" s="319"/>
      <c r="BB85" s="319"/>
      <c r="BC85" s="319">
        <f>5.04*4</f>
        <v>20.16</v>
      </c>
      <c r="BD85" s="319">
        <f>5.04*4</f>
        <v>20.16</v>
      </c>
      <c r="BE85" s="319"/>
      <c r="BF85" s="319">
        <f>5.04*3</f>
        <v>15.120000000000001</v>
      </c>
      <c r="BG85" s="158">
        <f t="shared" si="36"/>
        <v>157.34850000000003</v>
      </c>
      <c r="BH85" s="94"/>
      <c r="BI85" s="833">
        <v>3.024</v>
      </c>
      <c r="BJ85" s="319"/>
      <c r="BK85" s="319"/>
      <c r="BL85" s="319">
        <f>5.04*4</f>
        <v>20.16</v>
      </c>
      <c r="BM85" s="319"/>
      <c r="BN85" s="319">
        <f>0.403*5</f>
        <v>2.0150000000000001</v>
      </c>
      <c r="BO85" s="319">
        <f>5.04*1.5</f>
        <v>7.5600000000000005</v>
      </c>
      <c r="BP85" s="319"/>
      <c r="BQ85" s="319"/>
      <c r="BR85" s="319">
        <v>5.04</v>
      </c>
      <c r="BS85" s="319"/>
      <c r="BT85" s="319"/>
      <c r="BU85" s="319">
        <f>5.04*1.5</f>
        <v>7.5600000000000005</v>
      </c>
      <c r="BV85" s="319"/>
      <c r="BW85" s="319"/>
      <c r="BX85" s="319"/>
      <c r="BY85" s="319"/>
      <c r="BZ85" s="319"/>
      <c r="CA85" s="319"/>
      <c r="CB85" s="319"/>
      <c r="CC85" s="319"/>
      <c r="CD85" s="319">
        <v>3.024</v>
      </c>
      <c r="CE85" s="319"/>
      <c r="CF85" s="319"/>
      <c r="CG85" s="319"/>
      <c r="CH85" s="319">
        <f>5.04</f>
        <v>5.04</v>
      </c>
      <c r="CI85" s="319"/>
      <c r="CJ85" s="319"/>
      <c r="CK85" s="319"/>
      <c r="CL85" s="319">
        <f>7.56/1.5*2.5</f>
        <v>12.6</v>
      </c>
      <c r="CM85" s="319"/>
      <c r="CN85" s="319"/>
      <c r="CO85" s="319"/>
      <c r="CP85" s="319"/>
      <c r="CQ85" s="365"/>
      <c r="CR85" s="275">
        <f t="shared" si="37"/>
        <v>66.022999999999996</v>
      </c>
      <c r="CS85" s="57"/>
      <c r="CT85" s="319"/>
      <c r="CU85" s="319"/>
      <c r="CV85" s="319">
        <v>2.016</v>
      </c>
      <c r="CW85" s="319"/>
      <c r="CX85" s="319">
        <f>5.04*5</f>
        <v>25.2</v>
      </c>
      <c r="CY85" s="319"/>
      <c r="CZ85" s="319">
        <f>5.04*3.8</f>
        <v>19.151999999999997</v>
      </c>
      <c r="DA85" s="319"/>
      <c r="DB85" s="319"/>
      <c r="DC85" s="319"/>
      <c r="DD85" s="319"/>
      <c r="DE85" s="319"/>
      <c r="DF85" s="319"/>
      <c r="DG85" s="319">
        <f>5.04*4</f>
        <v>20.16</v>
      </c>
      <c r="DH85" s="319"/>
      <c r="DI85" s="319">
        <f>5.04*7</f>
        <v>35.28</v>
      </c>
      <c r="DJ85" s="319"/>
      <c r="DK85" s="319"/>
      <c r="DL85" s="319"/>
      <c r="DM85" s="319">
        <v>15.12</v>
      </c>
      <c r="DN85" s="319"/>
      <c r="DO85" s="319">
        <v>5.04</v>
      </c>
      <c r="DP85" s="319"/>
      <c r="DQ85" s="319"/>
      <c r="DR85" s="319"/>
      <c r="DS85" s="319">
        <v>1.512</v>
      </c>
      <c r="DT85" s="245">
        <f>4.536/0.9*0.6</f>
        <v>3.0239999999999996</v>
      </c>
      <c r="DU85" s="33"/>
      <c r="DV85" s="24"/>
      <c r="DW85" s="24"/>
      <c r="DX85" s="319"/>
      <c r="DY85" s="319">
        <f>5.04*5</f>
        <v>25.2</v>
      </c>
      <c r="DZ85" s="319"/>
      <c r="EA85" s="319"/>
      <c r="EB85" s="319"/>
      <c r="EC85" s="319"/>
      <c r="ED85" s="319"/>
      <c r="EE85" s="319"/>
      <c r="EF85" s="319"/>
      <c r="EG85" s="319"/>
      <c r="EH85" s="319">
        <f>5.04*4</f>
        <v>20.16</v>
      </c>
      <c r="EI85" s="319">
        <f>5.04*2</f>
        <v>10.08</v>
      </c>
      <c r="EJ85" s="319">
        <v>2.016</v>
      </c>
      <c r="EK85" s="245"/>
      <c r="EL85" s="466">
        <f>5.04*1.3</f>
        <v>6.5520000000000005</v>
      </c>
      <c r="EM85" s="319">
        <f>5.04*4.2</f>
        <v>21.168000000000003</v>
      </c>
      <c r="EN85" s="319">
        <f>5.04*2</f>
        <v>10.08</v>
      </c>
      <c r="EO85" s="319"/>
      <c r="EP85" s="319"/>
      <c r="EQ85" s="319"/>
      <c r="ER85" s="319">
        <v>5.04</v>
      </c>
      <c r="ES85" s="319"/>
      <c r="ET85" s="319"/>
      <c r="EU85" s="319"/>
      <c r="EV85" s="319">
        <f>0.202*2</f>
        <v>0.40400000000000003</v>
      </c>
      <c r="EW85" s="319">
        <f>7.56/1.5</f>
        <v>5.04</v>
      </c>
      <c r="EX85" s="319"/>
      <c r="EY85" s="319">
        <v>5.04</v>
      </c>
      <c r="EZ85" s="319"/>
      <c r="FA85" s="319"/>
      <c r="FB85" s="319">
        <v>8.5679999999999996</v>
      </c>
      <c r="FC85" s="319">
        <f>6.048/1.2*0.6</f>
        <v>3.024</v>
      </c>
      <c r="FD85" s="319">
        <f>4.536/0.9*0.6</f>
        <v>3.0239999999999996</v>
      </c>
      <c r="FE85" s="319"/>
      <c r="FF85" s="319"/>
      <c r="FG85" s="319"/>
      <c r="FH85" s="319"/>
      <c r="FI85" s="158">
        <f t="shared" si="38"/>
        <v>251.9</v>
      </c>
      <c r="FJ85" s="95"/>
      <c r="FK85" s="374"/>
      <c r="FL85" s="319"/>
      <c r="FM85" s="319"/>
      <c r="FN85" s="319"/>
      <c r="FO85" s="319"/>
      <c r="FP85" s="319"/>
      <c r="FQ85" s="319"/>
      <c r="FR85" s="319"/>
      <c r="FS85" s="319"/>
      <c r="FT85" s="319"/>
      <c r="FU85" s="319"/>
      <c r="FV85" s="319"/>
      <c r="FW85" s="319"/>
      <c r="FX85" s="319"/>
      <c r="FY85" s="28"/>
      <c r="FZ85" s="164"/>
      <c r="GA85" s="33"/>
      <c r="GB85" s="24"/>
      <c r="GC85" s="24"/>
      <c r="GD85" s="24"/>
      <c r="GE85" s="809"/>
      <c r="GF85" s="472"/>
      <c r="GG85" s="585">
        <f t="shared" si="39"/>
        <v>0</v>
      </c>
      <c r="GH85" s="445">
        <f t="shared" si="40"/>
        <v>74.44</v>
      </c>
      <c r="GI85" s="605">
        <f t="shared" si="41"/>
        <v>74.44</v>
      </c>
      <c r="GJ85" s="627">
        <f t="shared" si="42"/>
        <v>173.76</v>
      </c>
      <c r="GK85" s="239">
        <f t="shared" si="43"/>
        <v>66.02</v>
      </c>
      <c r="GL85" s="36" t="str">
        <f t="shared" si="44"/>
        <v>Луктаром Молочно-Ванильный</v>
      </c>
      <c r="GM85" s="664"/>
      <c r="GN85" s="22"/>
      <c r="GO85" s="22"/>
    </row>
    <row r="86" spans="1:197" x14ac:dyDescent="0.3">
      <c r="A86" s="367">
        <f t="shared" si="46"/>
        <v>73</v>
      </c>
      <c r="B86" s="795" t="s">
        <v>395</v>
      </c>
      <c r="C86" s="848"/>
      <c r="D86" s="25">
        <v>0</v>
      </c>
      <c r="E86" s="108">
        <v>0</v>
      </c>
      <c r="F86" s="889">
        <f>675+50.96</f>
        <v>725.96</v>
      </c>
      <c r="G86" s="299">
        <f t="shared" ref="G86" si="48">ROUND(AVERAGE(D86:F86),3)</f>
        <v>241.98699999999999</v>
      </c>
      <c r="H86" s="93">
        <v>0</v>
      </c>
      <c r="I86" s="93">
        <v>45.04</v>
      </c>
      <c r="J86" s="94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19"/>
      <c r="AL86" s="319"/>
      <c r="AM86" s="319"/>
      <c r="AN86" s="319"/>
      <c r="AO86" s="319"/>
      <c r="AP86" s="319"/>
      <c r="AQ86" s="319"/>
      <c r="AR86" s="319"/>
      <c r="AS86" s="319"/>
      <c r="AT86" s="319"/>
      <c r="AU86" s="319"/>
      <c r="AV86" s="319"/>
      <c r="AW86" s="319"/>
      <c r="AX86" s="319"/>
      <c r="AY86" s="319"/>
      <c r="AZ86" s="319"/>
      <c r="BA86" s="319"/>
      <c r="BB86" s="319"/>
      <c r="BC86" s="319"/>
      <c r="BD86" s="319"/>
      <c r="BE86" s="319"/>
      <c r="BF86" s="319"/>
      <c r="BG86" s="158"/>
      <c r="BH86" s="94"/>
      <c r="BI86" s="833"/>
      <c r="BJ86" s="319"/>
      <c r="BK86" s="319"/>
      <c r="BL86" s="319"/>
      <c r="BM86" s="319"/>
      <c r="BN86" s="319"/>
      <c r="BO86" s="319"/>
      <c r="BP86" s="319"/>
      <c r="BQ86" s="319"/>
      <c r="BR86" s="319"/>
      <c r="BS86" s="319"/>
      <c r="BT86" s="319"/>
      <c r="BU86" s="319"/>
      <c r="BV86" s="319"/>
      <c r="BW86" s="319"/>
      <c r="BX86" s="319"/>
      <c r="BY86" s="319"/>
      <c r="BZ86" s="319"/>
      <c r="CA86" s="319"/>
      <c r="CB86" s="319"/>
      <c r="CC86" s="319"/>
      <c r="CD86" s="319"/>
      <c r="CE86" s="319"/>
      <c r="CF86" s="319"/>
      <c r="CG86" s="319"/>
      <c r="CH86" s="319"/>
      <c r="CI86" s="319"/>
      <c r="CJ86" s="319"/>
      <c r="CK86" s="319"/>
      <c r="CL86" s="319"/>
      <c r="CM86" s="319"/>
      <c r="CN86" s="319"/>
      <c r="CO86" s="319"/>
      <c r="CP86" s="319"/>
      <c r="CQ86" s="365"/>
      <c r="CR86" s="275"/>
      <c r="CS86" s="57"/>
      <c r="CT86" s="319"/>
      <c r="CU86" s="319"/>
      <c r="CV86" s="319"/>
      <c r="CW86" s="319"/>
      <c r="CX86" s="319"/>
      <c r="CY86" s="319"/>
      <c r="CZ86" s="319"/>
      <c r="DA86" s="319"/>
      <c r="DB86" s="319"/>
      <c r="DC86" s="319"/>
      <c r="DD86" s="319"/>
      <c r="DE86" s="319"/>
      <c r="DF86" s="319"/>
      <c r="DG86" s="319"/>
      <c r="DH86" s="319"/>
      <c r="DI86" s="319"/>
      <c r="DJ86" s="319"/>
      <c r="DK86" s="319"/>
      <c r="DL86" s="319"/>
      <c r="DM86" s="319"/>
      <c r="DN86" s="319"/>
      <c r="DO86" s="319"/>
      <c r="DP86" s="319"/>
      <c r="DQ86" s="319"/>
      <c r="DR86" s="319"/>
      <c r="DS86" s="319"/>
      <c r="DT86" s="245"/>
      <c r="DU86" s="33">
        <f>67.2*8</f>
        <v>537.6</v>
      </c>
      <c r="DV86" s="24">
        <f>58.8*2</f>
        <v>117.6</v>
      </c>
      <c r="DW86" s="24"/>
      <c r="DX86" s="319"/>
      <c r="DY86" s="319"/>
      <c r="DZ86" s="319"/>
      <c r="EA86" s="319"/>
      <c r="EB86" s="319"/>
      <c r="EC86" s="319"/>
      <c r="ED86" s="319"/>
      <c r="EE86" s="319"/>
      <c r="EF86" s="319"/>
      <c r="EG86" s="319"/>
      <c r="EH86" s="319"/>
      <c r="EI86" s="319"/>
      <c r="EJ86" s="319"/>
      <c r="EK86" s="245"/>
      <c r="EL86" s="466"/>
      <c r="EM86" s="319"/>
      <c r="EN86" s="319"/>
      <c r="EO86" s="319"/>
      <c r="EP86" s="319"/>
      <c r="EQ86" s="319"/>
      <c r="ER86" s="319"/>
      <c r="ES86" s="319"/>
      <c r="ET86" s="319"/>
      <c r="EU86" s="319"/>
      <c r="EV86" s="319"/>
      <c r="EW86" s="319"/>
      <c r="EX86" s="319"/>
      <c r="EY86" s="319"/>
      <c r="EZ86" s="319"/>
      <c r="FA86" s="319"/>
      <c r="FB86" s="319"/>
      <c r="FC86" s="319"/>
      <c r="FD86" s="319"/>
      <c r="FE86" s="319"/>
      <c r="FF86" s="319"/>
      <c r="FG86" s="319"/>
      <c r="FH86" s="319">
        <f>47.174*1.5</f>
        <v>70.760999999999996</v>
      </c>
      <c r="FI86" s="158">
        <f t="shared" si="38"/>
        <v>725.96100000000001</v>
      </c>
      <c r="FJ86" s="95"/>
      <c r="FK86" s="374"/>
      <c r="FL86" s="319"/>
      <c r="FM86" s="319"/>
      <c r="FN86" s="319"/>
      <c r="FO86" s="319"/>
      <c r="FP86" s="319"/>
      <c r="FQ86" s="319"/>
      <c r="FR86" s="319"/>
      <c r="FS86" s="319"/>
      <c r="FT86" s="319"/>
      <c r="FU86" s="319"/>
      <c r="FV86" s="319"/>
      <c r="FW86" s="319"/>
      <c r="FX86" s="319"/>
      <c r="FY86" s="28"/>
      <c r="FZ86" s="164"/>
      <c r="GA86" s="33"/>
      <c r="GB86" s="24"/>
      <c r="GC86" s="24"/>
      <c r="GD86" s="24"/>
      <c r="GE86" s="809"/>
      <c r="GF86" s="472"/>
      <c r="GG86" s="585">
        <f t="shared" si="39"/>
        <v>0</v>
      </c>
      <c r="GH86" s="558">
        <f t="shared" si="40"/>
        <v>45.04</v>
      </c>
      <c r="GI86" s="605">
        <f t="shared" si="41"/>
        <v>45.04</v>
      </c>
      <c r="GJ86" s="627">
        <f t="shared" si="42"/>
        <v>0</v>
      </c>
      <c r="GK86" s="239">
        <f t="shared" si="43"/>
        <v>0</v>
      </c>
      <c r="GL86" s="36" t="str">
        <f t="shared" si="44"/>
        <v>Липро</v>
      </c>
      <c r="GM86" s="664"/>
      <c r="GN86" s="22"/>
      <c r="GO86" s="22"/>
    </row>
    <row r="87" spans="1:197" x14ac:dyDescent="0.3">
      <c r="A87" s="367">
        <f t="shared" si="46"/>
        <v>74</v>
      </c>
      <c r="B87" s="470" t="s">
        <v>97</v>
      </c>
      <c r="C87" s="565">
        <f>'3_квартал'!G85</f>
        <v>0</v>
      </c>
      <c r="D87" s="346">
        <v>0</v>
      </c>
      <c r="E87" s="108">
        <v>0</v>
      </c>
      <c r="F87" s="889">
        <v>0</v>
      </c>
      <c r="G87" s="299">
        <f t="shared" ref="G87:G102" si="49">ROUND(AVERAGE(D87:F87),3)</f>
        <v>0</v>
      </c>
      <c r="H87" s="93">
        <v>0</v>
      </c>
      <c r="I87" s="93">
        <v>0</v>
      </c>
      <c r="J87" s="94"/>
      <c r="K87" s="460"/>
      <c r="L87" s="460"/>
      <c r="M87" s="319"/>
      <c r="N87" s="460"/>
      <c r="O87" s="319"/>
      <c r="P87" s="460"/>
      <c r="Q87" s="460"/>
      <c r="R87" s="460"/>
      <c r="S87" s="319"/>
      <c r="T87" s="319"/>
      <c r="U87" s="319"/>
      <c r="V87" s="319"/>
      <c r="W87" s="319"/>
      <c r="X87" s="319"/>
      <c r="Y87" s="319"/>
      <c r="Z87" s="460"/>
      <c r="AA87" s="460"/>
      <c r="AB87" s="460"/>
      <c r="AC87" s="460"/>
      <c r="AD87" s="460"/>
      <c r="AE87" s="319"/>
      <c r="AF87" s="460"/>
      <c r="AG87" s="319"/>
      <c r="AH87" s="460"/>
      <c r="AI87" s="460"/>
      <c r="AJ87" s="460"/>
      <c r="AK87" s="460"/>
      <c r="AL87" s="460"/>
      <c r="AM87" s="460"/>
      <c r="AN87" s="460"/>
      <c r="AO87" s="460"/>
      <c r="AP87" s="460"/>
      <c r="AQ87" s="460"/>
      <c r="AR87" s="460"/>
      <c r="AS87" s="460"/>
      <c r="AT87" s="460"/>
      <c r="AU87" s="460"/>
      <c r="AV87" s="460"/>
      <c r="AW87" s="460"/>
      <c r="AX87" s="460"/>
      <c r="AY87" s="460"/>
      <c r="AZ87" s="460"/>
      <c r="BA87" s="460"/>
      <c r="BB87" s="460"/>
      <c r="BC87" s="460"/>
      <c r="BD87" s="460"/>
      <c r="BE87" s="460"/>
      <c r="BF87" s="460"/>
      <c r="BG87" s="158">
        <f t="shared" si="36"/>
        <v>0</v>
      </c>
      <c r="BH87" s="94"/>
      <c r="BI87" s="833"/>
      <c r="BJ87" s="319"/>
      <c r="BK87" s="460"/>
      <c r="BL87" s="460"/>
      <c r="BM87" s="319"/>
      <c r="BN87" s="460"/>
      <c r="BO87" s="460"/>
      <c r="BP87" s="460"/>
      <c r="BQ87" s="319"/>
      <c r="BR87" s="460"/>
      <c r="BS87" s="460"/>
      <c r="BT87" s="460"/>
      <c r="BU87" s="460"/>
      <c r="BV87" s="460"/>
      <c r="BW87" s="460"/>
      <c r="BX87" s="460"/>
      <c r="BY87" s="460"/>
      <c r="BZ87" s="460"/>
      <c r="CA87" s="460"/>
      <c r="CB87" s="319"/>
      <c r="CC87" s="460"/>
      <c r="CD87" s="460"/>
      <c r="CE87" s="319"/>
      <c r="CF87" s="460"/>
      <c r="CG87" s="460"/>
      <c r="CH87" s="460"/>
      <c r="CI87" s="460"/>
      <c r="CJ87" s="460"/>
      <c r="CK87" s="460"/>
      <c r="CL87" s="460"/>
      <c r="CM87" s="460"/>
      <c r="CN87" s="460"/>
      <c r="CO87" s="460"/>
      <c r="CP87" s="460"/>
      <c r="CQ87" s="835"/>
      <c r="CR87" s="275">
        <f t="shared" si="37"/>
        <v>0</v>
      </c>
      <c r="CS87" s="57"/>
      <c r="CT87" s="460"/>
      <c r="CU87" s="460"/>
      <c r="CV87" s="460"/>
      <c r="CW87" s="460"/>
      <c r="CX87" s="460"/>
      <c r="CY87" s="460"/>
      <c r="CZ87" s="460"/>
      <c r="DA87" s="460"/>
      <c r="DB87" s="460"/>
      <c r="DC87" s="460"/>
      <c r="DD87" s="460"/>
      <c r="DE87" s="460"/>
      <c r="DF87" s="460"/>
      <c r="DG87" s="460"/>
      <c r="DH87" s="460"/>
      <c r="DI87" s="460"/>
      <c r="DJ87" s="460"/>
      <c r="DK87" s="460"/>
      <c r="DL87" s="460"/>
      <c r="DM87" s="460"/>
      <c r="DN87" s="460"/>
      <c r="DO87" s="460"/>
      <c r="DP87" s="460"/>
      <c r="DQ87" s="460"/>
      <c r="DR87" s="460"/>
      <c r="DS87" s="460"/>
      <c r="DT87" s="727"/>
      <c r="DU87" s="33"/>
      <c r="DV87" s="24"/>
      <c r="DW87" s="24"/>
      <c r="DX87" s="319"/>
      <c r="DY87" s="460"/>
      <c r="DZ87" s="460"/>
      <c r="EA87" s="460"/>
      <c r="EB87" s="460"/>
      <c r="EC87" s="460"/>
      <c r="ED87" s="460"/>
      <c r="EE87" s="460"/>
      <c r="EF87" s="460"/>
      <c r="EG87" s="460"/>
      <c r="EH87" s="460"/>
      <c r="EI87" s="460"/>
      <c r="EJ87" s="460"/>
      <c r="EK87" s="727"/>
      <c r="EL87" s="850"/>
      <c r="EM87" s="460"/>
      <c r="EN87" s="460"/>
      <c r="EO87" s="319"/>
      <c r="EP87" s="460"/>
      <c r="EQ87" s="460"/>
      <c r="ER87" s="460"/>
      <c r="ES87" s="460"/>
      <c r="ET87" s="460"/>
      <c r="EU87" s="460"/>
      <c r="EV87" s="460"/>
      <c r="EW87" s="460"/>
      <c r="EX87" s="460"/>
      <c r="EY87" s="460"/>
      <c r="EZ87" s="460"/>
      <c r="FA87" s="460"/>
      <c r="FB87" s="460"/>
      <c r="FC87" s="460"/>
      <c r="FD87" s="460"/>
      <c r="FE87" s="460"/>
      <c r="FF87" s="460"/>
      <c r="FG87" s="460"/>
      <c r="FH87" s="460"/>
      <c r="FI87" s="158">
        <f t="shared" si="38"/>
        <v>0</v>
      </c>
      <c r="FJ87" s="95"/>
      <c r="FK87" s="374"/>
      <c r="FL87" s="460"/>
      <c r="FM87" s="460"/>
      <c r="FN87" s="460"/>
      <c r="FO87" s="460"/>
      <c r="FP87" s="460"/>
      <c r="FQ87" s="460"/>
      <c r="FR87" s="460"/>
      <c r="FS87" s="460"/>
      <c r="FT87" s="460"/>
      <c r="FU87" s="460"/>
      <c r="FV87" s="460"/>
      <c r="FW87" s="460"/>
      <c r="FX87" s="460"/>
      <c r="FY87" s="28"/>
      <c r="FZ87" s="164"/>
      <c r="GA87" s="33"/>
      <c r="GB87" s="24"/>
      <c r="GC87" s="24"/>
      <c r="GD87" s="24"/>
      <c r="GE87" s="808"/>
      <c r="GF87" s="472"/>
      <c r="GG87" s="585">
        <f t="shared" si="39"/>
        <v>0</v>
      </c>
      <c r="GH87" s="500">
        <f t="shared" si="40"/>
        <v>0</v>
      </c>
      <c r="GI87" s="605">
        <f t="shared" si="41"/>
        <v>0</v>
      </c>
      <c r="GJ87" s="627">
        <f t="shared" si="42"/>
        <v>0</v>
      </c>
      <c r="GK87" s="239">
        <f t="shared" si="43"/>
        <v>0</v>
      </c>
      <c r="GL87" s="36" t="str">
        <f t="shared" si="44"/>
        <v>Люманце</v>
      </c>
      <c r="GM87" s="664"/>
      <c r="GN87" s="22"/>
      <c r="GO87" s="22"/>
    </row>
    <row r="88" spans="1:197" x14ac:dyDescent="0.3">
      <c r="A88" s="367">
        <f t="shared" si="46"/>
        <v>75</v>
      </c>
      <c r="B88" s="581" t="s">
        <v>183</v>
      </c>
      <c r="C88" s="565">
        <f>'3_квартал'!G86</f>
        <v>690.35699999999997</v>
      </c>
      <c r="D88" s="346">
        <v>368.68</v>
      </c>
      <c r="E88" s="191">
        <v>243.56</v>
      </c>
      <c r="F88" s="758">
        <v>294.74</v>
      </c>
      <c r="G88" s="299">
        <f t="shared" si="49"/>
        <v>302.327</v>
      </c>
      <c r="H88" s="93">
        <f>328.42+1000</f>
        <v>1328.42</v>
      </c>
      <c r="I88" s="93">
        <f>33.68+1000</f>
        <v>1033.68</v>
      </c>
      <c r="J88" s="94"/>
      <c r="K88" s="319">
        <f>4.032*4</f>
        <v>16.128</v>
      </c>
      <c r="L88" s="319">
        <f>4.536*5</f>
        <v>22.68</v>
      </c>
      <c r="M88" s="319"/>
      <c r="N88" s="319"/>
      <c r="O88" s="319"/>
      <c r="P88" s="319">
        <f>4.536*2</f>
        <v>9.0719999999999992</v>
      </c>
      <c r="Q88" s="319"/>
      <c r="R88" s="319">
        <f>21.42*3</f>
        <v>64.260000000000005</v>
      </c>
      <c r="S88" s="319"/>
      <c r="T88" s="319"/>
      <c r="U88" s="319"/>
      <c r="V88" s="319"/>
      <c r="W88" s="319"/>
      <c r="X88" s="319">
        <v>2.419</v>
      </c>
      <c r="Y88" s="319">
        <v>3.024</v>
      </c>
      <c r="Z88" s="319">
        <f>3.024*3</f>
        <v>9.0719999999999992</v>
      </c>
      <c r="AA88" s="319"/>
      <c r="AB88" s="319"/>
      <c r="AC88" s="319"/>
      <c r="AD88" s="319"/>
      <c r="AE88" s="319"/>
      <c r="AF88" s="319"/>
      <c r="AG88" s="319"/>
      <c r="AH88" s="319">
        <f>57.259</f>
        <v>57.259</v>
      </c>
      <c r="AI88" s="319"/>
      <c r="AJ88" s="319">
        <f>5.04*1.5</f>
        <v>7.5600000000000005</v>
      </c>
      <c r="AK88" s="319">
        <v>5.04</v>
      </c>
      <c r="AL88" s="319">
        <v>2.2679999999999998</v>
      </c>
      <c r="AM88" s="319">
        <v>1.21</v>
      </c>
      <c r="AN88" s="319"/>
      <c r="AO88" s="319">
        <v>67.248999999999995</v>
      </c>
      <c r="AP88" s="319">
        <v>7.56</v>
      </c>
      <c r="AQ88" s="319"/>
      <c r="AR88" s="319"/>
      <c r="AS88" s="319"/>
      <c r="AT88" s="319">
        <f>44.332/10*6</f>
        <v>26.599200000000003</v>
      </c>
      <c r="AU88" s="319"/>
      <c r="AV88" s="319"/>
      <c r="AW88" s="319">
        <v>11.34</v>
      </c>
      <c r="AX88" s="319"/>
      <c r="AY88" s="319"/>
      <c r="AZ88" s="319"/>
      <c r="BA88" s="319"/>
      <c r="BB88" s="319">
        <v>8.0640000000000001</v>
      </c>
      <c r="BC88" s="319">
        <f>4.536*4</f>
        <v>18.143999999999998</v>
      </c>
      <c r="BD88" s="319">
        <f>4.032*4</f>
        <v>16.128</v>
      </c>
      <c r="BE88" s="319"/>
      <c r="BF88" s="319">
        <f>4.536*3</f>
        <v>13.607999999999999</v>
      </c>
      <c r="BG88" s="158">
        <f t="shared" si="36"/>
        <v>368.68419999999998</v>
      </c>
      <c r="BH88" s="94"/>
      <c r="BI88" s="833"/>
      <c r="BJ88" s="319"/>
      <c r="BK88" s="319">
        <v>2.52</v>
      </c>
      <c r="BL88" s="319">
        <f>4.032*4</f>
        <v>16.128</v>
      </c>
      <c r="BM88" s="319"/>
      <c r="BN88" s="319"/>
      <c r="BO88" s="319">
        <f>3.024*1.5</f>
        <v>4.5359999999999996</v>
      </c>
      <c r="BP88" s="319"/>
      <c r="BQ88" s="319">
        <f>1.21/0.6</f>
        <v>2.0166666666666666</v>
      </c>
      <c r="BR88" s="319">
        <v>4.5359999999999996</v>
      </c>
      <c r="BS88" s="319"/>
      <c r="BT88" s="319"/>
      <c r="BU88" s="319">
        <f>3.024*1.5</f>
        <v>4.5359999999999996</v>
      </c>
      <c r="BV88" s="319"/>
      <c r="BW88" s="319"/>
      <c r="BX88" s="319"/>
      <c r="BY88" s="319"/>
      <c r="BZ88" s="319">
        <v>2.52</v>
      </c>
      <c r="CA88" s="319"/>
      <c r="CB88" s="319"/>
      <c r="CC88" s="319"/>
      <c r="CD88" s="319">
        <v>2.419</v>
      </c>
      <c r="CE88" s="319"/>
      <c r="CF88" s="319"/>
      <c r="CG88" s="319"/>
      <c r="CH88" s="319">
        <f>3.024</f>
        <v>3.024</v>
      </c>
      <c r="CI88" s="319"/>
      <c r="CJ88" s="319">
        <v>17.733000000000001</v>
      </c>
      <c r="CK88" s="319">
        <f>14.364*5.5</f>
        <v>79.00200000000001</v>
      </c>
      <c r="CL88" s="319">
        <f>7.56/1.5*2.5</f>
        <v>12.6</v>
      </c>
      <c r="CM88" s="319"/>
      <c r="CN88" s="319"/>
      <c r="CO88" s="319">
        <f>63*1.3</f>
        <v>81.900000000000006</v>
      </c>
      <c r="CP88" s="319">
        <v>10.08</v>
      </c>
      <c r="CQ88" s="365"/>
      <c r="CR88" s="275">
        <f t="shared" si="37"/>
        <v>243.55066666666667</v>
      </c>
      <c r="CS88" s="57"/>
      <c r="CT88" s="319"/>
      <c r="CU88" s="319"/>
      <c r="CV88" s="319"/>
      <c r="CW88" s="319">
        <v>2.2679999999999998</v>
      </c>
      <c r="CX88" s="319">
        <f>4.032*5</f>
        <v>20.16</v>
      </c>
      <c r="CY88" s="319"/>
      <c r="CZ88" s="319">
        <f>4.536*3.8</f>
        <v>17.236799999999999</v>
      </c>
      <c r="DA88" s="319"/>
      <c r="DB88" s="319"/>
      <c r="DC88" s="319"/>
      <c r="DD88" s="319"/>
      <c r="DE88" s="319">
        <f>5.04*0.5</f>
        <v>2.52</v>
      </c>
      <c r="DF88" s="319">
        <v>7.56</v>
      </c>
      <c r="DG88" s="319">
        <f>4.032*4</f>
        <v>16.128</v>
      </c>
      <c r="DH88" s="319"/>
      <c r="DI88" s="319">
        <f>4.536*7</f>
        <v>31.751999999999995</v>
      </c>
      <c r="DJ88" s="319"/>
      <c r="DK88" s="319">
        <v>5.04</v>
      </c>
      <c r="DL88" s="319"/>
      <c r="DM88" s="319">
        <v>11.34</v>
      </c>
      <c r="DN88" s="319"/>
      <c r="DO88" s="319">
        <v>3.024</v>
      </c>
      <c r="DP88" s="319"/>
      <c r="DQ88" s="319"/>
      <c r="DR88" s="319"/>
      <c r="DS88" s="319"/>
      <c r="DT88" s="245">
        <f>4.536/0.9*0.6</f>
        <v>3.0239999999999996</v>
      </c>
      <c r="DU88" s="33"/>
      <c r="DV88" s="24"/>
      <c r="DW88" s="24"/>
      <c r="DX88" s="319"/>
      <c r="DY88" s="319">
        <f>4.032*5</f>
        <v>20.16</v>
      </c>
      <c r="DZ88" s="319"/>
      <c r="EA88" s="319">
        <f>14.364*4</f>
        <v>57.456000000000003</v>
      </c>
      <c r="EB88" s="319">
        <v>10.08</v>
      </c>
      <c r="EC88" s="319"/>
      <c r="ED88" s="319"/>
      <c r="EE88" s="319"/>
      <c r="EF88" s="319"/>
      <c r="EG88" s="319"/>
      <c r="EH88" s="319">
        <f>4.536*4</f>
        <v>18.143999999999998</v>
      </c>
      <c r="EI88" s="319">
        <f>3.024*2</f>
        <v>6.048</v>
      </c>
      <c r="EJ88" s="319"/>
      <c r="EK88" s="245"/>
      <c r="EL88" s="466">
        <f>5.04*1.3</f>
        <v>6.5520000000000005</v>
      </c>
      <c r="EM88" s="319">
        <f>4.536*4.2</f>
        <v>19.051199999999998</v>
      </c>
      <c r="EN88" s="319">
        <f>4.536*2</f>
        <v>9.0719999999999992</v>
      </c>
      <c r="EO88" s="319">
        <f>1.21</f>
        <v>1.21</v>
      </c>
      <c r="EP88" s="319">
        <v>0.80600000000000005</v>
      </c>
      <c r="EQ88" s="319"/>
      <c r="ER88" s="319">
        <v>4.5359999999999996</v>
      </c>
      <c r="ES88" s="319"/>
      <c r="ET88" s="319"/>
      <c r="EU88" s="319"/>
      <c r="EV88" s="319"/>
      <c r="EW88" s="319">
        <f>6.804/1.5</f>
        <v>4.5360000000000005</v>
      </c>
      <c r="EX88" s="319"/>
      <c r="EY88" s="319">
        <f>3.024</f>
        <v>3.024</v>
      </c>
      <c r="EZ88" s="319"/>
      <c r="FA88" s="319"/>
      <c r="FB88" s="319">
        <v>8.5679999999999996</v>
      </c>
      <c r="FC88" s="319">
        <f>4.838/1.2*0.6</f>
        <v>2.419</v>
      </c>
      <c r="FD88" s="319">
        <f>4.536/0.9*0.6</f>
        <v>3.0239999999999996</v>
      </c>
      <c r="FE88" s="319"/>
      <c r="FF88" s="319"/>
      <c r="FG88" s="319"/>
      <c r="FH88" s="319"/>
      <c r="FI88" s="158">
        <f t="shared" si="38"/>
        <v>294.73899999999998</v>
      </c>
      <c r="FJ88" s="95"/>
      <c r="FK88" s="374"/>
      <c r="FL88" s="319"/>
      <c r="FM88" s="319"/>
      <c r="FN88" s="319"/>
      <c r="FO88" s="319"/>
      <c r="FP88" s="319"/>
      <c r="FQ88" s="319"/>
      <c r="FR88" s="319"/>
      <c r="FS88" s="319"/>
      <c r="FT88" s="319"/>
      <c r="FU88" s="319"/>
      <c r="FV88" s="319"/>
      <c r="FW88" s="319"/>
      <c r="FX88" s="319"/>
      <c r="FY88" s="28"/>
      <c r="FZ88" s="164"/>
      <c r="GA88" s="33"/>
      <c r="GB88" s="24"/>
      <c r="GC88" s="24"/>
      <c r="GD88" s="24"/>
      <c r="GE88" s="808"/>
      <c r="GF88" s="472"/>
      <c r="GG88" s="51">
        <f t="shared" si="39"/>
        <v>0</v>
      </c>
      <c r="GH88" s="500">
        <f t="shared" si="40"/>
        <v>1033.68</v>
      </c>
      <c r="GI88" s="605">
        <f t="shared" si="41"/>
        <v>1033.68</v>
      </c>
      <c r="GJ88" s="627">
        <f t="shared" si="42"/>
        <v>690.35699999999997</v>
      </c>
      <c r="GK88" s="239">
        <f t="shared" si="43"/>
        <v>243.56</v>
      </c>
      <c r="GL88" s="36" t="str">
        <f t="shared" si="44"/>
        <v>Хромсодержащие дрожжи</v>
      </c>
      <c r="GM88" s="331"/>
      <c r="GN88" s="22"/>
      <c r="GO88" s="22"/>
    </row>
    <row r="89" spans="1:197" x14ac:dyDescent="0.3">
      <c r="A89" s="367">
        <f t="shared" si="45"/>
        <v>76</v>
      </c>
      <c r="B89" s="793" t="s">
        <v>125</v>
      </c>
      <c r="C89" s="565">
        <f>'3_квартал'!G87</f>
        <v>4.8600000000000003</v>
      </c>
      <c r="D89" s="511">
        <v>0</v>
      </c>
      <c r="E89" s="757">
        <v>0</v>
      </c>
      <c r="F89" s="758">
        <v>0</v>
      </c>
      <c r="G89" s="299">
        <f t="shared" si="49"/>
        <v>0</v>
      </c>
      <c r="H89" s="93">
        <v>0</v>
      </c>
      <c r="I89" s="93">
        <v>0</v>
      </c>
      <c r="J89" s="759"/>
      <c r="K89" s="32"/>
      <c r="L89" s="32"/>
      <c r="M89" s="319"/>
      <c r="N89" s="32"/>
      <c r="O89" s="319"/>
      <c r="P89" s="32"/>
      <c r="Q89" s="32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19"/>
      <c r="AL89" s="319"/>
      <c r="AM89" s="319"/>
      <c r="AN89" s="319"/>
      <c r="AO89" s="319"/>
      <c r="AP89" s="319"/>
      <c r="AQ89" s="319"/>
      <c r="AR89" s="319"/>
      <c r="AS89" s="319"/>
      <c r="AT89" s="319"/>
      <c r="AU89" s="319"/>
      <c r="AV89" s="319"/>
      <c r="AW89" s="319"/>
      <c r="AX89" s="319"/>
      <c r="AY89" s="319"/>
      <c r="AZ89" s="319"/>
      <c r="BA89" s="319"/>
      <c r="BB89" s="319"/>
      <c r="BC89" s="319"/>
      <c r="BD89" s="319"/>
      <c r="BE89" s="319"/>
      <c r="BF89" s="319"/>
      <c r="BG89" s="158">
        <f t="shared" si="36"/>
        <v>0</v>
      </c>
      <c r="BH89" s="759"/>
      <c r="BI89" s="833"/>
      <c r="BJ89" s="319"/>
      <c r="BK89" s="319"/>
      <c r="BL89" s="319"/>
      <c r="BM89" s="319"/>
      <c r="BN89" s="319"/>
      <c r="BO89" s="319"/>
      <c r="BP89" s="319"/>
      <c r="BQ89" s="319"/>
      <c r="BR89" s="319"/>
      <c r="BS89" s="319"/>
      <c r="BT89" s="319"/>
      <c r="BU89" s="319"/>
      <c r="BV89" s="319"/>
      <c r="BW89" s="319"/>
      <c r="BX89" s="319"/>
      <c r="BY89" s="319"/>
      <c r="BZ89" s="319"/>
      <c r="CA89" s="319"/>
      <c r="CB89" s="319"/>
      <c r="CC89" s="319"/>
      <c r="CD89" s="319"/>
      <c r="CE89" s="319"/>
      <c r="CF89" s="319"/>
      <c r="CG89" s="319"/>
      <c r="CH89" s="319"/>
      <c r="CI89" s="319"/>
      <c r="CJ89" s="319"/>
      <c r="CK89" s="319"/>
      <c r="CL89" s="319"/>
      <c r="CM89" s="319"/>
      <c r="CN89" s="319"/>
      <c r="CO89" s="319"/>
      <c r="CP89" s="319"/>
      <c r="CQ89" s="365"/>
      <c r="CR89" s="419">
        <f t="shared" si="37"/>
        <v>0</v>
      </c>
      <c r="CS89" s="57"/>
      <c r="CT89" s="319"/>
      <c r="CU89" s="319"/>
      <c r="CV89" s="319"/>
      <c r="CW89" s="319"/>
      <c r="CX89" s="319"/>
      <c r="CY89" s="319"/>
      <c r="CZ89" s="319"/>
      <c r="DA89" s="319"/>
      <c r="DB89" s="319"/>
      <c r="DC89" s="319"/>
      <c r="DD89" s="319"/>
      <c r="DE89" s="319"/>
      <c r="DF89" s="319"/>
      <c r="DG89" s="319"/>
      <c r="DH89" s="319"/>
      <c r="DI89" s="319"/>
      <c r="DJ89" s="319"/>
      <c r="DK89" s="319"/>
      <c r="DL89" s="319"/>
      <c r="DM89" s="319"/>
      <c r="DN89" s="319"/>
      <c r="DO89" s="319"/>
      <c r="DP89" s="319"/>
      <c r="DQ89" s="319"/>
      <c r="DR89" s="319"/>
      <c r="DS89" s="319"/>
      <c r="DT89" s="245"/>
      <c r="DU89" s="271"/>
      <c r="DV89" s="177"/>
      <c r="DW89" s="24"/>
      <c r="DX89" s="319"/>
      <c r="DY89" s="319"/>
      <c r="DZ89" s="319"/>
      <c r="EA89" s="319"/>
      <c r="EB89" s="319"/>
      <c r="EC89" s="319"/>
      <c r="ED89" s="319"/>
      <c r="EE89" s="319"/>
      <c r="EF89" s="319"/>
      <c r="EG89" s="319"/>
      <c r="EH89" s="319"/>
      <c r="EI89" s="319"/>
      <c r="EJ89" s="319"/>
      <c r="EK89" s="245"/>
      <c r="EL89" s="466"/>
      <c r="EM89" s="319"/>
      <c r="EN89" s="319"/>
      <c r="EO89" s="319"/>
      <c r="EP89" s="319"/>
      <c r="EQ89" s="319"/>
      <c r="ER89" s="319"/>
      <c r="ES89" s="319"/>
      <c r="ET89" s="319"/>
      <c r="EU89" s="319"/>
      <c r="EV89" s="319"/>
      <c r="EW89" s="319"/>
      <c r="EX89" s="319"/>
      <c r="EY89" s="319"/>
      <c r="EZ89" s="319"/>
      <c r="FA89" s="319"/>
      <c r="FB89" s="319"/>
      <c r="FC89" s="319"/>
      <c r="FD89" s="319"/>
      <c r="FE89" s="319"/>
      <c r="FF89" s="319"/>
      <c r="FG89" s="319"/>
      <c r="FH89" s="319"/>
      <c r="FI89" s="158">
        <f t="shared" si="38"/>
        <v>0</v>
      </c>
      <c r="FJ89" s="760"/>
      <c r="FK89" s="374"/>
      <c r="FL89" s="319"/>
      <c r="FM89" s="319"/>
      <c r="FN89" s="319"/>
      <c r="FO89" s="319"/>
      <c r="FP89" s="319"/>
      <c r="FQ89" s="319"/>
      <c r="FR89" s="319"/>
      <c r="FS89" s="319"/>
      <c r="FT89" s="319"/>
      <c r="FU89" s="319"/>
      <c r="FV89" s="319"/>
      <c r="FW89" s="319"/>
      <c r="FX89" s="319"/>
      <c r="FY89" s="28"/>
      <c r="FZ89" s="270"/>
      <c r="GA89" s="271"/>
      <c r="GB89" s="177"/>
      <c r="GC89" s="24"/>
      <c r="GD89" s="24"/>
      <c r="GE89" s="808"/>
      <c r="GF89" s="472"/>
      <c r="GG89" s="51">
        <f t="shared" si="39"/>
        <v>0</v>
      </c>
      <c r="GH89" s="500">
        <f t="shared" si="40"/>
        <v>0</v>
      </c>
      <c r="GI89" s="605">
        <f t="shared" si="41"/>
        <v>0</v>
      </c>
      <c r="GJ89" s="627">
        <f t="shared" si="42"/>
        <v>4.8600000000000003</v>
      </c>
      <c r="GK89" s="239">
        <f t="shared" si="43"/>
        <v>0</v>
      </c>
      <c r="GL89" s="36" t="str">
        <f t="shared" si="44"/>
        <v>Фекорд -2012-Ф гр.1</v>
      </c>
      <c r="GM89" s="331"/>
      <c r="GN89" s="22"/>
      <c r="GO89" s="22"/>
    </row>
    <row r="90" spans="1:197" x14ac:dyDescent="0.3">
      <c r="A90" s="367">
        <f t="shared" si="45"/>
        <v>77</v>
      </c>
      <c r="B90" s="288" t="s">
        <v>102</v>
      </c>
      <c r="C90" s="565">
        <f>'3_квартал'!G88</f>
        <v>8.1969999999999992</v>
      </c>
      <c r="D90" s="511">
        <v>4.63</v>
      </c>
      <c r="E90" s="191">
        <v>0.6</v>
      </c>
      <c r="F90" s="758">
        <v>16.62</v>
      </c>
      <c r="G90" s="299">
        <f t="shared" si="49"/>
        <v>7.2830000000000004</v>
      </c>
      <c r="H90" s="93">
        <v>20.18</v>
      </c>
      <c r="I90" s="93">
        <v>3.56</v>
      </c>
      <c r="J90" s="94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>
        <f>0.302/0.3*0.4</f>
        <v>0.40266666666666667</v>
      </c>
      <c r="AH90" s="319"/>
      <c r="AI90" s="319"/>
      <c r="AJ90" s="319"/>
      <c r="AK90" s="319"/>
      <c r="AL90" s="319"/>
      <c r="AM90" s="319"/>
      <c r="AN90" s="319">
        <v>1.21</v>
      </c>
      <c r="AO90" s="319"/>
      <c r="AP90" s="319"/>
      <c r="AQ90" s="319"/>
      <c r="AR90" s="319"/>
      <c r="AS90" s="319"/>
      <c r="AT90" s="319"/>
      <c r="AU90" s="319"/>
      <c r="AV90" s="319"/>
      <c r="AW90" s="319">
        <v>3.024</v>
      </c>
      <c r="AX90" s="319"/>
      <c r="AY90" s="319"/>
      <c r="AZ90" s="319"/>
      <c r="BA90" s="319"/>
      <c r="BB90" s="319"/>
      <c r="BC90" s="319"/>
      <c r="BD90" s="319"/>
      <c r="BE90" s="319"/>
      <c r="BF90" s="319"/>
      <c r="BG90" s="158">
        <f t="shared" si="36"/>
        <v>4.6366666666666667</v>
      </c>
      <c r="BH90" s="94"/>
      <c r="BI90" s="833">
        <v>0.60499999999999998</v>
      </c>
      <c r="BJ90" s="319"/>
      <c r="BK90" s="319"/>
      <c r="BL90" s="319"/>
      <c r="BM90" s="319"/>
      <c r="BN90" s="319"/>
      <c r="BO90" s="319"/>
      <c r="BP90" s="319"/>
      <c r="BQ90" s="319"/>
      <c r="BR90" s="319"/>
      <c r="BS90" s="319"/>
      <c r="BT90" s="319"/>
      <c r="BU90" s="319"/>
      <c r="BV90" s="319"/>
      <c r="BW90" s="319"/>
      <c r="BX90" s="319"/>
      <c r="BY90" s="319"/>
      <c r="BZ90" s="319"/>
      <c r="CA90" s="319"/>
      <c r="CB90" s="319"/>
      <c r="CC90" s="319"/>
      <c r="CD90" s="319"/>
      <c r="CE90" s="319"/>
      <c r="CF90" s="319"/>
      <c r="CG90" s="319"/>
      <c r="CH90" s="319"/>
      <c r="CI90" s="319"/>
      <c r="CJ90" s="319"/>
      <c r="CK90" s="319"/>
      <c r="CL90" s="319"/>
      <c r="CM90" s="319"/>
      <c r="CN90" s="319"/>
      <c r="CO90" s="319"/>
      <c r="CP90" s="319"/>
      <c r="CQ90" s="365"/>
      <c r="CR90" s="419">
        <f t="shared" si="37"/>
        <v>0.60499999999999998</v>
      </c>
      <c r="CS90" s="57"/>
      <c r="CT90" s="319"/>
      <c r="CU90" s="319"/>
      <c r="CV90" s="319">
        <v>0.40300000000000002</v>
      </c>
      <c r="CW90" s="319"/>
      <c r="CX90" s="319"/>
      <c r="CY90" s="319"/>
      <c r="CZ90" s="319"/>
      <c r="DA90" s="319"/>
      <c r="DB90" s="319"/>
      <c r="DC90" s="319"/>
      <c r="DD90" s="319"/>
      <c r="DE90" s="319"/>
      <c r="DF90" s="319"/>
      <c r="DG90" s="319"/>
      <c r="DH90" s="319"/>
      <c r="DI90" s="319"/>
      <c r="DJ90" s="319"/>
      <c r="DK90" s="319"/>
      <c r="DL90" s="319"/>
      <c r="DM90" s="319">
        <v>3.024</v>
      </c>
      <c r="DN90" s="319">
        <v>1.008</v>
      </c>
      <c r="DO90" s="319"/>
      <c r="DP90" s="319"/>
      <c r="DQ90" s="319"/>
      <c r="DR90" s="319"/>
      <c r="DS90" s="319">
        <v>0.30199999999999999</v>
      </c>
      <c r="DT90" s="245"/>
      <c r="DU90" s="271"/>
      <c r="DV90" s="177"/>
      <c r="DW90" s="24">
        <f>2.016*4</f>
        <v>8.0640000000000001</v>
      </c>
      <c r="DX90" s="319"/>
      <c r="DY90" s="319"/>
      <c r="DZ90" s="319">
        <f>1.008*2.6</f>
        <v>2.6208</v>
      </c>
      <c r="EA90" s="319"/>
      <c r="EB90" s="319"/>
      <c r="EC90" s="319"/>
      <c r="ED90" s="319"/>
      <c r="EE90" s="319"/>
      <c r="EF90" s="319"/>
      <c r="EG90" s="319"/>
      <c r="EH90" s="319"/>
      <c r="EI90" s="319"/>
      <c r="EJ90" s="319"/>
      <c r="EK90" s="245"/>
      <c r="EL90" s="466"/>
      <c r="EM90" s="319"/>
      <c r="EN90" s="319"/>
      <c r="EO90" s="319"/>
      <c r="EP90" s="319"/>
      <c r="EQ90" s="319"/>
      <c r="ER90" s="319"/>
      <c r="ES90" s="319"/>
      <c r="ET90" s="319"/>
      <c r="EU90" s="319"/>
      <c r="EV90" s="319"/>
      <c r="EW90" s="319"/>
      <c r="EX90" s="319"/>
      <c r="EY90" s="319"/>
      <c r="EZ90" s="319"/>
      <c r="FA90" s="319"/>
      <c r="FB90" s="319"/>
      <c r="FC90" s="319"/>
      <c r="FD90" s="319"/>
      <c r="FE90" s="319">
        <v>1.21</v>
      </c>
      <c r="FF90" s="319"/>
      <c r="FG90" s="319"/>
      <c r="FH90" s="319"/>
      <c r="FI90" s="158">
        <f t="shared" si="38"/>
        <v>16.631800000000002</v>
      </c>
      <c r="FJ90" s="95"/>
      <c r="FK90" s="374"/>
      <c r="FL90" s="319"/>
      <c r="FM90" s="319"/>
      <c r="FN90" s="319"/>
      <c r="FO90" s="319"/>
      <c r="FP90" s="319"/>
      <c r="FQ90" s="319"/>
      <c r="FR90" s="319"/>
      <c r="FS90" s="319"/>
      <c r="FT90" s="319"/>
      <c r="FU90" s="319"/>
      <c r="FV90" s="319"/>
      <c r="FW90" s="319"/>
      <c r="FX90" s="319"/>
      <c r="FY90" s="28"/>
      <c r="FZ90" s="270"/>
      <c r="GA90" s="271"/>
      <c r="GB90" s="177"/>
      <c r="GC90" s="24"/>
      <c r="GD90" s="24"/>
      <c r="GE90" s="802"/>
      <c r="GF90" s="472"/>
      <c r="GG90" s="51">
        <f t="shared" si="39"/>
        <v>0</v>
      </c>
      <c r="GH90" s="525">
        <f t="shared" si="40"/>
        <v>3.56</v>
      </c>
      <c r="GI90" s="605">
        <f t="shared" si="41"/>
        <v>3.56</v>
      </c>
      <c r="GJ90" s="627">
        <f t="shared" si="42"/>
        <v>8.1969999999999992</v>
      </c>
      <c r="GK90" s="239">
        <f t="shared" si="43"/>
        <v>0.6</v>
      </c>
      <c r="GL90" s="36" t="str">
        <f t="shared" si="44"/>
        <v>Фекорд -2012-Ф гр.2</v>
      </c>
      <c r="GM90" s="664"/>
      <c r="GN90" s="22"/>
      <c r="GO90" s="22"/>
    </row>
    <row r="91" spans="1:197" x14ac:dyDescent="0.3">
      <c r="A91" s="367">
        <f t="shared" si="45"/>
        <v>78</v>
      </c>
      <c r="B91" s="794" t="s">
        <v>103</v>
      </c>
      <c r="C91" s="565">
        <f>'3_квартал'!G89</f>
        <v>1.1599999999999999</v>
      </c>
      <c r="D91" s="511">
        <v>0</v>
      </c>
      <c r="E91" s="191">
        <v>0</v>
      </c>
      <c r="F91" s="758">
        <v>0</v>
      </c>
      <c r="G91" s="299">
        <f t="shared" si="49"/>
        <v>0</v>
      </c>
      <c r="H91" s="324">
        <v>0</v>
      </c>
      <c r="I91" s="324">
        <v>0</v>
      </c>
      <c r="J91" s="94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19"/>
      <c r="W91" s="319"/>
      <c r="X91" s="325"/>
      <c r="Y91" s="325"/>
      <c r="Z91" s="325"/>
      <c r="AA91" s="319"/>
      <c r="AB91" s="325"/>
      <c r="AC91" s="319"/>
      <c r="AD91" s="319"/>
      <c r="AE91" s="319"/>
      <c r="AF91" s="325"/>
      <c r="AG91" s="319"/>
      <c r="AH91" s="325"/>
      <c r="AI91" s="325"/>
      <c r="AJ91" s="325"/>
      <c r="AK91" s="325"/>
      <c r="AL91" s="325"/>
      <c r="AM91" s="325"/>
      <c r="AN91" s="325"/>
      <c r="AO91" s="325"/>
      <c r="AP91" s="325"/>
      <c r="AQ91" s="325"/>
      <c r="AR91" s="325"/>
      <c r="AS91" s="325"/>
      <c r="AT91" s="325"/>
      <c r="AU91" s="325"/>
      <c r="AV91" s="325"/>
      <c r="AW91" s="325"/>
      <c r="AX91" s="325"/>
      <c r="AY91" s="325"/>
      <c r="AZ91" s="319"/>
      <c r="BA91" s="319"/>
      <c r="BB91" s="319"/>
      <c r="BC91" s="325"/>
      <c r="BD91" s="325"/>
      <c r="BE91" s="325"/>
      <c r="BF91" s="325"/>
      <c r="BG91" s="158">
        <f t="shared" si="36"/>
        <v>0</v>
      </c>
      <c r="BH91" s="94"/>
      <c r="BI91" s="833"/>
      <c r="BJ91" s="319"/>
      <c r="BK91" s="325"/>
      <c r="BL91" s="325"/>
      <c r="BM91" s="325"/>
      <c r="BN91" s="325"/>
      <c r="BO91" s="325"/>
      <c r="BP91" s="319"/>
      <c r="BQ91" s="319"/>
      <c r="BR91" s="325"/>
      <c r="BS91" s="325"/>
      <c r="BT91" s="325"/>
      <c r="BU91" s="325"/>
      <c r="BV91" s="325"/>
      <c r="BW91" s="319"/>
      <c r="BX91" s="325"/>
      <c r="BY91" s="325"/>
      <c r="BZ91" s="325"/>
      <c r="CA91" s="325"/>
      <c r="CB91" s="325"/>
      <c r="CC91" s="325"/>
      <c r="CD91" s="325"/>
      <c r="CE91" s="325"/>
      <c r="CF91" s="325"/>
      <c r="CG91" s="325"/>
      <c r="CH91" s="325"/>
      <c r="CI91" s="325"/>
      <c r="CJ91" s="325"/>
      <c r="CK91" s="325"/>
      <c r="CL91" s="325"/>
      <c r="CM91" s="325"/>
      <c r="CN91" s="325"/>
      <c r="CO91" s="325"/>
      <c r="CP91" s="325"/>
      <c r="CQ91" s="836"/>
      <c r="CR91" s="419">
        <f t="shared" si="37"/>
        <v>0</v>
      </c>
      <c r="CS91" s="57"/>
      <c r="CT91" s="325"/>
      <c r="CU91" s="325"/>
      <c r="CV91" s="325"/>
      <c r="CW91" s="325"/>
      <c r="CX91" s="325"/>
      <c r="CY91" s="325"/>
      <c r="CZ91" s="325"/>
      <c r="DA91" s="325"/>
      <c r="DB91" s="325"/>
      <c r="DC91" s="319"/>
      <c r="DD91" s="325"/>
      <c r="DE91" s="325"/>
      <c r="DF91" s="325"/>
      <c r="DG91" s="325"/>
      <c r="DH91" s="325"/>
      <c r="DI91" s="325"/>
      <c r="DJ91" s="319"/>
      <c r="DK91" s="319"/>
      <c r="DL91" s="325"/>
      <c r="DM91" s="325"/>
      <c r="DN91" s="325"/>
      <c r="DO91" s="325"/>
      <c r="DP91" s="325"/>
      <c r="DQ91" s="325"/>
      <c r="DR91" s="325"/>
      <c r="DS91" s="325"/>
      <c r="DT91" s="326"/>
      <c r="DU91" s="271"/>
      <c r="DV91" s="177"/>
      <c r="DW91" s="24"/>
      <c r="DX91" s="325"/>
      <c r="DY91" s="325"/>
      <c r="DZ91" s="325"/>
      <c r="EA91" s="325"/>
      <c r="EB91" s="325"/>
      <c r="EC91" s="325"/>
      <c r="ED91" s="325"/>
      <c r="EE91" s="325"/>
      <c r="EF91" s="325"/>
      <c r="EG91" s="325"/>
      <c r="EH91" s="325"/>
      <c r="EI91" s="325"/>
      <c r="EJ91" s="325"/>
      <c r="EK91" s="326"/>
      <c r="EL91" s="468"/>
      <c r="EM91" s="325"/>
      <c r="EN91" s="325"/>
      <c r="EO91" s="319"/>
      <c r="EP91" s="325"/>
      <c r="EQ91" s="325"/>
      <c r="ER91" s="325"/>
      <c r="ES91" s="319"/>
      <c r="ET91" s="325"/>
      <c r="EU91" s="325"/>
      <c r="EV91" s="325"/>
      <c r="EW91" s="325"/>
      <c r="EX91" s="325"/>
      <c r="EY91" s="325"/>
      <c r="EZ91" s="325"/>
      <c r="FA91" s="325"/>
      <c r="FB91" s="325"/>
      <c r="FC91" s="325"/>
      <c r="FD91" s="325"/>
      <c r="FE91" s="325"/>
      <c r="FF91" s="325"/>
      <c r="FG91" s="325"/>
      <c r="FH91" s="325"/>
      <c r="FI91" s="158">
        <f t="shared" si="38"/>
        <v>0</v>
      </c>
      <c r="FJ91" s="95"/>
      <c r="FK91" s="375"/>
      <c r="FL91" s="325"/>
      <c r="FM91" s="325"/>
      <c r="FN91" s="325"/>
      <c r="FO91" s="325"/>
      <c r="FP91" s="325"/>
      <c r="FQ91" s="325"/>
      <c r="FR91" s="325"/>
      <c r="FS91" s="325"/>
      <c r="FT91" s="325"/>
      <c r="FU91" s="325"/>
      <c r="FV91" s="325"/>
      <c r="FW91" s="325"/>
      <c r="FX91" s="325"/>
      <c r="FY91" s="182"/>
      <c r="FZ91" s="270"/>
      <c r="GA91" s="271"/>
      <c r="GB91" s="177"/>
      <c r="GC91" s="24"/>
      <c r="GD91" s="24"/>
      <c r="GE91" s="802"/>
      <c r="GF91" s="472"/>
      <c r="GG91" s="51">
        <f t="shared" si="39"/>
        <v>0</v>
      </c>
      <c r="GH91" s="500">
        <f t="shared" si="40"/>
        <v>0</v>
      </c>
      <c r="GI91" s="605">
        <f t="shared" si="41"/>
        <v>0</v>
      </c>
      <c r="GJ91" s="627">
        <f t="shared" si="42"/>
        <v>1.1599999999999999</v>
      </c>
      <c r="GK91" s="239">
        <f t="shared" si="43"/>
        <v>0</v>
      </c>
      <c r="GL91" s="36" t="str">
        <f t="shared" si="44"/>
        <v xml:space="preserve">Фитазим С (гр. 3), акт 10000 ед/г </v>
      </c>
      <c r="GM91" s="664"/>
      <c r="GN91" s="22"/>
      <c r="GO91" s="22"/>
    </row>
    <row r="92" spans="1:197" x14ac:dyDescent="0.3">
      <c r="A92" s="367">
        <f>A91+1</f>
        <v>79</v>
      </c>
      <c r="B92" s="795" t="s">
        <v>172</v>
      </c>
      <c r="C92" s="565">
        <f>'3_квартал'!G90</f>
        <v>1044.25</v>
      </c>
      <c r="D92" s="511">
        <f>76.72+168.09</f>
        <v>244.81</v>
      </c>
      <c r="E92" s="191">
        <v>47.04</v>
      </c>
      <c r="F92" s="758">
        <v>830.87</v>
      </c>
      <c r="G92" s="299">
        <f t="shared" si="49"/>
        <v>374.24</v>
      </c>
      <c r="H92" s="93">
        <v>284.87</v>
      </c>
      <c r="I92" s="93">
        <v>0</v>
      </c>
      <c r="J92" s="94"/>
      <c r="K92" s="319"/>
      <c r="L92" s="319"/>
      <c r="M92" s="319">
        <f>0.101*2</f>
        <v>0.20200000000000001</v>
      </c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>
        <f>33.6*0.5</f>
        <v>16.8</v>
      </c>
      <c r="AC92" s="319"/>
      <c r="AD92" s="319"/>
      <c r="AE92" s="319"/>
      <c r="AF92" s="319"/>
      <c r="AG92" s="319"/>
      <c r="AH92" s="319"/>
      <c r="AI92" s="319"/>
      <c r="AJ92" s="319"/>
      <c r="AK92" s="319"/>
      <c r="AL92" s="319">
        <v>151.19999999999999</v>
      </c>
      <c r="AM92" s="319">
        <v>16.128</v>
      </c>
      <c r="AN92" s="319">
        <v>60.48</v>
      </c>
      <c r="AO92" s="319"/>
      <c r="AP92" s="319"/>
      <c r="AQ92" s="319"/>
      <c r="AR92" s="319"/>
      <c r="AS92" s="319"/>
      <c r="AT92" s="319"/>
      <c r="AU92" s="319"/>
      <c r="AV92" s="319"/>
      <c r="AW92" s="319"/>
      <c r="AX92" s="319"/>
      <c r="AY92" s="319"/>
      <c r="AZ92" s="319"/>
      <c r="BA92" s="319"/>
      <c r="BB92" s="319"/>
      <c r="BC92" s="319"/>
      <c r="BD92" s="319"/>
      <c r="BE92" s="319"/>
      <c r="BF92" s="319"/>
      <c r="BG92" s="158">
        <f t="shared" si="36"/>
        <v>244.80999999999997</v>
      </c>
      <c r="BH92" s="94"/>
      <c r="BI92" s="833"/>
      <c r="BJ92" s="319"/>
      <c r="BK92" s="319"/>
      <c r="BL92" s="319"/>
      <c r="BM92" s="319"/>
      <c r="BN92" s="319"/>
      <c r="BO92" s="319"/>
      <c r="BP92" s="319"/>
      <c r="BQ92" s="319">
        <f>28.224/0.6</f>
        <v>47.04</v>
      </c>
      <c r="BR92" s="319"/>
      <c r="BS92" s="319"/>
      <c r="BT92" s="319"/>
      <c r="BU92" s="319"/>
      <c r="BV92" s="319"/>
      <c r="BW92" s="319"/>
      <c r="BX92" s="319"/>
      <c r="BY92" s="319"/>
      <c r="BZ92" s="319"/>
      <c r="CA92" s="319"/>
      <c r="CB92" s="319"/>
      <c r="CC92" s="319"/>
      <c r="CD92" s="319"/>
      <c r="CE92" s="319"/>
      <c r="CF92" s="319"/>
      <c r="CG92" s="319"/>
      <c r="CH92" s="319"/>
      <c r="CI92" s="319"/>
      <c r="CJ92" s="319"/>
      <c r="CK92" s="319"/>
      <c r="CL92" s="319"/>
      <c r="CM92" s="319"/>
      <c r="CN92" s="319"/>
      <c r="CO92" s="319"/>
      <c r="CP92" s="319"/>
      <c r="CQ92" s="365"/>
      <c r="CR92" s="275">
        <f t="shared" si="37"/>
        <v>47.04</v>
      </c>
      <c r="CS92" s="57"/>
      <c r="CT92" s="319"/>
      <c r="CU92" s="319"/>
      <c r="CV92" s="319"/>
      <c r="CW92" s="319">
        <v>151.19999999999999</v>
      </c>
      <c r="CX92" s="319"/>
      <c r="CY92" s="319"/>
      <c r="CZ92" s="319"/>
      <c r="DA92" s="319"/>
      <c r="DB92" s="319"/>
      <c r="DC92" s="319"/>
      <c r="DD92" s="319"/>
      <c r="DE92" s="319"/>
      <c r="DF92" s="319"/>
      <c r="DG92" s="319"/>
      <c r="DH92" s="319"/>
      <c r="DI92" s="319"/>
      <c r="DJ92" s="319"/>
      <c r="DK92" s="319"/>
      <c r="DL92" s="319"/>
      <c r="DM92" s="319"/>
      <c r="DN92" s="319"/>
      <c r="DO92" s="319"/>
      <c r="DP92" s="319"/>
      <c r="DQ92" s="319"/>
      <c r="DR92" s="319"/>
      <c r="DS92" s="319">
        <v>9.0719999999999992</v>
      </c>
      <c r="DT92" s="245"/>
      <c r="DU92" s="33">
        <f>40.32*8</f>
        <v>322.56</v>
      </c>
      <c r="DV92" s="24">
        <f>10.08*2</f>
        <v>20.16</v>
      </c>
      <c r="DW92" s="24">
        <f>30.24*4</f>
        <v>120.96</v>
      </c>
      <c r="DX92" s="319">
        <f>0.202/2*3</f>
        <v>0.30300000000000005</v>
      </c>
      <c r="DY92" s="319"/>
      <c r="DZ92" s="319"/>
      <c r="EA92" s="319"/>
      <c r="EB92" s="319"/>
      <c r="EC92" s="319"/>
      <c r="ED92" s="319"/>
      <c r="EE92" s="319"/>
      <c r="EF92" s="319"/>
      <c r="EG92" s="319"/>
      <c r="EH92" s="319"/>
      <c r="EI92" s="319"/>
      <c r="EJ92" s="319"/>
      <c r="EK92" s="245"/>
      <c r="EL92" s="466"/>
      <c r="EM92" s="319"/>
      <c r="EN92" s="319"/>
      <c r="EO92" s="319">
        <f>28.224</f>
        <v>28.224</v>
      </c>
      <c r="EP92" s="319">
        <v>10.752000000000001</v>
      </c>
      <c r="EQ92" s="319"/>
      <c r="ER92" s="319"/>
      <c r="ES92" s="319"/>
      <c r="ET92" s="319"/>
      <c r="EU92" s="319"/>
      <c r="EV92" s="319"/>
      <c r="EW92" s="319"/>
      <c r="EX92" s="319"/>
      <c r="EY92" s="319"/>
      <c r="EZ92" s="319"/>
      <c r="FA92" s="319"/>
      <c r="FB92" s="319"/>
      <c r="FC92" s="319"/>
      <c r="FD92" s="319"/>
      <c r="FE92" s="319">
        <v>59.74</v>
      </c>
      <c r="FF92" s="319">
        <f>45.656*2</f>
        <v>91.311999999999998</v>
      </c>
      <c r="FG92" s="319">
        <f>8.301*2</f>
        <v>16.602</v>
      </c>
      <c r="FH92" s="319"/>
      <c r="FI92" s="158">
        <f t="shared" si="38"/>
        <v>830.88499999999999</v>
      </c>
      <c r="FJ92" s="95"/>
      <c r="FK92" s="374"/>
      <c r="FL92" s="319"/>
      <c r="FM92" s="319"/>
      <c r="FN92" s="319"/>
      <c r="FO92" s="319"/>
      <c r="FP92" s="319"/>
      <c r="FQ92" s="319"/>
      <c r="FR92" s="319"/>
      <c r="FS92" s="319"/>
      <c r="FT92" s="319"/>
      <c r="FU92" s="319"/>
      <c r="FV92" s="319"/>
      <c r="FW92" s="319"/>
      <c r="FX92" s="319"/>
      <c r="FY92" s="28"/>
      <c r="FZ92" s="164"/>
      <c r="GA92" s="33"/>
      <c r="GB92" s="24"/>
      <c r="GC92" s="24"/>
      <c r="GD92" s="24"/>
      <c r="GE92" s="808"/>
      <c r="GF92" s="472"/>
      <c r="GG92" s="51">
        <f t="shared" si="39"/>
        <v>0</v>
      </c>
      <c r="GH92" s="663">
        <f t="shared" si="40"/>
        <v>0</v>
      </c>
      <c r="GI92" s="605">
        <f t="shared" si="41"/>
        <v>0</v>
      </c>
      <c r="GJ92" s="627">
        <f t="shared" si="42"/>
        <v>1044.25</v>
      </c>
      <c r="GK92" s="239">
        <f t="shared" si="43"/>
        <v>47.04</v>
      </c>
      <c r="GL92" s="36" t="str">
        <f t="shared" si="44"/>
        <v>Файбрамакс</v>
      </c>
      <c r="GM92" s="664"/>
      <c r="GN92" s="22"/>
      <c r="GO92" s="22"/>
    </row>
    <row r="93" spans="1:197" x14ac:dyDescent="0.3">
      <c r="A93" s="367">
        <f>A92+1</f>
        <v>80</v>
      </c>
      <c r="B93" s="383" t="s">
        <v>140</v>
      </c>
      <c r="C93" s="565">
        <f>'3_квартал'!G91</f>
        <v>279.83300000000003</v>
      </c>
      <c r="D93" s="511">
        <v>131.69</v>
      </c>
      <c r="E93" s="191">
        <v>118.61</v>
      </c>
      <c r="F93" s="758">
        <f>1417.71</f>
        <v>1417.71</v>
      </c>
      <c r="G93" s="299">
        <f t="shared" si="49"/>
        <v>556.00300000000004</v>
      </c>
      <c r="H93" s="93">
        <f>748.7+1000</f>
        <v>1748.7</v>
      </c>
      <c r="I93" s="93">
        <f>330.99+8800+13200</f>
        <v>22330.989999999998</v>
      </c>
      <c r="J93" s="94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  <c r="AA93" s="319"/>
      <c r="AB93" s="319"/>
      <c r="AC93" s="319"/>
      <c r="AD93" s="319"/>
      <c r="AE93" s="319"/>
      <c r="AF93" s="319"/>
      <c r="AG93" s="319"/>
      <c r="AH93" s="319"/>
      <c r="AI93" s="319"/>
      <c r="AJ93" s="319"/>
      <c r="AK93" s="319"/>
      <c r="AL93" s="319"/>
      <c r="AM93" s="319"/>
      <c r="AN93" s="319"/>
      <c r="AO93" s="319"/>
      <c r="AP93" s="319"/>
      <c r="AQ93" s="319"/>
      <c r="AR93" s="319"/>
      <c r="AS93" s="319"/>
      <c r="AT93" s="319"/>
      <c r="AU93" s="319"/>
      <c r="AV93" s="319"/>
      <c r="AW93" s="319">
        <v>131.69</v>
      </c>
      <c r="AX93" s="319"/>
      <c r="AY93" s="319"/>
      <c r="AZ93" s="319"/>
      <c r="BA93" s="319"/>
      <c r="BB93" s="319"/>
      <c r="BC93" s="319"/>
      <c r="BD93" s="319"/>
      <c r="BE93" s="319"/>
      <c r="BF93" s="319"/>
      <c r="BG93" s="158">
        <f t="shared" si="36"/>
        <v>131.69</v>
      </c>
      <c r="BH93" s="94"/>
      <c r="BI93" s="833">
        <v>51.408000000000001</v>
      </c>
      <c r="BJ93" s="319"/>
      <c r="BK93" s="319"/>
      <c r="BL93" s="319"/>
      <c r="BM93" s="319"/>
      <c r="BN93" s="319"/>
      <c r="BO93" s="319"/>
      <c r="BP93" s="319"/>
      <c r="BQ93" s="319">
        <f>40.32/0.6</f>
        <v>67.2</v>
      </c>
      <c r="BR93" s="319"/>
      <c r="BS93" s="319"/>
      <c r="BT93" s="319"/>
      <c r="BU93" s="319"/>
      <c r="BV93" s="319"/>
      <c r="BW93" s="319"/>
      <c r="BX93" s="319"/>
      <c r="BY93" s="319"/>
      <c r="BZ93" s="319"/>
      <c r="CA93" s="319"/>
      <c r="CB93" s="319"/>
      <c r="CC93" s="319"/>
      <c r="CD93" s="319"/>
      <c r="CE93" s="319"/>
      <c r="CF93" s="319"/>
      <c r="CG93" s="319"/>
      <c r="CH93" s="319"/>
      <c r="CI93" s="319"/>
      <c r="CJ93" s="319"/>
      <c r="CK93" s="319"/>
      <c r="CL93" s="319"/>
      <c r="CM93" s="319"/>
      <c r="CN93" s="319"/>
      <c r="CO93" s="319"/>
      <c r="CP93" s="319"/>
      <c r="CQ93" s="365"/>
      <c r="CR93" s="419">
        <f t="shared" si="37"/>
        <v>118.608</v>
      </c>
      <c r="CS93" s="57"/>
      <c r="CT93" s="319"/>
      <c r="CU93" s="319"/>
      <c r="CV93" s="319">
        <v>34.271999999999998</v>
      </c>
      <c r="CW93" s="319"/>
      <c r="CX93" s="319"/>
      <c r="CY93" s="319"/>
      <c r="CZ93" s="319"/>
      <c r="DA93" s="319"/>
      <c r="DB93" s="319"/>
      <c r="DC93" s="319"/>
      <c r="DD93" s="319"/>
      <c r="DE93" s="319"/>
      <c r="DF93" s="319"/>
      <c r="DG93" s="319"/>
      <c r="DH93" s="319"/>
      <c r="DI93" s="319"/>
      <c r="DJ93" s="319"/>
      <c r="DK93" s="319"/>
      <c r="DL93" s="319"/>
      <c r="DM93" s="319">
        <v>302.39999999999998</v>
      </c>
      <c r="DN93" s="319"/>
      <c r="DO93" s="319"/>
      <c r="DP93" s="319"/>
      <c r="DQ93" s="319"/>
      <c r="DR93" s="319"/>
      <c r="DS93" s="319">
        <v>6.048</v>
      </c>
      <c r="DT93" s="245"/>
      <c r="DU93" s="271"/>
      <c r="DV93" s="177"/>
      <c r="DW93" s="177"/>
      <c r="DX93" s="319"/>
      <c r="DY93" s="319"/>
      <c r="DZ93" s="319"/>
      <c r="EA93" s="319"/>
      <c r="EB93" s="319"/>
      <c r="EC93" s="319"/>
      <c r="ED93" s="319"/>
      <c r="EE93" s="319"/>
      <c r="EF93" s="319">
        <f>95.458*0.8</f>
        <v>76.366399999999999</v>
      </c>
      <c r="EG93" s="319"/>
      <c r="EH93" s="319"/>
      <c r="EI93" s="319">
        <f>10.08*2</f>
        <v>20.16</v>
      </c>
      <c r="EJ93" s="319"/>
      <c r="EK93" s="245"/>
      <c r="EL93" s="466"/>
      <c r="EM93" s="319"/>
      <c r="EN93" s="319"/>
      <c r="EO93" s="319">
        <f>40.32</f>
        <v>40.32</v>
      </c>
      <c r="EP93" s="319">
        <v>26.88</v>
      </c>
      <c r="EQ93" s="319">
        <v>17.841999999999999</v>
      </c>
      <c r="ER93" s="319">
        <v>110.074</v>
      </c>
      <c r="ES93" s="319">
        <v>22.68</v>
      </c>
      <c r="ET93" s="319">
        <v>115.718</v>
      </c>
      <c r="EU93" s="319">
        <f>149.265/2.4</f>
        <v>62.193749999999994</v>
      </c>
      <c r="EV93" s="319">
        <f>9.072*2</f>
        <v>18.143999999999998</v>
      </c>
      <c r="EW93" s="319">
        <f>43.394/1.5</f>
        <v>28.929333333333332</v>
      </c>
      <c r="EX93" s="319">
        <f>149.265/2.4*2</f>
        <v>124.38749999999999</v>
      </c>
      <c r="EY93" s="319">
        <v>102.312</v>
      </c>
      <c r="EZ93" s="319">
        <f>73.08*1.5</f>
        <v>109.62</v>
      </c>
      <c r="FA93" s="319">
        <v>7.258</v>
      </c>
      <c r="FB93" s="319"/>
      <c r="FC93" s="319"/>
      <c r="FD93" s="319"/>
      <c r="FE93" s="319">
        <v>120.96</v>
      </c>
      <c r="FF93" s="319">
        <f>29.646*2</f>
        <v>59.292000000000002</v>
      </c>
      <c r="FG93" s="319">
        <f>5.93*2</f>
        <v>11.86</v>
      </c>
      <c r="FH93" s="319"/>
      <c r="FI93" s="158">
        <f t="shared" si="38"/>
        <v>1417.7169833333332</v>
      </c>
      <c r="FJ93" s="95"/>
      <c r="FK93" s="374"/>
      <c r="FL93" s="319"/>
      <c r="FM93" s="319"/>
      <c r="FN93" s="319"/>
      <c r="FO93" s="319"/>
      <c r="FP93" s="319"/>
      <c r="FQ93" s="319"/>
      <c r="FR93" s="319"/>
      <c r="FS93" s="319"/>
      <c r="FT93" s="319"/>
      <c r="FU93" s="319"/>
      <c r="FV93" s="319"/>
      <c r="FW93" s="319"/>
      <c r="FX93" s="319"/>
      <c r="FY93" s="28"/>
      <c r="FZ93" s="270"/>
      <c r="GA93" s="271"/>
      <c r="GB93" s="177"/>
      <c r="GC93" s="177"/>
      <c r="GD93" s="177"/>
      <c r="GE93" s="802"/>
      <c r="GF93" s="435"/>
      <c r="GG93" s="51">
        <f t="shared" si="39"/>
        <v>0</v>
      </c>
      <c r="GH93" s="500">
        <f t="shared" si="40"/>
        <v>22330.989999999998</v>
      </c>
      <c r="GI93" s="605">
        <f t="shared" si="41"/>
        <v>22330.989999999998</v>
      </c>
      <c r="GJ93" s="627">
        <f t="shared" si="42"/>
        <v>279.83300000000003</v>
      </c>
      <c r="GK93" s="239">
        <f t="shared" si="43"/>
        <v>118.61</v>
      </c>
      <c r="GL93" s="36" t="str">
        <f t="shared" si="44"/>
        <v>Энерфат</v>
      </c>
      <c r="GM93" s="331"/>
      <c r="GN93" s="22"/>
      <c r="GO93" s="22"/>
    </row>
    <row r="94" spans="1:197" x14ac:dyDescent="0.3">
      <c r="A94" s="367">
        <f t="shared" ref="A94:A95" si="50">A93+1</f>
        <v>81</v>
      </c>
      <c r="B94" s="383" t="s">
        <v>270</v>
      </c>
      <c r="C94" s="565">
        <f>'3_квартал'!G92</f>
        <v>0</v>
      </c>
      <c r="D94" s="346">
        <v>20.37</v>
      </c>
      <c r="E94" s="191">
        <v>16.18</v>
      </c>
      <c r="F94" s="758">
        <f>37.91+12.45</f>
        <v>50.36</v>
      </c>
      <c r="G94" s="299">
        <f t="shared" si="49"/>
        <v>28.97</v>
      </c>
      <c r="H94" s="93">
        <f>75+12.45</f>
        <v>87.45</v>
      </c>
      <c r="I94" s="93">
        <v>12.09</v>
      </c>
      <c r="J94" s="94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19"/>
      <c r="AM94" s="319"/>
      <c r="AN94" s="319"/>
      <c r="AO94" s="319"/>
      <c r="AP94" s="319"/>
      <c r="AQ94" s="319"/>
      <c r="AR94" s="319"/>
      <c r="AS94" s="319"/>
      <c r="AT94" s="319"/>
      <c r="AU94" s="319"/>
      <c r="AV94" s="319"/>
      <c r="AW94" s="319">
        <v>15.12</v>
      </c>
      <c r="AX94" s="319">
        <f>1.26/5*3</f>
        <v>0.75600000000000001</v>
      </c>
      <c r="AY94" s="319">
        <f>1.26/5*2</f>
        <v>0.504</v>
      </c>
      <c r="AZ94" s="319">
        <v>0.126</v>
      </c>
      <c r="BA94" s="319">
        <v>0.17599999999999999</v>
      </c>
      <c r="BB94" s="319">
        <v>0.40300000000000002</v>
      </c>
      <c r="BC94" s="319">
        <f>0.252*4</f>
        <v>1.008</v>
      </c>
      <c r="BD94" s="319">
        <f>0.252*4</f>
        <v>1.008</v>
      </c>
      <c r="BE94" s="319">
        <f>0.252*2</f>
        <v>0.504</v>
      </c>
      <c r="BF94" s="319">
        <f>0.252*3</f>
        <v>0.75600000000000001</v>
      </c>
      <c r="BG94" s="158">
        <f t="shared" si="36"/>
        <v>20.360999999999997</v>
      </c>
      <c r="BH94" s="94"/>
      <c r="BI94" s="833">
        <v>3.024</v>
      </c>
      <c r="BJ94" s="319">
        <v>0.126</v>
      </c>
      <c r="BK94" s="319">
        <v>0.126</v>
      </c>
      <c r="BL94" s="319">
        <f>0.252*4</f>
        <v>1.008</v>
      </c>
      <c r="BM94" s="319">
        <f>0.252*5</f>
        <v>1.26</v>
      </c>
      <c r="BN94" s="319">
        <f>0.252*5</f>
        <v>1.26</v>
      </c>
      <c r="BO94" s="319">
        <f>0.252*1.5</f>
        <v>0.378</v>
      </c>
      <c r="BP94" s="319">
        <v>0.126</v>
      </c>
      <c r="BQ94" s="319">
        <f>0.151/0.6</f>
        <v>0.25166666666666665</v>
      </c>
      <c r="BR94" s="319">
        <v>0.252</v>
      </c>
      <c r="BS94" s="319">
        <v>0.75600000000000001</v>
      </c>
      <c r="BT94" s="319">
        <f>0.504/2*0.8</f>
        <v>0.2016</v>
      </c>
      <c r="BU94" s="319">
        <f>0.252*1.5</f>
        <v>0.378</v>
      </c>
      <c r="BV94" s="319">
        <f>0.756/3*2</f>
        <v>0.504</v>
      </c>
      <c r="BW94" s="319">
        <f>0.126/0.5</f>
        <v>0.252</v>
      </c>
      <c r="BX94" s="319">
        <f>0.252*1.8</f>
        <v>0.4536</v>
      </c>
      <c r="BY94" s="319">
        <v>0.252</v>
      </c>
      <c r="BZ94" s="319">
        <v>0.126</v>
      </c>
      <c r="CA94" s="319">
        <v>1.26</v>
      </c>
      <c r="CB94" s="319">
        <f>0.252*5</f>
        <v>1.26</v>
      </c>
      <c r="CC94" s="319">
        <f>0.61/2.4*1.5</f>
        <v>0.38124999999999998</v>
      </c>
      <c r="CD94" s="319">
        <v>0.151</v>
      </c>
      <c r="CE94" s="319">
        <f>0.252*5</f>
        <v>1.26</v>
      </c>
      <c r="CF94" s="319">
        <f>0.252*0.5</f>
        <v>0.126</v>
      </c>
      <c r="CG94" s="319">
        <f>0.756/3*2.4</f>
        <v>0.6048</v>
      </c>
      <c r="CH94" s="319"/>
      <c r="CI94" s="319">
        <v>0.40300000000000002</v>
      </c>
      <c r="CJ94" s="319"/>
      <c r="CK94" s="319"/>
      <c r="CL94" s="319"/>
      <c r="CM94" s="319"/>
      <c r="CN94" s="319"/>
      <c r="CO94" s="319"/>
      <c r="CP94" s="319"/>
      <c r="CQ94" s="365"/>
      <c r="CR94" s="419">
        <f t="shared" si="37"/>
        <v>16.180916666666665</v>
      </c>
      <c r="CS94" s="57"/>
      <c r="CT94" s="319">
        <f>2.52/10*8</f>
        <v>2.016</v>
      </c>
      <c r="CU94" s="319">
        <f>2.52/10*2</f>
        <v>0.504</v>
      </c>
      <c r="CV94" s="319">
        <v>2.016</v>
      </c>
      <c r="CW94" s="319">
        <v>0.75600000000000001</v>
      </c>
      <c r="CX94" s="319">
        <f>0.252*5</f>
        <v>1.26</v>
      </c>
      <c r="CY94" s="319">
        <f>0.252*2</f>
        <v>0.504</v>
      </c>
      <c r="CZ94" s="319">
        <f>0.252*3.8</f>
        <v>0.95760000000000001</v>
      </c>
      <c r="DA94" s="319">
        <f>3.78/15*3.7</f>
        <v>0.93240000000000001</v>
      </c>
      <c r="DB94" s="319">
        <f>3.78/15*5.5</f>
        <v>1.3860000000000001</v>
      </c>
      <c r="DC94" s="319">
        <v>0.75600000000000001</v>
      </c>
      <c r="DD94" s="319">
        <v>0.252</v>
      </c>
      <c r="DE94" s="319">
        <f>0.252*0.5</f>
        <v>0.126</v>
      </c>
      <c r="DF94" s="319">
        <v>7.5999999999999998E-2</v>
      </c>
      <c r="DG94" s="319">
        <f>0.252*4</f>
        <v>1.008</v>
      </c>
      <c r="DH94" s="319">
        <f>0.252</f>
        <v>0.252</v>
      </c>
      <c r="DI94" s="319">
        <f>0.252*7</f>
        <v>1.764</v>
      </c>
      <c r="DJ94" s="319">
        <f>0.252*0.6</f>
        <v>0.1512</v>
      </c>
      <c r="DK94" s="319">
        <v>0.252</v>
      </c>
      <c r="DL94" s="319">
        <f>0.252*0.3</f>
        <v>7.5600000000000001E-2</v>
      </c>
      <c r="DM94" s="319">
        <v>15.12</v>
      </c>
      <c r="DN94" s="319">
        <v>7.5999999999999998E-2</v>
      </c>
      <c r="DO94" s="319">
        <v>0.252</v>
      </c>
      <c r="DP94" s="319">
        <f>1.512/6*3</f>
        <v>0.75600000000000001</v>
      </c>
      <c r="DQ94" s="319">
        <f>3.78/15*5.8</f>
        <v>1.4616</v>
      </c>
      <c r="DR94" s="319">
        <f>0.252*3.3</f>
        <v>0.83160000000000001</v>
      </c>
      <c r="DS94" s="319">
        <v>7.5999999999999998E-2</v>
      </c>
      <c r="DT94" s="245"/>
      <c r="DU94" s="271">
        <f>0.252*8</f>
        <v>2.016</v>
      </c>
      <c r="DV94" s="177">
        <f>0.252*2</f>
        <v>0.504</v>
      </c>
      <c r="DW94" s="177">
        <f>0.252*4</f>
        <v>1.008</v>
      </c>
      <c r="DX94" s="319">
        <f>0.504/2*3</f>
        <v>0.75600000000000001</v>
      </c>
      <c r="DY94" s="319">
        <f>0.252*5</f>
        <v>1.26</v>
      </c>
      <c r="DZ94" s="319"/>
      <c r="EA94" s="319"/>
      <c r="EB94" s="319"/>
      <c r="EC94" s="319">
        <v>0.378</v>
      </c>
      <c r="ED94" s="319">
        <v>0.113</v>
      </c>
      <c r="EE94" s="319">
        <f>0.252*2.2</f>
        <v>0.5544</v>
      </c>
      <c r="EF94" s="319">
        <f>0.252*0.8</f>
        <v>0.2016</v>
      </c>
      <c r="EG94" s="319">
        <f>0.252*4</f>
        <v>1.008</v>
      </c>
      <c r="EH94" s="319">
        <f>0.252*4</f>
        <v>1.008</v>
      </c>
      <c r="EI94" s="319">
        <f>0.252*2</f>
        <v>0.504</v>
      </c>
      <c r="EJ94" s="319">
        <v>1.26</v>
      </c>
      <c r="EK94" s="245"/>
      <c r="EL94" s="466"/>
      <c r="EM94" s="319">
        <f>0.252*4.2</f>
        <v>1.0584</v>
      </c>
      <c r="EN94" s="319">
        <f>0.252*2</f>
        <v>0.504</v>
      </c>
      <c r="EO94" s="319">
        <f>0.151</f>
        <v>0.151</v>
      </c>
      <c r="EP94" s="319"/>
      <c r="EQ94" s="319">
        <f>0.252</f>
        <v>0.252</v>
      </c>
      <c r="ER94" s="319">
        <v>0.252</v>
      </c>
      <c r="ES94" s="319">
        <v>0.75600000000000001</v>
      </c>
      <c r="ET94" s="319">
        <f>0.252</f>
        <v>0.252</v>
      </c>
      <c r="EU94" s="319">
        <f>0.605/2.4</f>
        <v>0.25208333333333333</v>
      </c>
      <c r="EV94" s="319">
        <f>0.126*2</f>
        <v>0.252</v>
      </c>
      <c r="EW94" s="319">
        <f>0.378/1.5</f>
        <v>0.252</v>
      </c>
      <c r="EX94" s="319">
        <f>0.605/2.4*2</f>
        <v>0.50416666666666665</v>
      </c>
      <c r="EY94" s="319">
        <v>0.252</v>
      </c>
      <c r="EZ94" s="319">
        <f>0.252*1.5</f>
        <v>0.378</v>
      </c>
      <c r="FA94" s="319">
        <v>0.60499999999999998</v>
      </c>
      <c r="FB94" s="319"/>
      <c r="FC94" s="319">
        <f>0.302/1.2*0.6</f>
        <v>0.151</v>
      </c>
      <c r="FD94" s="319"/>
      <c r="FE94" s="319">
        <v>0.30199999999999999</v>
      </c>
      <c r="FF94" s="319"/>
      <c r="FG94" s="319"/>
      <c r="FH94" s="319"/>
      <c r="FI94" s="158">
        <f t="shared" si="38"/>
        <v>50.362650000000009</v>
      </c>
      <c r="FJ94" s="95"/>
      <c r="FK94" s="374"/>
      <c r="FL94" s="319"/>
      <c r="FM94" s="319"/>
      <c r="FN94" s="319"/>
      <c r="FO94" s="319"/>
      <c r="FP94" s="319"/>
      <c r="FQ94" s="319"/>
      <c r="FR94" s="319"/>
      <c r="FS94" s="319"/>
      <c r="FT94" s="319"/>
      <c r="FU94" s="319"/>
      <c r="FV94" s="319"/>
      <c r="FW94" s="319"/>
      <c r="FX94" s="319"/>
      <c r="FY94" s="28"/>
      <c r="FZ94" s="270"/>
      <c r="GA94" s="271"/>
      <c r="GB94" s="177"/>
      <c r="GC94" s="177"/>
      <c r="GD94" s="177"/>
      <c r="GE94" s="802"/>
      <c r="GF94" s="435"/>
      <c r="GG94" s="51">
        <f t="shared" si="39"/>
        <v>0</v>
      </c>
      <c r="GH94" s="525">
        <f t="shared" si="40"/>
        <v>12.09</v>
      </c>
      <c r="GI94" s="605">
        <f t="shared" si="41"/>
        <v>12.09</v>
      </c>
      <c r="GJ94" s="627">
        <f t="shared" si="42"/>
        <v>0</v>
      </c>
      <c r="GK94" s="239">
        <f t="shared" si="43"/>
        <v>16.18</v>
      </c>
      <c r="GL94" s="36" t="str">
        <f t="shared" si="44"/>
        <v>Эсид-Пак</v>
      </c>
      <c r="GM94" s="331"/>
      <c r="GN94" s="22"/>
      <c r="GO94" s="22"/>
    </row>
    <row r="95" spans="1:197" x14ac:dyDescent="0.3">
      <c r="A95" s="367">
        <f t="shared" si="50"/>
        <v>82</v>
      </c>
      <c r="B95" s="329" t="s">
        <v>209</v>
      </c>
      <c r="C95" s="565">
        <f>'3_квартал'!G93</f>
        <v>84.102999999999994</v>
      </c>
      <c r="D95" s="241">
        <v>0</v>
      </c>
      <c r="E95" s="241">
        <v>0</v>
      </c>
      <c r="F95" s="889">
        <v>0</v>
      </c>
      <c r="G95" s="299">
        <f t="shared" si="49"/>
        <v>0</v>
      </c>
      <c r="H95" s="93">
        <v>0</v>
      </c>
      <c r="I95" s="93">
        <v>0</v>
      </c>
      <c r="J95" s="94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19"/>
      <c r="AL95" s="319"/>
      <c r="AM95" s="319"/>
      <c r="AN95" s="319"/>
      <c r="AO95" s="319"/>
      <c r="AP95" s="319"/>
      <c r="AQ95" s="319"/>
      <c r="AR95" s="319"/>
      <c r="AS95" s="319"/>
      <c r="AT95" s="319"/>
      <c r="AU95" s="319"/>
      <c r="AV95" s="319"/>
      <c r="AW95" s="319"/>
      <c r="AX95" s="319"/>
      <c r="AY95" s="319"/>
      <c r="AZ95" s="319"/>
      <c r="BA95" s="319"/>
      <c r="BB95" s="319"/>
      <c r="BC95" s="319"/>
      <c r="BD95" s="319"/>
      <c r="BE95" s="319"/>
      <c r="BF95" s="319"/>
      <c r="BG95" s="158">
        <f t="shared" si="36"/>
        <v>0</v>
      </c>
      <c r="BH95" s="94"/>
      <c r="BI95" s="833"/>
      <c r="BJ95" s="319"/>
      <c r="BK95" s="319"/>
      <c r="BL95" s="319"/>
      <c r="BM95" s="319"/>
      <c r="BN95" s="319"/>
      <c r="BO95" s="319"/>
      <c r="BP95" s="319"/>
      <c r="BQ95" s="319"/>
      <c r="BR95" s="319"/>
      <c r="BS95" s="319"/>
      <c r="BT95" s="319"/>
      <c r="BU95" s="319"/>
      <c r="BV95" s="319"/>
      <c r="BW95" s="319"/>
      <c r="BX95" s="319"/>
      <c r="BY95" s="319"/>
      <c r="BZ95" s="319"/>
      <c r="CA95" s="319"/>
      <c r="CB95" s="319"/>
      <c r="CC95" s="319"/>
      <c r="CD95" s="319"/>
      <c r="CE95" s="319"/>
      <c r="CF95" s="319"/>
      <c r="CG95" s="319"/>
      <c r="CH95" s="319"/>
      <c r="CI95" s="319"/>
      <c r="CJ95" s="319"/>
      <c r="CK95" s="319"/>
      <c r="CL95" s="319"/>
      <c r="CM95" s="319"/>
      <c r="CN95" s="319"/>
      <c r="CO95" s="319"/>
      <c r="CP95" s="319"/>
      <c r="CQ95" s="365"/>
      <c r="CR95" s="419">
        <f t="shared" si="37"/>
        <v>0</v>
      </c>
      <c r="CS95" s="57"/>
      <c r="CT95" s="319"/>
      <c r="CU95" s="319"/>
      <c r="CV95" s="319"/>
      <c r="CW95" s="319"/>
      <c r="CX95" s="319"/>
      <c r="CY95" s="319"/>
      <c r="CZ95" s="319"/>
      <c r="DA95" s="319"/>
      <c r="DB95" s="319"/>
      <c r="DC95" s="319"/>
      <c r="DD95" s="319"/>
      <c r="DE95" s="319"/>
      <c r="DF95" s="319"/>
      <c r="DG95" s="319"/>
      <c r="DH95" s="319"/>
      <c r="DI95" s="319"/>
      <c r="DJ95" s="319"/>
      <c r="DK95" s="319"/>
      <c r="DL95" s="319"/>
      <c r="DM95" s="319"/>
      <c r="DN95" s="319"/>
      <c r="DO95" s="319"/>
      <c r="DP95" s="319"/>
      <c r="DQ95" s="319"/>
      <c r="DR95" s="319"/>
      <c r="DS95" s="319"/>
      <c r="DT95" s="245"/>
      <c r="DU95" s="271"/>
      <c r="DV95" s="177"/>
      <c r="DW95" s="177"/>
      <c r="DX95" s="319"/>
      <c r="DY95" s="319"/>
      <c r="DZ95" s="319"/>
      <c r="EA95" s="319"/>
      <c r="EB95" s="319"/>
      <c r="EC95" s="319"/>
      <c r="ED95" s="319"/>
      <c r="EE95" s="319"/>
      <c r="EF95" s="319"/>
      <c r="EG95" s="319"/>
      <c r="EH95" s="319"/>
      <c r="EI95" s="319"/>
      <c r="EJ95" s="319"/>
      <c r="EK95" s="245"/>
      <c r="EL95" s="466"/>
      <c r="EM95" s="319"/>
      <c r="EN95" s="319"/>
      <c r="EO95" s="319"/>
      <c r="EP95" s="319"/>
      <c r="EQ95" s="319"/>
      <c r="ER95" s="319"/>
      <c r="ES95" s="319"/>
      <c r="ET95" s="319"/>
      <c r="EU95" s="319"/>
      <c r="EV95" s="319"/>
      <c r="EW95" s="319"/>
      <c r="EX95" s="319"/>
      <c r="EY95" s="319"/>
      <c r="EZ95" s="319"/>
      <c r="FA95" s="319"/>
      <c r="FB95" s="319"/>
      <c r="FC95" s="319"/>
      <c r="FD95" s="319"/>
      <c r="FE95" s="319"/>
      <c r="FF95" s="319"/>
      <c r="FG95" s="319"/>
      <c r="FH95" s="319"/>
      <c r="FI95" s="158">
        <f t="shared" si="38"/>
        <v>0</v>
      </c>
      <c r="FJ95" s="95"/>
      <c r="FK95" s="374"/>
      <c r="FL95" s="319"/>
      <c r="FM95" s="319"/>
      <c r="FN95" s="319"/>
      <c r="FO95" s="319"/>
      <c r="FP95" s="319"/>
      <c r="FQ95" s="319"/>
      <c r="FR95" s="319"/>
      <c r="FS95" s="319"/>
      <c r="FT95" s="319"/>
      <c r="FU95" s="319"/>
      <c r="FV95" s="319"/>
      <c r="FW95" s="319"/>
      <c r="FX95" s="319"/>
      <c r="FY95" s="28"/>
      <c r="FZ95" s="270"/>
      <c r="GA95" s="271"/>
      <c r="GB95" s="177"/>
      <c r="GC95" s="177"/>
      <c r="GD95" s="177"/>
      <c r="GE95" s="802"/>
      <c r="GF95" s="435"/>
      <c r="GG95" s="51">
        <f t="shared" si="39"/>
        <v>0</v>
      </c>
      <c r="GH95" s="500">
        <f t="shared" si="40"/>
        <v>0</v>
      </c>
      <c r="GI95" s="605">
        <f t="shared" si="41"/>
        <v>0</v>
      </c>
      <c r="GJ95" s="627">
        <f t="shared" si="42"/>
        <v>84.102999999999994</v>
      </c>
      <c r="GK95" s="239">
        <f t="shared" si="43"/>
        <v>0</v>
      </c>
      <c r="GL95" s="36" t="str">
        <f t="shared" si="44"/>
        <v>Премикс П60 1% для КРС (хром)</v>
      </c>
      <c r="GM95" s="331"/>
      <c r="GN95" s="22"/>
      <c r="GO95" s="22"/>
    </row>
    <row r="96" spans="1:197" x14ac:dyDescent="0.3">
      <c r="A96" s="630">
        <f>A95+1</f>
        <v>83</v>
      </c>
      <c r="B96" s="632" t="s">
        <v>210</v>
      </c>
      <c r="C96" s="565">
        <f>'3_квартал'!G94</f>
        <v>0</v>
      </c>
      <c r="D96" s="241">
        <v>0</v>
      </c>
      <c r="E96" s="241">
        <v>0</v>
      </c>
      <c r="F96" s="889">
        <v>0</v>
      </c>
      <c r="G96" s="299">
        <f t="shared" si="49"/>
        <v>0</v>
      </c>
      <c r="H96" s="93">
        <v>0</v>
      </c>
      <c r="I96" s="93">
        <v>0</v>
      </c>
      <c r="J96" s="94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19"/>
      <c r="AQ96" s="319"/>
      <c r="AR96" s="319"/>
      <c r="AS96" s="319"/>
      <c r="AT96" s="319"/>
      <c r="AU96" s="319"/>
      <c r="AV96" s="319"/>
      <c r="AW96" s="319"/>
      <c r="AX96" s="319"/>
      <c r="AY96" s="319"/>
      <c r="AZ96" s="319"/>
      <c r="BA96" s="319"/>
      <c r="BB96" s="319"/>
      <c r="BC96" s="319"/>
      <c r="BD96" s="319"/>
      <c r="BE96" s="319"/>
      <c r="BF96" s="319"/>
      <c r="BG96" s="158">
        <f t="shared" si="36"/>
        <v>0</v>
      </c>
      <c r="BH96" s="94"/>
      <c r="BI96" s="833"/>
      <c r="BJ96" s="319"/>
      <c r="BK96" s="319"/>
      <c r="BL96" s="319"/>
      <c r="BM96" s="319"/>
      <c r="BN96" s="319"/>
      <c r="BO96" s="319"/>
      <c r="BP96" s="319"/>
      <c r="BQ96" s="319"/>
      <c r="BR96" s="319"/>
      <c r="BS96" s="319"/>
      <c r="BT96" s="319"/>
      <c r="BU96" s="319"/>
      <c r="BV96" s="319"/>
      <c r="BW96" s="319"/>
      <c r="BX96" s="319"/>
      <c r="BY96" s="319"/>
      <c r="BZ96" s="319"/>
      <c r="CA96" s="319"/>
      <c r="CB96" s="319"/>
      <c r="CC96" s="319"/>
      <c r="CD96" s="319"/>
      <c r="CE96" s="319"/>
      <c r="CF96" s="319"/>
      <c r="CG96" s="319"/>
      <c r="CH96" s="319"/>
      <c r="CI96" s="319"/>
      <c r="CJ96" s="319"/>
      <c r="CK96" s="319"/>
      <c r="CL96" s="319"/>
      <c r="CM96" s="319"/>
      <c r="CN96" s="319"/>
      <c r="CO96" s="319"/>
      <c r="CP96" s="319"/>
      <c r="CQ96" s="365"/>
      <c r="CR96" s="419">
        <f t="shared" si="37"/>
        <v>0</v>
      </c>
      <c r="CS96" s="57"/>
      <c r="CT96" s="319"/>
      <c r="CU96" s="319"/>
      <c r="CV96" s="319"/>
      <c r="CW96" s="319"/>
      <c r="CX96" s="319"/>
      <c r="CY96" s="319"/>
      <c r="CZ96" s="319"/>
      <c r="DA96" s="319"/>
      <c r="DB96" s="319"/>
      <c r="DC96" s="319"/>
      <c r="DD96" s="319"/>
      <c r="DE96" s="319"/>
      <c r="DF96" s="319"/>
      <c r="DG96" s="319"/>
      <c r="DH96" s="319"/>
      <c r="DI96" s="319"/>
      <c r="DJ96" s="319"/>
      <c r="DK96" s="319"/>
      <c r="DL96" s="319"/>
      <c r="DM96" s="319"/>
      <c r="DN96" s="319"/>
      <c r="DO96" s="319"/>
      <c r="DP96" s="319"/>
      <c r="DQ96" s="319"/>
      <c r="DR96" s="319"/>
      <c r="DS96" s="319"/>
      <c r="DT96" s="245"/>
      <c r="DU96" s="271"/>
      <c r="DV96" s="177"/>
      <c r="DW96" s="177"/>
      <c r="DX96" s="319"/>
      <c r="DY96" s="319"/>
      <c r="DZ96" s="319"/>
      <c r="EA96" s="319"/>
      <c r="EB96" s="319"/>
      <c r="EC96" s="319"/>
      <c r="ED96" s="319"/>
      <c r="EE96" s="319"/>
      <c r="EF96" s="319"/>
      <c r="EG96" s="319"/>
      <c r="EH96" s="319"/>
      <c r="EI96" s="319"/>
      <c r="EJ96" s="319"/>
      <c r="EK96" s="245"/>
      <c r="EL96" s="466"/>
      <c r="EM96" s="319"/>
      <c r="EN96" s="319"/>
      <c r="EO96" s="319"/>
      <c r="EP96" s="319"/>
      <c r="EQ96" s="319"/>
      <c r="ER96" s="319"/>
      <c r="ES96" s="319"/>
      <c r="ET96" s="319"/>
      <c r="EU96" s="319"/>
      <c r="EV96" s="319"/>
      <c r="EW96" s="319"/>
      <c r="EX96" s="319"/>
      <c r="EY96" s="319"/>
      <c r="EZ96" s="319"/>
      <c r="FA96" s="319"/>
      <c r="FB96" s="319"/>
      <c r="FC96" s="319"/>
      <c r="FD96" s="319"/>
      <c r="FE96" s="319"/>
      <c r="FF96" s="319"/>
      <c r="FG96" s="319"/>
      <c r="FH96" s="319"/>
      <c r="FI96" s="158">
        <f t="shared" si="38"/>
        <v>0</v>
      </c>
      <c r="FJ96" s="95"/>
      <c r="FK96" s="374"/>
      <c r="FL96" s="319"/>
      <c r="FM96" s="319"/>
      <c r="FN96" s="319"/>
      <c r="FO96" s="319"/>
      <c r="FP96" s="319"/>
      <c r="FQ96" s="319"/>
      <c r="FR96" s="319"/>
      <c r="FS96" s="319"/>
      <c r="FT96" s="319"/>
      <c r="FU96" s="319"/>
      <c r="FV96" s="319"/>
      <c r="FW96" s="319"/>
      <c r="FX96" s="319"/>
      <c r="FY96" s="28"/>
      <c r="FZ96" s="270"/>
      <c r="GA96" s="271"/>
      <c r="GB96" s="177"/>
      <c r="GC96" s="177"/>
      <c r="GD96" s="177"/>
      <c r="GE96" s="802"/>
      <c r="GF96" s="435"/>
      <c r="GG96" s="51">
        <f t="shared" si="39"/>
        <v>0</v>
      </c>
      <c r="GH96" s="500">
        <f t="shared" si="40"/>
        <v>0</v>
      </c>
      <c r="GI96" s="605">
        <f t="shared" si="41"/>
        <v>0</v>
      </c>
      <c r="GJ96" s="627">
        <f t="shared" si="42"/>
        <v>0</v>
      </c>
      <c r="GK96" s="239">
        <f t="shared" si="43"/>
        <v>0</v>
      </c>
      <c r="GL96" s="36" t="str">
        <f t="shared" si="44"/>
        <v>Премикс П60-3 (плц-212, биохром)</v>
      </c>
      <c r="GM96" s="331"/>
      <c r="GN96" s="631"/>
      <c r="GO96" s="26"/>
    </row>
    <row r="97" spans="1:198" x14ac:dyDescent="0.3">
      <c r="A97" s="630">
        <f t="shared" ref="A97:A102" si="51">A96+1</f>
        <v>84</v>
      </c>
      <c r="B97" s="276" t="s">
        <v>150</v>
      </c>
      <c r="C97" s="565">
        <f>'3_квартал'!G95</f>
        <v>0</v>
      </c>
      <c r="D97" s="241">
        <v>0</v>
      </c>
      <c r="E97" s="241">
        <v>0</v>
      </c>
      <c r="F97" s="889">
        <v>0</v>
      </c>
      <c r="G97" s="299">
        <f t="shared" si="49"/>
        <v>0</v>
      </c>
      <c r="H97" s="93">
        <v>0</v>
      </c>
      <c r="I97" s="93">
        <v>0</v>
      </c>
      <c r="J97" s="94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  <c r="AY97" s="319"/>
      <c r="AZ97" s="319"/>
      <c r="BA97" s="319"/>
      <c r="BB97" s="319"/>
      <c r="BC97" s="319"/>
      <c r="BD97" s="319"/>
      <c r="BE97" s="319"/>
      <c r="BF97" s="319"/>
      <c r="BG97" s="158">
        <f t="shared" si="36"/>
        <v>0</v>
      </c>
      <c r="BH97" s="94"/>
      <c r="BI97" s="833"/>
      <c r="BJ97" s="319"/>
      <c r="BK97" s="319"/>
      <c r="BL97" s="319"/>
      <c r="BM97" s="319"/>
      <c r="BN97" s="319"/>
      <c r="BO97" s="319"/>
      <c r="BP97" s="319"/>
      <c r="BQ97" s="319"/>
      <c r="BR97" s="319"/>
      <c r="BS97" s="319"/>
      <c r="BT97" s="319"/>
      <c r="BU97" s="319"/>
      <c r="BV97" s="319"/>
      <c r="BW97" s="319"/>
      <c r="BX97" s="319"/>
      <c r="BY97" s="319"/>
      <c r="BZ97" s="319"/>
      <c r="CA97" s="319"/>
      <c r="CB97" s="319"/>
      <c r="CC97" s="319"/>
      <c r="CD97" s="319"/>
      <c r="CE97" s="319"/>
      <c r="CF97" s="319"/>
      <c r="CG97" s="319"/>
      <c r="CH97" s="319"/>
      <c r="CI97" s="319"/>
      <c r="CJ97" s="319"/>
      <c r="CK97" s="319"/>
      <c r="CL97" s="319"/>
      <c r="CM97" s="319"/>
      <c r="CN97" s="319"/>
      <c r="CO97" s="319"/>
      <c r="CP97" s="319"/>
      <c r="CQ97" s="365"/>
      <c r="CR97" s="419">
        <f t="shared" si="37"/>
        <v>0</v>
      </c>
      <c r="CS97" s="57"/>
      <c r="CT97" s="319"/>
      <c r="CU97" s="319"/>
      <c r="CV97" s="319"/>
      <c r="CW97" s="319"/>
      <c r="CX97" s="319"/>
      <c r="CY97" s="319"/>
      <c r="CZ97" s="319"/>
      <c r="DA97" s="319"/>
      <c r="DB97" s="319"/>
      <c r="DC97" s="319"/>
      <c r="DD97" s="319"/>
      <c r="DE97" s="319"/>
      <c r="DF97" s="319"/>
      <c r="DG97" s="319"/>
      <c r="DH97" s="319"/>
      <c r="DI97" s="319"/>
      <c r="DJ97" s="319"/>
      <c r="DK97" s="319"/>
      <c r="DL97" s="319"/>
      <c r="DM97" s="319"/>
      <c r="DN97" s="319"/>
      <c r="DO97" s="319"/>
      <c r="DP97" s="319"/>
      <c r="DQ97" s="319"/>
      <c r="DR97" s="319"/>
      <c r="DS97" s="319"/>
      <c r="DT97" s="245"/>
      <c r="DU97" s="271"/>
      <c r="DV97" s="177"/>
      <c r="DW97" s="177"/>
      <c r="DX97" s="319"/>
      <c r="DY97" s="319"/>
      <c r="DZ97" s="319"/>
      <c r="EA97" s="319"/>
      <c r="EB97" s="319"/>
      <c r="EC97" s="319"/>
      <c r="ED97" s="319"/>
      <c r="EE97" s="319"/>
      <c r="EF97" s="319"/>
      <c r="EG97" s="319"/>
      <c r="EH97" s="319"/>
      <c r="EI97" s="319"/>
      <c r="EJ97" s="319"/>
      <c r="EK97" s="245"/>
      <c r="EL97" s="466"/>
      <c r="EM97" s="319"/>
      <c r="EN97" s="319"/>
      <c r="EO97" s="319"/>
      <c r="EP97" s="319"/>
      <c r="EQ97" s="319"/>
      <c r="ER97" s="319"/>
      <c r="ES97" s="319"/>
      <c r="ET97" s="319"/>
      <c r="EU97" s="319"/>
      <c r="EV97" s="319"/>
      <c r="EW97" s="319"/>
      <c r="EX97" s="319"/>
      <c r="EY97" s="319"/>
      <c r="EZ97" s="319"/>
      <c r="FA97" s="319"/>
      <c r="FB97" s="319"/>
      <c r="FC97" s="319"/>
      <c r="FD97" s="319"/>
      <c r="FE97" s="319"/>
      <c r="FF97" s="319"/>
      <c r="FG97" s="319"/>
      <c r="FH97" s="319"/>
      <c r="FI97" s="158">
        <f t="shared" si="38"/>
        <v>0</v>
      </c>
      <c r="FJ97" s="95"/>
      <c r="FK97" s="374"/>
      <c r="FL97" s="319"/>
      <c r="FM97" s="319"/>
      <c r="FN97" s="319"/>
      <c r="FO97" s="319"/>
      <c r="FP97" s="319"/>
      <c r="FQ97" s="319"/>
      <c r="FR97" s="319"/>
      <c r="FS97" s="319"/>
      <c r="FT97" s="319"/>
      <c r="FU97" s="319"/>
      <c r="FV97" s="319"/>
      <c r="FW97" s="319"/>
      <c r="FX97" s="319"/>
      <c r="FY97" s="28"/>
      <c r="FZ97" s="270"/>
      <c r="GA97" s="271"/>
      <c r="GB97" s="177"/>
      <c r="GC97" s="177"/>
      <c r="GD97" s="177"/>
      <c r="GE97" s="802"/>
      <c r="GF97" s="435"/>
      <c r="GG97" s="51">
        <f t="shared" si="39"/>
        <v>0</v>
      </c>
      <c r="GH97" s="500">
        <f t="shared" si="40"/>
        <v>0</v>
      </c>
      <c r="GI97" s="605">
        <f t="shared" si="41"/>
        <v>0</v>
      </c>
      <c r="GJ97" s="627">
        <f t="shared" si="42"/>
        <v>0</v>
      </c>
      <c r="GK97" s="239">
        <f t="shared" si="43"/>
        <v>0</v>
      </c>
      <c r="GL97" s="36" t="str">
        <f t="shared" si="44"/>
        <v>ДП60-3/40/плц-233</v>
      </c>
      <c r="GM97" s="38"/>
      <c r="GN97" s="631"/>
      <c r="GO97" s="26"/>
    </row>
    <row r="98" spans="1:198" x14ac:dyDescent="0.3">
      <c r="A98" s="630">
        <f t="shared" si="51"/>
        <v>85</v>
      </c>
      <c r="B98" s="690" t="s">
        <v>269</v>
      </c>
      <c r="C98" s="565">
        <f>'3_квартал'!G96</f>
        <v>28.5</v>
      </c>
      <c r="D98" s="241">
        <v>0</v>
      </c>
      <c r="E98" s="241">
        <v>0</v>
      </c>
      <c r="F98" s="888">
        <v>0</v>
      </c>
      <c r="G98" s="720">
        <f t="shared" si="49"/>
        <v>0</v>
      </c>
      <c r="H98" s="93">
        <v>0</v>
      </c>
      <c r="I98" s="93">
        <v>0</v>
      </c>
      <c r="J98" s="94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19"/>
      <c r="AQ98" s="319"/>
      <c r="AR98" s="319"/>
      <c r="AS98" s="319"/>
      <c r="AT98" s="319"/>
      <c r="AU98" s="319"/>
      <c r="AV98" s="319"/>
      <c r="AW98" s="319"/>
      <c r="AX98" s="319"/>
      <c r="AY98" s="319"/>
      <c r="AZ98" s="319"/>
      <c r="BA98" s="319"/>
      <c r="BB98" s="319"/>
      <c r="BC98" s="319"/>
      <c r="BD98" s="319"/>
      <c r="BE98" s="319"/>
      <c r="BF98" s="319"/>
      <c r="BG98" s="158">
        <f t="shared" si="36"/>
        <v>0</v>
      </c>
      <c r="BH98" s="94"/>
      <c r="BI98" s="833"/>
      <c r="BJ98" s="319"/>
      <c r="BK98" s="319"/>
      <c r="BL98" s="319"/>
      <c r="BM98" s="319"/>
      <c r="BN98" s="319"/>
      <c r="BO98" s="319"/>
      <c r="BP98" s="319"/>
      <c r="BQ98" s="319"/>
      <c r="BR98" s="319"/>
      <c r="BS98" s="319"/>
      <c r="BT98" s="319"/>
      <c r="BU98" s="319"/>
      <c r="BV98" s="319"/>
      <c r="BW98" s="319"/>
      <c r="BX98" s="319"/>
      <c r="BY98" s="319"/>
      <c r="BZ98" s="319"/>
      <c r="CA98" s="319"/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65"/>
      <c r="CR98" s="419">
        <f t="shared" si="37"/>
        <v>0</v>
      </c>
      <c r="CS98" s="57"/>
      <c r="CT98" s="319"/>
      <c r="CU98" s="319"/>
      <c r="CV98" s="319"/>
      <c r="CW98" s="319"/>
      <c r="CX98" s="319"/>
      <c r="CY98" s="319"/>
      <c r="CZ98" s="319"/>
      <c r="DA98" s="319"/>
      <c r="DB98" s="319"/>
      <c r="DC98" s="319"/>
      <c r="DD98" s="319"/>
      <c r="DE98" s="319"/>
      <c r="DF98" s="319"/>
      <c r="DG98" s="319"/>
      <c r="DH98" s="319"/>
      <c r="DI98" s="319"/>
      <c r="DJ98" s="319"/>
      <c r="DK98" s="319"/>
      <c r="DL98" s="319"/>
      <c r="DM98" s="319"/>
      <c r="DN98" s="319"/>
      <c r="DO98" s="319"/>
      <c r="DP98" s="319"/>
      <c r="DQ98" s="319"/>
      <c r="DR98" s="319"/>
      <c r="DS98" s="319"/>
      <c r="DT98" s="245"/>
      <c r="DU98" s="271"/>
      <c r="DV98" s="177"/>
      <c r="DW98" s="177"/>
      <c r="DX98" s="319"/>
      <c r="DY98" s="319"/>
      <c r="DZ98" s="319"/>
      <c r="EA98" s="319"/>
      <c r="EB98" s="319"/>
      <c r="EC98" s="319"/>
      <c r="ED98" s="319"/>
      <c r="EE98" s="319"/>
      <c r="EF98" s="319"/>
      <c r="EG98" s="319"/>
      <c r="EH98" s="319"/>
      <c r="EI98" s="319"/>
      <c r="EJ98" s="319"/>
      <c r="EK98" s="245"/>
      <c r="EL98" s="466"/>
      <c r="EM98" s="319"/>
      <c r="EN98" s="319"/>
      <c r="EO98" s="319"/>
      <c r="EP98" s="319"/>
      <c r="EQ98" s="319"/>
      <c r="ER98" s="319"/>
      <c r="ES98" s="319"/>
      <c r="ET98" s="319"/>
      <c r="EU98" s="319"/>
      <c r="EV98" s="319"/>
      <c r="EW98" s="319"/>
      <c r="EX98" s="319"/>
      <c r="EY98" s="319"/>
      <c r="EZ98" s="319"/>
      <c r="FA98" s="319"/>
      <c r="FB98" s="319"/>
      <c r="FC98" s="319"/>
      <c r="FD98" s="319"/>
      <c r="FE98" s="319"/>
      <c r="FF98" s="319"/>
      <c r="FG98" s="319"/>
      <c r="FH98" s="319"/>
      <c r="FI98" s="158">
        <f t="shared" si="38"/>
        <v>0</v>
      </c>
      <c r="FJ98" s="95"/>
      <c r="FK98" s="374"/>
      <c r="FL98" s="319"/>
      <c r="FM98" s="319"/>
      <c r="FN98" s="319"/>
      <c r="FO98" s="319"/>
      <c r="FP98" s="319"/>
      <c r="FQ98" s="319"/>
      <c r="FR98" s="319"/>
      <c r="FS98" s="319"/>
      <c r="FT98" s="319"/>
      <c r="FU98" s="319"/>
      <c r="FV98" s="319"/>
      <c r="FW98" s="319"/>
      <c r="FX98" s="319"/>
      <c r="FY98" s="28"/>
      <c r="FZ98" s="270"/>
      <c r="GA98" s="271"/>
      <c r="GB98" s="177"/>
      <c r="GC98" s="177"/>
      <c r="GD98" s="177"/>
      <c r="GE98" s="802"/>
      <c r="GF98" s="435"/>
      <c r="GG98" s="51">
        <f t="shared" si="39"/>
        <v>0</v>
      </c>
      <c r="GH98" s="500">
        <f t="shared" si="40"/>
        <v>0</v>
      </c>
      <c r="GI98" s="605">
        <f t="shared" si="41"/>
        <v>0</v>
      </c>
      <c r="GJ98" s="627">
        <f t="shared" si="42"/>
        <v>28.5</v>
      </c>
      <c r="GK98" s="239">
        <f t="shared" si="43"/>
        <v>0</v>
      </c>
      <c r="GL98" s="36" t="str">
        <f t="shared" si="44"/>
        <v>ДПКР-1/20/плц-16</v>
      </c>
      <c r="GM98" s="364"/>
      <c r="GN98" s="631"/>
      <c r="GO98" s="26"/>
    </row>
    <row r="99" spans="1:198" x14ac:dyDescent="0.3">
      <c r="A99" s="630">
        <f t="shared" si="51"/>
        <v>86</v>
      </c>
      <c r="B99" s="688" t="s">
        <v>337</v>
      </c>
      <c r="C99" s="565">
        <f>'3_квартал'!G94</f>
        <v>0</v>
      </c>
      <c r="D99" s="263">
        <v>75</v>
      </c>
      <c r="E99" s="241">
        <v>0</v>
      </c>
      <c r="F99" s="888">
        <v>0</v>
      </c>
      <c r="G99" s="299">
        <f t="shared" ref="G99" si="52">ROUND(AVERAGE(D99:F99),3)</f>
        <v>25</v>
      </c>
      <c r="H99" s="324">
        <v>0</v>
      </c>
      <c r="I99" s="324">
        <v>0</v>
      </c>
      <c r="J99" s="94"/>
      <c r="K99" s="496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  <c r="AA99" s="325"/>
      <c r="AB99" s="325"/>
      <c r="AC99" s="325"/>
      <c r="AD99" s="325"/>
      <c r="AE99" s="325"/>
      <c r="AF99" s="325"/>
      <c r="AG99" s="325"/>
      <c r="AH99" s="325">
        <f>28</f>
        <v>28</v>
      </c>
      <c r="AI99" s="325"/>
      <c r="AJ99" s="325"/>
      <c r="AK99" s="325"/>
      <c r="AL99" s="325"/>
      <c r="AM99" s="325"/>
      <c r="AN99" s="325"/>
      <c r="AO99" s="325">
        <f>47</f>
        <v>47</v>
      </c>
      <c r="AP99" s="325"/>
      <c r="AQ99" s="325"/>
      <c r="AR99" s="325"/>
      <c r="AS99" s="325"/>
      <c r="AT99" s="325"/>
      <c r="AU99" s="325"/>
      <c r="AV99" s="325"/>
      <c r="AW99" s="325"/>
      <c r="AX99" s="325"/>
      <c r="AY99" s="325"/>
      <c r="AZ99" s="325"/>
      <c r="BA99" s="325"/>
      <c r="BB99" s="325"/>
      <c r="BC99" s="325"/>
      <c r="BD99" s="325"/>
      <c r="BE99" s="325"/>
      <c r="BF99" s="325"/>
      <c r="BG99" s="185">
        <f t="shared" ref="BG99" si="53">SUM(K99:BF99)</f>
        <v>75</v>
      </c>
      <c r="BH99" s="94"/>
      <c r="BI99" s="496"/>
      <c r="BJ99" s="325"/>
      <c r="BK99" s="325"/>
      <c r="BL99" s="325"/>
      <c r="BM99" s="325"/>
      <c r="BN99" s="325"/>
      <c r="BO99" s="325"/>
      <c r="BP99" s="325"/>
      <c r="BQ99" s="325"/>
      <c r="BR99" s="325"/>
      <c r="BS99" s="325"/>
      <c r="BT99" s="325"/>
      <c r="BU99" s="325"/>
      <c r="BV99" s="325"/>
      <c r="BW99" s="325"/>
      <c r="BX99" s="325"/>
      <c r="BY99" s="325"/>
      <c r="BZ99" s="325"/>
      <c r="CA99" s="325"/>
      <c r="CB99" s="325"/>
      <c r="CC99" s="325"/>
      <c r="CD99" s="325"/>
      <c r="CE99" s="325"/>
      <c r="CF99" s="325"/>
      <c r="CG99" s="325"/>
      <c r="CH99" s="325"/>
      <c r="CI99" s="325"/>
      <c r="CJ99" s="325"/>
      <c r="CK99" s="325"/>
      <c r="CL99" s="325"/>
      <c r="CM99" s="325"/>
      <c r="CN99" s="325"/>
      <c r="CO99" s="325"/>
      <c r="CP99" s="325"/>
      <c r="CQ99" s="836"/>
      <c r="CR99" s="185">
        <f t="shared" si="37"/>
        <v>0</v>
      </c>
      <c r="CS99" s="57"/>
      <c r="CT99" s="325"/>
      <c r="CU99" s="325"/>
      <c r="CV99" s="325"/>
      <c r="CW99" s="325"/>
      <c r="CX99" s="325"/>
      <c r="CY99" s="325"/>
      <c r="CZ99" s="325"/>
      <c r="DA99" s="325"/>
      <c r="DB99" s="325"/>
      <c r="DC99" s="325"/>
      <c r="DD99" s="325"/>
      <c r="DE99" s="325"/>
      <c r="DF99" s="325"/>
      <c r="DG99" s="325"/>
      <c r="DH99" s="325"/>
      <c r="DI99" s="325"/>
      <c r="DJ99" s="325"/>
      <c r="DK99" s="325"/>
      <c r="DL99" s="325"/>
      <c r="DM99" s="325"/>
      <c r="DN99" s="325"/>
      <c r="DO99" s="325"/>
      <c r="DP99" s="325"/>
      <c r="DQ99" s="325"/>
      <c r="DR99" s="325"/>
      <c r="DS99" s="325"/>
      <c r="DT99" s="326"/>
      <c r="DU99" s="271"/>
      <c r="DV99" s="177"/>
      <c r="DW99" s="177"/>
      <c r="DX99" s="325"/>
      <c r="DY99" s="325"/>
      <c r="DZ99" s="325"/>
      <c r="EA99" s="325"/>
      <c r="EB99" s="325"/>
      <c r="EC99" s="325"/>
      <c r="ED99" s="325"/>
      <c r="EE99" s="325"/>
      <c r="EF99" s="325"/>
      <c r="EG99" s="325"/>
      <c r="EH99" s="325"/>
      <c r="EI99" s="325"/>
      <c r="EJ99" s="325"/>
      <c r="EK99" s="326"/>
      <c r="EL99" s="468"/>
      <c r="EM99" s="325"/>
      <c r="EN99" s="325"/>
      <c r="EO99" s="325"/>
      <c r="EP99" s="325"/>
      <c r="EQ99" s="325"/>
      <c r="ER99" s="325"/>
      <c r="ES99" s="325"/>
      <c r="ET99" s="325"/>
      <c r="EU99" s="325"/>
      <c r="EV99" s="325"/>
      <c r="EW99" s="325"/>
      <c r="EX99" s="325"/>
      <c r="EY99" s="325"/>
      <c r="EZ99" s="325"/>
      <c r="FA99" s="325"/>
      <c r="FB99" s="325"/>
      <c r="FC99" s="325"/>
      <c r="FD99" s="325"/>
      <c r="FE99" s="325"/>
      <c r="FF99" s="325"/>
      <c r="FG99" s="325"/>
      <c r="FH99" s="325"/>
      <c r="FI99" s="158">
        <f t="shared" si="38"/>
        <v>0</v>
      </c>
      <c r="FJ99" s="95"/>
      <c r="FK99" s="375"/>
      <c r="FL99" s="325"/>
      <c r="FM99" s="325"/>
      <c r="FN99" s="325"/>
      <c r="FO99" s="325"/>
      <c r="FP99" s="325"/>
      <c r="FQ99" s="325"/>
      <c r="FR99" s="325"/>
      <c r="FS99" s="325"/>
      <c r="FT99" s="325"/>
      <c r="FU99" s="325"/>
      <c r="FV99" s="325"/>
      <c r="FW99" s="325"/>
      <c r="FX99" s="325"/>
      <c r="FY99" s="182"/>
      <c r="FZ99" s="270"/>
      <c r="GA99" s="271"/>
      <c r="GB99" s="177"/>
      <c r="GC99" s="177"/>
      <c r="GD99" s="177"/>
      <c r="GE99" s="802"/>
      <c r="GF99" s="435"/>
      <c r="GG99" s="327">
        <f t="shared" si="39"/>
        <v>0</v>
      </c>
      <c r="GH99" s="445">
        <f t="shared" si="40"/>
        <v>0</v>
      </c>
      <c r="GI99" s="826">
        <f t="shared" si="41"/>
        <v>0</v>
      </c>
      <c r="GJ99" s="627">
        <f t="shared" si="42"/>
        <v>0</v>
      </c>
      <c r="GK99" s="239">
        <f t="shared" si="43"/>
        <v>0</v>
      </c>
      <c r="GL99" s="363" t="str">
        <f t="shared" si="44"/>
        <v>ДП60-3/20/плц-35</v>
      </c>
      <c r="GM99" s="364"/>
      <c r="GN99" s="631"/>
      <c r="GO99" s="26"/>
    </row>
    <row r="100" spans="1:198" x14ac:dyDescent="0.3">
      <c r="A100" s="630">
        <f t="shared" si="51"/>
        <v>87</v>
      </c>
      <c r="B100" s="276" t="s">
        <v>378</v>
      </c>
      <c r="C100" s="303"/>
      <c r="D100" s="241">
        <v>0</v>
      </c>
      <c r="E100" s="241">
        <v>0</v>
      </c>
      <c r="F100" s="888">
        <v>0</v>
      </c>
      <c r="G100" s="720">
        <f t="shared" ref="G100:G101" si="54">ROUND(AVERAGE(D100:F100),3)</f>
        <v>0</v>
      </c>
      <c r="H100" s="93">
        <v>0</v>
      </c>
      <c r="I100" s="93">
        <v>0</v>
      </c>
      <c r="J100" s="94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19"/>
      <c r="AQ100" s="319"/>
      <c r="AR100" s="319"/>
      <c r="AS100" s="319"/>
      <c r="AT100" s="319"/>
      <c r="AU100" s="319"/>
      <c r="AV100" s="319"/>
      <c r="AW100" s="319"/>
      <c r="AX100" s="319"/>
      <c r="AY100" s="319"/>
      <c r="AZ100" s="319"/>
      <c r="BA100" s="319"/>
      <c r="BB100" s="319"/>
      <c r="BC100" s="319"/>
      <c r="BD100" s="319"/>
      <c r="BE100" s="319"/>
      <c r="BF100" s="319"/>
      <c r="BG100" s="158">
        <f t="shared" ref="BG100:BG101" si="55">SUM(K100:BF100)</f>
        <v>0</v>
      </c>
      <c r="BH100" s="94"/>
      <c r="BI100" s="496"/>
      <c r="BJ100" s="325"/>
      <c r="BK100" s="325"/>
      <c r="BL100" s="325"/>
      <c r="BM100" s="325"/>
      <c r="BN100" s="325"/>
      <c r="BO100" s="325"/>
      <c r="BP100" s="325"/>
      <c r="BQ100" s="325"/>
      <c r="BR100" s="325"/>
      <c r="BS100" s="325"/>
      <c r="BT100" s="325"/>
      <c r="BU100" s="325"/>
      <c r="BV100" s="325"/>
      <c r="BW100" s="325"/>
      <c r="BX100" s="325"/>
      <c r="BY100" s="325"/>
      <c r="BZ100" s="325"/>
      <c r="CA100" s="325"/>
      <c r="CB100" s="325"/>
      <c r="CC100" s="325"/>
      <c r="CD100" s="325"/>
      <c r="CE100" s="325"/>
      <c r="CF100" s="325"/>
      <c r="CG100" s="325"/>
      <c r="CH100" s="325"/>
      <c r="CI100" s="325"/>
      <c r="CJ100" s="319"/>
      <c r="CK100" s="325"/>
      <c r="CL100" s="325"/>
      <c r="CM100" s="325"/>
      <c r="CN100" s="325"/>
      <c r="CO100" s="325"/>
      <c r="CP100" s="325"/>
      <c r="CQ100" s="836"/>
      <c r="CR100" s="185">
        <f t="shared" si="37"/>
        <v>0</v>
      </c>
      <c r="CS100" s="57"/>
      <c r="CT100" s="319"/>
      <c r="CU100" s="319"/>
      <c r="CV100" s="319"/>
      <c r="CW100" s="319"/>
      <c r="CX100" s="325"/>
      <c r="CY100" s="325"/>
      <c r="CZ100" s="319"/>
      <c r="DA100" s="325"/>
      <c r="DB100" s="325"/>
      <c r="DC100" s="319"/>
      <c r="DD100" s="325"/>
      <c r="DE100" s="325"/>
      <c r="DF100" s="325"/>
      <c r="DG100" s="325"/>
      <c r="DH100" s="325"/>
      <c r="DI100" s="319"/>
      <c r="DJ100" s="319"/>
      <c r="DK100" s="319"/>
      <c r="DL100" s="325"/>
      <c r="DM100" s="319"/>
      <c r="DN100" s="325"/>
      <c r="DO100" s="319"/>
      <c r="DP100" s="319"/>
      <c r="DQ100" s="325"/>
      <c r="DR100" s="325"/>
      <c r="DS100" s="319"/>
      <c r="DT100" s="245"/>
      <c r="DU100" s="271"/>
      <c r="DV100" s="177"/>
      <c r="DW100" s="177"/>
      <c r="DX100" s="319"/>
      <c r="DY100" s="325"/>
      <c r="DZ100" s="319"/>
      <c r="EA100" s="319"/>
      <c r="EB100" s="319"/>
      <c r="EC100" s="325"/>
      <c r="ED100" s="319"/>
      <c r="EE100" s="319"/>
      <c r="EF100" s="325"/>
      <c r="EG100" s="325"/>
      <c r="EH100" s="319"/>
      <c r="EI100" s="325"/>
      <c r="EJ100" s="325"/>
      <c r="EK100" s="326"/>
      <c r="EL100" s="466"/>
      <c r="EM100" s="319"/>
      <c r="EN100" s="319"/>
      <c r="EO100" s="325"/>
      <c r="EP100" s="319"/>
      <c r="EQ100" s="319"/>
      <c r="ER100" s="325"/>
      <c r="ES100" s="319"/>
      <c r="ET100" s="325"/>
      <c r="EU100" s="319"/>
      <c r="EV100" s="319"/>
      <c r="EW100" s="319"/>
      <c r="EX100" s="319"/>
      <c r="EY100" s="319"/>
      <c r="EZ100" s="319"/>
      <c r="FA100" s="319"/>
      <c r="FB100" s="319"/>
      <c r="FC100" s="319"/>
      <c r="FD100" s="319"/>
      <c r="FE100" s="319"/>
      <c r="FF100" s="325"/>
      <c r="FG100" s="325"/>
      <c r="FH100" s="325"/>
      <c r="FI100" s="158">
        <f t="shared" si="38"/>
        <v>0</v>
      </c>
      <c r="FJ100" s="95"/>
      <c r="FK100" s="375"/>
      <c r="FL100" s="319"/>
      <c r="FM100" s="319"/>
      <c r="FN100" s="325"/>
      <c r="FO100" s="325"/>
      <c r="FP100" s="325"/>
      <c r="FQ100" s="325"/>
      <c r="FR100" s="319"/>
      <c r="FS100" s="319"/>
      <c r="FT100" s="319"/>
      <c r="FU100" s="319"/>
      <c r="FV100" s="319"/>
      <c r="FW100" s="319"/>
      <c r="FX100" s="319"/>
      <c r="FY100" s="182"/>
      <c r="FZ100" s="270"/>
      <c r="GA100" s="271"/>
      <c r="GB100" s="177"/>
      <c r="GC100" s="177"/>
      <c r="GD100" s="177"/>
      <c r="GE100" s="802"/>
      <c r="GF100" s="435"/>
      <c r="GG100" s="327">
        <f t="shared" si="39"/>
        <v>0</v>
      </c>
      <c r="GH100" s="445">
        <f t="shared" si="40"/>
        <v>0</v>
      </c>
      <c r="GI100" s="826">
        <f t="shared" si="41"/>
        <v>0</v>
      </c>
      <c r="GJ100" s="627">
        <f t="shared" si="42"/>
        <v>0</v>
      </c>
      <c r="GK100" s="239">
        <f t="shared" si="43"/>
        <v>0</v>
      </c>
      <c r="GL100" s="363" t="str">
        <f t="shared" si="44"/>
        <v>ДП60-3/40/плц-117</v>
      </c>
      <c r="GM100" s="364"/>
      <c r="GN100" s="631"/>
      <c r="GO100" s="26"/>
    </row>
    <row r="101" spans="1:198" x14ac:dyDescent="0.3">
      <c r="A101" s="630">
        <f t="shared" si="51"/>
        <v>88</v>
      </c>
      <c r="B101" s="276" t="s">
        <v>379</v>
      </c>
      <c r="C101" s="825"/>
      <c r="D101" s="241">
        <v>0</v>
      </c>
      <c r="E101" s="241">
        <v>0</v>
      </c>
      <c r="F101" s="888">
        <v>0</v>
      </c>
      <c r="G101" s="720">
        <f t="shared" si="54"/>
        <v>0</v>
      </c>
      <c r="H101" s="93">
        <v>0</v>
      </c>
      <c r="I101" s="93">
        <v>0</v>
      </c>
      <c r="J101" s="94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19"/>
      <c r="AQ101" s="319"/>
      <c r="AR101" s="319"/>
      <c r="AS101" s="319"/>
      <c r="AT101" s="319"/>
      <c r="AU101" s="319"/>
      <c r="AV101" s="319"/>
      <c r="AW101" s="319"/>
      <c r="AX101" s="319"/>
      <c r="AY101" s="319"/>
      <c r="AZ101" s="319"/>
      <c r="BA101" s="319"/>
      <c r="BB101" s="319"/>
      <c r="BC101" s="319"/>
      <c r="BD101" s="319"/>
      <c r="BE101" s="319"/>
      <c r="BF101" s="319"/>
      <c r="BG101" s="158">
        <f t="shared" si="55"/>
        <v>0</v>
      </c>
      <c r="BH101" s="94"/>
      <c r="BI101" s="496"/>
      <c r="BJ101" s="325"/>
      <c r="BK101" s="325"/>
      <c r="BL101" s="325"/>
      <c r="BM101" s="325"/>
      <c r="BN101" s="325"/>
      <c r="BO101" s="325"/>
      <c r="BP101" s="325"/>
      <c r="BQ101" s="325"/>
      <c r="BR101" s="325"/>
      <c r="BS101" s="325"/>
      <c r="BT101" s="325"/>
      <c r="BU101" s="325"/>
      <c r="BV101" s="325"/>
      <c r="BW101" s="325"/>
      <c r="BX101" s="325"/>
      <c r="BY101" s="325"/>
      <c r="BZ101" s="325"/>
      <c r="CA101" s="325"/>
      <c r="CB101" s="325"/>
      <c r="CC101" s="325"/>
      <c r="CD101" s="325"/>
      <c r="CE101" s="325"/>
      <c r="CF101" s="325"/>
      <c r="CG101" s="325"/>
      <c r="CH101" s="325"/>
      <c r="CI101" s="325"/>
      <c r="CJ101" s="319"/>
      <c r="CK101" s="325"/>
      <c r="CL101" s="325"/>
      <c r="CM101" s="325"/>
      <c r="CN101" s="325"/>
      <c r="CO101" s="325"/>
      <c r="CP101" s="325"/>
      <c r="CQ101" s="836"/>
      <c r="CR101" s="185">
        <f t="shared" si="37"/>
        <v>0</v>
      </c>
      <c r="CS101" s="57"/>
      <c r="CT101" s="319"/>
      <c r="CU101" s="319"/>
      <c r="CV101" s="319"/>
      <c r="CW101" s="319"/>
      <c r="CX101" s="325"/>
      <c r="CY101" s="325"/>
      <c r="CZ101" s="319"/>
      <c r="DA101" s="325"/>
      <c r="DB101" s="325"/>
      <c r="DC101" s="319"/>
      <c r="DD101" s="325"/>
      <c r="DE101" s="325"/>
      <c r="DF101" s="325"/>
      <c r="DG101" s="325"/>
      <c r="DH101" s="325"/>
      <c r="DI101" s="319"/>
      <c r="DJ101" s="319"/>
      <c r="DK101" s="319"/>
      <c r="DL101" s="325"/>
      <c r="DM101" s="319"/>
      <c r="DN101" s="325"/>
      <c r="DO101" s="319"/>
      <c r="DP101" s="319"/>
      <c r="DQ101" s="325"/>
      <c r="DR101" s="325"/>
      <c r="DS101" s="319"/>
      <c r="DT101" s="245"/>
      <c r="DU101" s="271"/>
      <c r="DV101" s="177"/>
      <c r="DW101" s="177"/>
      <c r="DX101" s="319"/>
      <c r="DY101" s="325"/>
      <c r="DZ101" s="319"/>
      <c r="EA101" s="319"/>
      <c r="EB101" s="319"/>
      <c r="EC101" s="325"/>
      <c r="ED101" s="319"/>
      <c r="EE101" s="319"/>
      <c r="EF101" s="325"/>
      <c r="EG101" s="325"/>
      <c r="EH101" s="319"/>
      <c r="EI101" s="325"/>
      <c r="EJ101" s="325"/>
      <c r="EK101" s="326"/>
      <c r="EL101" s="466"/>
      <c r="EM101" s="319"/>
      <c r="EN101" s="319"/>
      <c r="EO101" s="325"/>
      <c r="EP101" s="319"/>
      <c r="EQ101" s="319"/>
      <c r="ER101" s="325"/>
      <c r="ES101" s="319"/>
      <c r="ET101" s="325"/>
      <c r="EU101" s="319"/>
      <c r="EV101" s="319"/>
      <c r="EW101" s="319"/>
      <c r="EX101" s="319"/>
      <c r="EY101" s="319"/>
      <c r="EZ101" s="319"/>
      <c r="FA101" s="319"/>
      <c r="FB101" s="319"/>
      <c r="FC101" s="319"/>
      <c r="FD101" s="319"/>
      <c r="FE101" s="319"/>
      <c r="FF101" s="325"/>
      <c r="FG101" s="325"/>
      <c r="FH101" s="325"/>
      <c r="FI101" s="158">
        <f t="shared" si="38"/>
        <v>0</v>
      </c>
      <c r="FJ101" s="95"/>
      <c r="FK101" s="375"/>
      <c r="FL101" s="319"/>
      <c r="FM101" s="319"/>
      <c r="FN101" s="325"/>
      <c r="FO101" s="325"/>
      <c r="FP101" s="325"/>
      <c r="FQ101" s="325"/>
      <c r="FR101" s="319"/>
      <c r="FS101" s="319"/>
      <c r="FT101" s="319"/>
      <c r="FU101" s="319"/>
      <c r="FV101" s="319"/>
      <c r="FW101" s="319"/>
      <c r="FX101" s="319"/>
      <c r="FY101" s="182"/>
      <c r="FZ101" s="270"/>
      <c r="GA101" s="271"/>
      <c r="GB101" s="177"/>
      <c r="GC101" s="177"/>
      <c r="GD101" s="177"/>
      <c r="GE101" s="802"/>
      <c r="GF101" s="435"/>
      <c r="GG101" s="327">
        <f t="shared" si="39"/>
        <v>0</v>
      </c>
      <c r="GH101" s="445">
        <f t="shared" si="40"/>
        <v>0</v>
      </c>
      <c r="GI101" s="826">
        <f t="shared" si="41"/>
        <v>0</v>
      </c>
      <c r="GJ101" s="627">
        <f t="shared" si="42"/>
        <v>0</v>
      </c>
      <c r="GK101" s="239">
        <f t="shared" si="43"/>
        <v>0</v>
      </c>
      <c r="GL101" s="363" t="str">
        <f t="shared" si="44"/>
        <v>ДП60-3/40/плц-127</v>
      </c>
      <c r="GM101" s="364"/>
      <c r="GN101" s="631"/>
      <c r="GO101" s="26"/>
    </row>
    <row r="102" spans="1:198" ht="15" thickBot="1" x14ac:dyDescent="0.35">
      <c r="A102" s="630">
        <f t="shared" si="51"/>
        <v>89</v>
      </c>
      <c r="B102" s="706" t="s">
        <v>380</v>
      </c>
      <c r="C102" s="305">
        <f>'3_квартал'!G97</f>
        <v>0</v>
      </c>
      <c r="D102" s="241">
        <v>0</v>
      </c>
      <c r="E102" s="241">
        <v>0</v>
      </c>
      <c r="F102" s="888">
        <v>0</v>
      </c>
      <c r="G102" s="752">
        <f t="shared" si="49"/>
        <v>0</v>
      </c>
      <c r="H102" s="143">
        <v>0</v>
      </c>
      <c r="I102" s="143">
        <v>0</v>
      </c>
      <c r="J102" s="136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5"/>
      <c r="V102" s="345"/>
      <c r="W102" s="345"/>
      <c r="X102" s="345"/>
      <c r="Y102" s="345"/>
      <c r="Z102" s="345"/>
      <c r="AA102" s="345"/>
      <c r="AB102" s="345"/>
      <c r="AC102" s="345"/>
      <c r="AD102" s="345"/>
      <c r="AE102" s="345"/>
      <c r="AF102" s="345"/>
      <c r="AG102" s="345"/>
      <c r="AH102" s="345"/>
      <c r="AI102" s="345"/>
      <c r="AJ102" s="345"/>
      <c r="AK102" s="345"/>
      <c r="AL102" s="345"/>
      <c r="AM102" s="345"/>
      <c r="AN102" s="345"/>
      <c r="AO102" s="345"/>
      <c r="AP102" s="345"/>
      <c r="AQ102" s="345"/>
      <c r="AR102" s="345"/>
      <c r="AS102" s="345"/>
      <c r="AT102" s="345"/>
      <c r="AU102" s="345"/>
      <c r="AV102" s="345"/>
      <c r="AW102" s="345"/>
      <c r="AX102" s="345"/>
      <c r="AY102" s="345"/>
      <c r="AZ102" s="345"/>
      <c r="BA102" s="345"/>
      <c r="BB102" s="345"/>
      <c r="BC102" s="345"/>
      <c r="BD102" s="345"/>
      <c r="BE102" s="345"/>
      <c r="BF102" s="345"/>
      <c r="BG102" s="160">
        <f t="shared" si="36"/>
        <v>0</v>
      </c>
      <c r="BH102" s="136"/>
      <c r="BI102" s="837"/>
      <c r="BJ102" s="827"/>
      <c r="BK102" s="827"/>
      <c r="BL102" s="827"/>
      <c r="BM102" s="827"/>
      <c r="BN102" s="827"/>
      <c r="BO102" s="827"/>
      <c r="BP102" s="827"/>
      <c r="BQ102" s="827"/>
      <c r="BR102" s="827"/>
      <c r="BS102" s="827"/>
      <c r="BT102" s="827"/>
      <c r="BU102" s="827"/>
      <c r="BV102" s="827"/>
      <c r="BW102" s="827"/>
      <c r="BX102" s="827"/>
      <c r="BY102" s="827"/>
      <c r="BZ102" s="827"/>
      <c r="CA102" s="827"/>
      <c r="CB102" s="827"/>
      <c r="CC102" s="827"/>
      <c r="CD102" s="827"/>
      <c r="CE102" s="345"/>
      <c r="CF102" s="345"/>
      <c r="CG102" s="345"/>
      <c r="CH102" s="345"/>
      <c r="CI102" s="345"/>
      <c r="CJ102" s="345"/>
      <c r="CK102" s="345"/>
      <c r="CL102" s="345"/>
      <c r="CM102" s="345"/>
      <c r="CN102" s="345"/>
      <c r="CO102" s="345"/>
      <c r="CP102" s="345"/>
      <c r="CQ102" s="838"/>
      <c r="CR102" s="185">
        <f t="shared" si="37"/>
        <v>0</v>
      </c>
      <c r="CS102" s="139"/>
      <c r="CT102" s="345"/>
      <c r="CU102" s="345"/>
      <c r="CV102" s="345"/>
      <c r="CW102" s="345"/>
      <c r="CX102" s="827"/>
      <c r="CY102" s="827"/>
      <c r="CZ102" s="345"/>
      <c r="DA102" s="345"/>
      <c r="DB102" s="345"/>
      <c r="DC102" s="345"/>
      <c r="DD102" s="345"/>
      <c r="DE102" s="827"/>
      <c r="DF102" s="345"/>
      <c r="DG102" s="827"/>
      <c r="DH102" s="827"/>
      <c r="DI102" s="345"/>
      <c r="DJ102" s="345"/>
      <c r="DK102" s="345"/>
      <c r="DL102" s="345"/>
      <c r="DM102" s="345"/>
      <c r="DN102" s="827"/>
      <c r="DO102" s="345"/>
      <c r="DP102" s="345"/>
      <c r="DQ102" s="345"/>
      <c r="DR102" s="827"/>
      <c r="DS102" s="345"/>
      <c r="DT102" s="344"/>
      <c r="DU102" s="274"/>
      <c r="DV102" s="179"/>
      <c r="DW102" s="179"/>
      <c r="DX102" s="345"/>
      <c r="DY102" s="827"/>
      <c r="DZ102" s="345"/>
      <c r="EA102" s="345"/>
      <c r="EB102" s="345"/>
      <c r="EC102" s="345"/>
      <c r="ED102" s="345"/>
      <c r="EE102" s="345"/>
      <c r="EF102" s="827"/>
      <c r="EG102" s="827"/>
      <c r="EH102" s="345"/>
      <c r="EI102" s="827"/>
      <c r="EJ102" s="827"/>
      <c r="EK102" s="344"/>
      <c r="EL102" s="469"/>
      <c r="EM102" s="345"/>
      <c r="EN102" s="345"/>
      <c r="EO102" s="827"/>
      <c r="EP102" s="345"/>
      <c r="EQ102" s="345"/>
      <c r="ER102" s="827"/>
      <c r="ES102" s="345"/>
      <c r="ET102" s="827"/>
      <c r="EU102" s="345"/>
      <c r="EV102" s="345"/>
      <c r="EW102" s="345"/>
      <c r="EX102" s="345"/>
      <c r="EY102" s="345"/>
      <c r="EZ102" s="345"/>
      <c r="FA102" s="345"/>
      <c r="FB102" s="345"/>
      <c r="FC102" s="345"/>
      <c r="FD102" s="345"/>
      <c r="FE102" s="345"/>
      <c r="FF102" s="345"/>
      <c r="FG102" s="345"/>
      <c r="FH102" s="345"/>
      <c r="FI102" s="158">
        <f t="shared" si="38"/>
        <v>0</v>
      </c>
      <c r="FJ102" s="116"/>
      <c r="FK102" s="392"/>
      <c r="FL102" s="345"/>
      <c r="FM102" s="345"/>
      <c r="FN102" s="827"/>
      <c r="FO102" s="345"/>
      <c r="FP102" s="345"/>
      <c r="FQ102" s="345"/>
      <c r="FR102" s="345"/>
      <c r="FS102" s="345"/>
      <c r="FT102" s="345"/>
      <c r="FU102" s="345"/>
      <c r="FV102" s="345"/>
      <c r="FW102" s="345"/>
      <c r="FX102" s="345"/>
      <c r="FY102" s="141"/>
      <c r="FZ102" s="273"/>
      <c r="GA102" s="274"/>
      <c r="GB102" s="179"/>
      <c r="GC102" s="179"/>
      <c r="GD102" s="179"/>
      <c r="GE102" s="810"/>
      <c r="GF102" s="491"/>
      <c r="GG102" s="51">
        <f t="shared" si="39"/>
        <v>0</v>
      </c>
      <c r="GH102" s="500">
        <f t="shared" si="40"/>
        <v>0</v>
      </c>
      <c r="GI102" s="605">
        <f t="shared" si="41"/>
        <v>0</v>
      </c>
      <c r="GJ102" s="628">
        <f t="shared" si="42"/>
        <v>0</v>
      </c>
      <c r="GK102" s="240">
        <f t="shared" si="43"/>
        <v>0</v>
      </c>
      <c r="GL102" s="363" t="str">
        <f t="shared" si="44"/>
        <v>ДП60-3/40/плц-135</v>
      </c>
      <c r="GM102" s="364"/>
      <c r="GN102" s="22"/>
      <c r="GO102" s="22"/>
    </row>
    <row r="103" spans="1:198" x14ac:dyDescent="0.3">
      <c r="A103" s="238"/>
      <c r="B103" s="114"/>
      <c r="C103" s="114"/>
      <c r="D103" s="556">
        <f t="shared" ref="D103:I103" si="56">SUM(D9:D22,D24:D43,D45:D72,D74:D102)</f>
        <v>101805.76099999997</v>
      </c>
      <c r="E103" s="556">
        <f t="shared" si="56"/>
        <v>63192.394999999997</v>
      </c>
      <c r="F103" s="556">
        <f t="shared" si="56"/>
        <v>126749.37399999998</v>
      </c>
      <c r="G103" s="556">
        <f t="shared" si="56"/>
        <v>97249.174999999974</v>
      </c>
      <c r="H103" s="556">
        <f t="shared" si="56"/>
        <v>194450.51000000004</v>
      </c>
      <c r="I103" s="545">
        <f t="shared" si="56"/>
        <v>196072.136</v>
      </c>
      <c r="J103" s="18"/>
      <c r="K103" s="456"/>
      <c r="L103" s="456"/>
      <c r="M103" s="176"/>
      <c r="N103" s="456"/>
      <c r="O103" s="176"/>
      <c r="P103" s="456"/>
      <c r="Q103" s="456"/>
      <c r="R103" s="456"/>
      <c r="S103" s="176"/>
      <c r="T103" s="176"/>
      <c r="U103" s="176"/>
      <c r="V103" s="176"/>
      <c r="W103" s="176"/>
      <c r="X103" s="176"/>
      <c r="Y103" s="176"/>
      <c r="Z103" s="456"/>
      <c r="AA103" s="456"/>
      <c r="AB103" s="456"/>
      <c r="AC103" s="456"/>
      <c r="AD103" s="456"/>
      <c r="AE103" s="176"/>
      <c r="AF103" s="456"/>
      <c r="AG103" s="176"/>
      <c r="AH103" s="456"/>
      <c r="AI103" s="456"/>
      <c r="AJ103" s="456"/>
      <c r="AK103" s="456"/>
      <c r="AL103" s="456"/>
      <c r="AM103" s="456"/>
      <c r="AN103" s="456"/>
      <c r="AO103" s="456"/>
      <c r="AP103" s="456"/>
      <c r="AQ103" s="456"/>
      <c r="AR103" s="456"/>
      <c r="AS103" s="456"/>
      <c r="AT103" s="456"/>
      <c r="AU103" s="456"/>
      <c r="AV103" s="456"/>
      <c r="AW103" s="456"/>
      <c r="AX103" s="456"/>
      <c r="AY103" s="456"/>
      <c r="AZ103" s="456"/>
      <c r="BA103" s="456"/>
      <c r="BB103" s="456"/>
      <c r="BC103" s="456"/>
      <c r="BD103" s="456"/>
      <c r="BE103" s="456"/>
      <c r="BF103" s="456"/>
      <c r="BG103" s="465"/>
      <c r="BH103" s="463"/>
      <c r="BI103" s="176"/>
      <c r="BJ103" s="176"/>
      <c r="BK103" s="456"/>
      <c r="BL103" s="456"/>
      <c r="BM103" s="176"/>
      <c r="BN103" s="456"/>
      <c r="BO103" s="456"/>
      <c r="BP103" s="456"/>
      <c r="BQ103" s="176"/>
      <c r="BR103" s="456"/>
      <c r="BS103" s="456"/>
      <c r="BT103" s="456"/>
      <c r="BU103" s="456"/>
      <c r="BV103" s="456"/>
      <c r="BW103" s="456"/>
      <c r="BX103" s="456"/>
      <c r="BY103" s="456"/>
      <c r="BZ103" s="456"/>
      <c r="CA103" s="456"/>
      <c r="CB103" s="176"/>
      <c r="CC103" s="456"/>
      <c r="CD103" s="456"/>
      <c r="CE103" s="176"/>
      <c r="CF103" s="456"/>
      <c r="CG103" s="456"/>
      <c r="CH103" s="456"/>
      <c r="CI103" s="456"/>
      <c r="CJ103" s="456"/>
      <c r="CK103" s="456"/>
      <c r="CL103" s="456"/>
      <c r="CM103" s="456"/>
      <c r="CN103" s="456"/>
      <c r="CO103" s="456"/>
      <c r="CP103" s="456"/>
      <c r="CQ103" s="456"/>
      <c r="CR103" s="463"/>
      <c r="CS103" s="463"/>
      <c r="CT103" s="456"/>
      <c r="CU103" s="456"/>
      <c r="CV103" s="456"/>
      <c r="CW103" s="456"/>
      <c r="CX103" s="456"/>
      <c r="CY103" s="456"/>
      <c r="CZ103" s="456"/>
      <c r="DA103" s="456"/>
      <c r="DB103" s="456"/>
      <c r="DC103" s="456"/>
      <c r="DD103" s="456"/>
      <c r="DE103" s="456"/>
      <c r="DF103" s="456"/>
      <c r="DG103" s="456"/>
      <c r="DH103" s="456"/>
      <c r="DI103" s="456"/>
      <c r="DJ103" s="456"/>
      <c r="DK103" s="456"/>
      <c r="DL103" s="456"/>
      <c r="DM103" s="456"/>
      <c r="DN103" s="456"/>
      <c r="DO103" s="456"/>
      <c r="DP103" s="456"/>
      <c r="DQ103" s="456"/>
      <c r="DR103" s="456"/>
      <c r="DS103" s="456"/>
      <c r="DT103" s="456"/>
      <c r="DU103" s="176"/>
      <c r="DV103" s="176"/>
      <c r="DW103" s="176"/>
      <c r="DX103" s="168"/>
      <c r="DY103" s="456"/>
      <c r="DZ103" s="456"/>
      <c r="EA103" s="456"/>
      <c r="EB103" s="456"/>
      <c r="EC103" s="456"/>
      <c r="ED103" s="456"/>
      <c r="EE103" s="456"/>
      <c r="EF103" s="456"/>
      <c r="EG103" s="456"/>
      <c r="EH103" s="456"/>
      <c r="EI103" s="456"/>
      <c r="EJ103" s="456"/>
      <c r="EK103" s="456"/>
      <c r="EL103" s="456"/>
      <c r="EM103" s="456"/>
      <c r="EN103" s="456"/>
      <c r="EO103" s="176"/>
      <c r="EP103" s="456"/>
      <c r="EQ103" s="456"/>
      <c r="ER103" s="456"/>
      <c r="ES103" s="456"/>
      <c r="ET103" s="456"/>
      <c r="EU103" s="456"/>
      <c r="EV103" s="456"/>
      <c r="EW103" s="456"/>
      <c r="EX103" s="456"/>
      <c r="EY103" s="456"/>
      <c r="EZ103" s="456"/>
      <c r="FA103" s="456"/>
      <c r="FB103" s="456"/>
      <c r="FC103" s="456"/>
      <c r="FD103" s="456"/>
      <c r="FE103" s="456"/>
      <c r="FF103" s="456"/>
      <c r="FG103" s="456"/>
      <c r="FH103" s="456"/>
      <c r="FI103" s="463"/>
      <c r="FJ103" s="463"/>
      <c r="FK103" s="176"/>
      <c r="FL103" s="456"/>
      <c r="FM103" s="456"/>
      <c r="FN103" s="456"/>
      <c r="FO103" s="456"/>
      <c r="FP103" s="456"/>
      <c r="FQ103" s="456"/>
      <c r="FR103" s="456"/>
      <c r="FS103" s="456"/>
      <c r="FT103" s="456"/>
      <c r="FU103" s="456"/>
      <c r="FV103" s="456"/>
      <c r="FW103" s="456"/>
      <c r="FX103" s="456"/>
      <c r="FY103" s="176"/>
      <c r="FZ103" s="176"/>
      <c r="GA103" s="176"/>
      <c r="GB103" s="176"/>
      <c r="GC103" s="176"/>
      <c r="GD103" s="176"/>
      <c r="GE103" s="176"/>
      <c r="GF103" s="242"/>
      <c r="GG103" s="242">
        <f>SUM(GG9:GG102)</f>
        <v>0</v>
      </c>
      <c r="GH103" s="242">
        <f>SUM(GH9:GH102)</f>
        <v>196072.136</v>
      </c>
      <c r="GI103" s="545">
        <f>SUM(GI9:GI22,GI24:GI43,GI45:GI72,GI74:GI102)</f>
        <v>196072.136</v>
      </c>
      <c r="GJ103" s="242"/>
      <c r="GK103" s="242">
        <f>SUM(GK9:GK102)</f>
        <v>63192.394999999997</v>
      </c>
      <c r="GL103" s="120"/>
      <c r="GM103" s="233"/>
      <c r="GN103" s="22"/>
      <c r="GO103" s="22"/>
    </row>
    <row r="104" spans="1:198" x14ac:dyDescent="0.3">
      <c r="A104" s="575"/>
      <c r="B104" s="534"/>
      <c r="C104" s="534"/>
      <c r="D104" s="536"/>
      <c r="E104" s="534"/>
      <c r="F104" s="534"/>
      <c r="G104" s="534"/>
      <c r="H104" s="576"/>
      <c r="I104" s="576"/>
      <c r="J104" s="539"/>
      <c r="K104" s="540"/>
      <c r="L104" s="540"/>
      <c r="M104" s="540"/>
      <c r="N104" s="540"/>
      <c r="O104" s="540"/>
      <c r="P104" s="540"/>
      <c r="Q104" s="540"/>
      <c r="R104" s="540"/>
      <c r="S104" s="540"/>
      <c r="T104" s="540"/>
      <c r="U104" s="540"/>
      <c r="V104" s="540"/>
      <c r="W104" s="540"/>
      <c r="X104" s="540"/>
      <c r="Y104" s="540"/>
      <c r="Z104" s="540"/>
      <c r="AA104" s="540"/>
      <c r="AB104" s="540"/>
      <c r="AC104" s="540"/>
      <c r="AD104" s="540"/>
      <c r="AE104" s="540"/>
      <c r="AF104" s="540"/>
      <c r="AG104" s="540"/>
      <c r="AH104" s="540"/>
      <c r="AI104" s="540"/>
      <c r="AJ104" s="540"/>
      <c r="AK104" s="540"/>
      <c r="AL104" s="540"/>
      <c r="AM104" s="540"/>
      <c r="AN104" s="540"/>
      <c r="AO104" s="540"/>
      <c r="AP104" s="540"/>
      <c r="AQ104" s="540"/>
      <c r="AR104" s="540"/>
      <c r="AS104" s="540"/>
      <c r="AT104" s="540"/>
      <c r="AU104" s="540"/>
      <c r="AV104" s="540"/>
      <c r="AW104" s="540"/>
      <c r="AX104" s="540"/>
      <c r="AY104" s="540"/>
      <c r="AZ104" s="540"/>
      <c r="BA104" s="540"/>
      <c r="BB104" s="540"/>
      <c r="BC104" s="540"/>
      <c r="BD104" s="540"/>
      <c r="BE104" s="540"/>
      <c r="BF104" s="540"/>
      <c r="BG104" s="541"/>
      <c r="BH104" s="541"/>
      <c r="BI104" s="540"/>
      <c r="BJ104" s="540"/>
      <c r="BK104" s="540"/>
      <c r="BL104" s="540"/>
      <c r="BM104" s="540"/>
      <c r="BN104" s="540"/>
      <c r="BO104" s="540"/>
      <c r="BP104" s="540"/>
      <c r="BQ104" s="540"/>
      <c r="BR104" s="540"/>
      <c r="BS104" s="540"/>
      <c r="BT104" s="540"/>
      <c r="BU104" s="540"/>
      <c r="BV104" s="540"/>
      <c r="BW104" s="540"/>
      <c r="BX104" s="540"/>
      <c r="BY104" s="540"/>
      <c r="BZ104" s="540"/>
      <c r="CA104" s="540"/>
      <c r="CB104" s="540"/>
      <c r="CC104" s="540"/>
      <c r="CD104" s="540"/>
      <c r="CE104" s="540"/>
      <c r="CF104" s="540"/>
      <c r="CG104" s="540"/>
      <c r="CH104" s="540"/>
      <c r="CI104" s="540"/>
      <c r="CJ104" s="540"/>
      <c r="CK104" s="540"/>
      <c r="CL104" s="540"/>
      <c r="CM104" s="540"/>
      <c r="CN104" s="540"/>
      <c r="CO104" s="540"/>
      <c r="CP104" s="540"/>
      <c r="CQ104" s="540"/>
      <c r="CR104" s="541"/>
      <c r="CS104" s="541"/>
      <c r="CT104" s="540"/>
      <c r="CU104" s="540"/>
      <c r="CV104" s="540"/>
      <c r="CW104" s="540"/>
      <c r="CX104" s="540"/>
      <c r="CY104" s="540"/>
      <c r="CZ104" s="540"/>
      <c r="DA104" s="540"/>
      <c r="DB104" s="540"/>
      <c r="DC104" s="540"/>
      <c r="DD104" s="540"/>
      <c r="DE104" s="540"/>
      <c r="DF104" s="540"/>
      <c r="DG104" s="540"/>
      <c r="DH104" s="540"/>
      <c r="DI104" s="540"/>
      <c r="DJ104" s="540"/>
      <c r="DK104" s="540"/>
      <c r="DL104" s="540"/>
      <c r="DM104" s="540"/>
      <c r="DN104" s="540"/>
      <c r="DO104" s="540"/>
      <c r="DP104" s="540"/>
      <c r="DQ104" s="540"/>
      <c r="DR104" s="540"/>
      <c r="DS104" s="540"/>
      <c r="DT104" s="540"/>
      <c r="DX104" s="851"/>
      <c r="DY104" s="540"/>
      <c r="DZ104" s="540"/>
      <c r="EA104" s="540"/>
      <c r="EB104" s="540"/>
      <c r="EC104" s="540"/>
      <c r="ED104" s="540"/>
      <c r="EE104" s="540"/>
      <c r="EF104" s="540"/>
      <c r="EG104" s="540"/>
      <c r="EH104" s="540"/>
      <c r="EI104" s="540"/>
      <c r="EJ104" s="540"/>
      <c r="EK104" s="540"/>
      <c r="EL104" s="540"/>
      <c r="EM104" s="540"/>
      <c r="EN104" s="540"/>
      <c r="EO104" s="540"/>
      <c r="EP104" s="540"/>
      <c r="EQ104" s="540"/>
      <c r="ER104" s="540"/>
      <c r="ES104" s="540"/>
      <c r="ET104" s="540"/>
      <c r="EU104" s="540"/>
      <c r="EV104" s="540"/>
      <c r="EW104" s="540"/>
      <c r="EX104" s="540"/>
      <c r="EY104" s="540"/>
      <c r="EZ104" s="540"/>
      <c r="FA104" s="540"/>
      <c r="FB104" s="540"/>
      <c r="FC104" s="540"/>
      <c r="FD104" s="540"/>
      <c r="FE104" s="540"/>
      <c r="FF104" s="540"/>
      <c r="FG104" s="540"/>
      <c r="FH104" s="540"/>
      <c r="FI104" s="541"/>
      <c r="FJ104" s="541"/>
      <c r="FK104" s="540"/>
      <c r="FL104" s="540"/>
      <c r="FM104" s="540"/>
      <c r="FN104" s="540"/>
      <c r="FO104" s="540"/>
      <c r="FP104" s="540"/>
      <c r="FQ104" s="540"/>
      <c r="FR104" s="540"/>
      <c r="FS104" s="540"/>
      <c r="FT104" s="540"/>
      <c r="FU104" s="540"/>
      <c r="FV104" s="540"/>
      <c r="FW104" s="540"/>
      <c r="FX104" s="540"/>
      <c r="GD104"/>
      <c r="GO104" s="535"/>
    </row>
    <row r="105" spans="1:198" x14ac:dyDescent="0.3">
      <c r="A105" s="533" t="s">
        <v>162</v>
      </c>
      <c r="B105" s="534"/>
      <c r="C105" s="534"/>
      <c r="D105" s="536"/>
      <c r="E105" s="534"/>
      <c r="F105" s="534"/>
      <c r="G105" s="534"/>
      <c r="H105" s="538"/>
      <c r="I105" s="538"/>
      <c r="J105" s="539"/>
      <c r="K105" s="540">
        <f>76.433*4</f>
        <v>305.73200000000003</v>
      </c>
      <c r="L105" s="540">
        <f>144.554*5</f>
        <v>722.77</v>
      </c>
      <c r="M105" s="540">
        <f>539.477*2</f>
        <v>1078.954</v>
      </c>
      <c r="N105" s="540">
        <f>29.845*1.5</f>
        <v>44.767499999999998</v>
      </c>
      <c r="O105" s="540">
        <f>70.635*3</f>
        <v>211.90500000000003</v>
      </c>
      <c r="P105" s="540">
        <f>144.554*2</f>
        <v>289.108</v>
      </c>
      <c r="Q105" s="540">
        <f>179.658*2.1</f>
        <v>377.28179999999998</v>
      </c>
      <c r="R105" s="622">
        <f>31.172*3</f>
        <v>93.516000000000005</v>
      </c>
      <c r="S105" s="540">
        <f>24.612</f>
        <v>24.611999999999998</v>
      </c>
      <c r="T105" s="540">
        <f>82.409*1.5</f>
        <v>123.61350000000002</v>
      </c>
      <c r="U105" s="540">
        <f>385.287*0.25</f>
        <v>96.321749999999994</v>
      </c>
      <c r="V105" s="540">
        <f>357.744*4.5</f>
        <v>1609.8480000000002</v>
      </c>
      <c r="W105" s="540">
        <f>134.087*3</f>
        <v>402.26099999999997</v>
      </c>
      <c r="X105" s="540">
        <v>12.920999999999999</v>
      </c>
      <c r="Y105" s="540">
        <v>49.848999999999997</v>
      </c>
      <c r="Z105" s="622">
        <f>82.168*3</f>
        <v>246.50400000000002</v>
      </c>
      <c r="AA105" s="622">
        <f>3943.15/20*1.7</f>
        <v>335.16775000000001</v>
      </c>
      <c r="AB105" s="622">
        <f>111.011*0.5</f>
        <v>55.505499999999998</v>
      </c>
      <c r="AC105" s="622">
        <f>3943.15/20*9</f>
        <v>1774.4175</v>
      </c>
      <c r="AD105" s="622">
        <f>3943.15/20*9.3</f>
        <v>1833.5647500000002</v>
      </c>
      <c r="AE105" s="540">
        <f>64.119</f>
        <v>64.119</v>
      </c>
      <c r="AF105" s="622">
        <f>68.014*3</f>
        <v>204.04199999999997</v>
      </c>
      <c r="AG105" s="540">
        <f>163.866/0.3*0.4</f>
        <v>218.48800000000003</v>
      </c>
      <c r="AH105" s="622">
        <f>48.201</f>
        <v>48.201000000000001</v>
      </c>
      <c r="AI105" s="622">
        <v>69.974999999999994</v>
      </c>
      <c r="AJ105" s="622">
        <f>53.902*1.5</f>
        <v>80.853000000000009</v>
      </c>
      <c r="AK105" s="622">
        <v>180.56100000000001</v>
      </c>
      <c r="AL105" s="622">
        <v>54.765999999999998</v>
      </c>
      <c r="AM105" s="622">
        <v>160.946</v>
      </c>
      <c r="AN105" s="622">
        <v>547.52800000000002</v>
      </c>
      <c r="AO105" s="622">
        <v>176.53100000000001</v>
      </c>
      <c r="AP105" s="622">
        <v>62.795999999999999</v>
      </c>
      <c r="AQ105" s="622">
        <f>82.839*1.5</f>
        <v>124.2585</v>
      </c>
      <c r="AR105" s="622">
        <f>79.18*6</f>
        <v>475.08000000000004</v>
      </c>
      <c r="AS105" s="622">
        <f>66.58*3</f>
        <v>199.74</v>
      </c>
      <c r="AT105" s="622">
        <f>4849.656/10*6</f>
        <v>2909.7936</v>
      </c>
      <c r="AU105" s="622">
        <f>363.425*2</f>
        <v>726.85</v>
      </c>
      <c r="AV105" s="622">
        <f>179.541*2.4</f>
        <v>430.89839999999998</v>
      </c>
      <c r="AW105" s="622">
        <v>1468.6610000000001</v>
      </c>
      <c r="AX105" s="622">
        <f>707.029/5*3</f>
        <v>424.2174</v>
      </c>
      <c r="AY105" s="622">
        <f>707.029/5*2</f>
        <v>282.8116</v>
      </c>
      <c r="AZ105" s="622">
        <v>56.591999999999999</v>
      </c>
      <c r="BA105" s="622">
        <v>4.2309999999999999</v>
      </c>
      <c r="BB105" s="622">
        <v>415.80900000000003</v>
      </c>
      <c r="BC105" s="622">
        <f>143.569*4</f>
        <v>574.27599999999995</v>
      </c>
      <c r="BD105" s="622">
        <f>63.433*4</f>
        <v>253.732</v>
      </c>
      <c r="BE105" s="622">
        <f>342.021*2</f>
        <v>684.04200000000003</v>
      </c>
      <c r="BF105" s="622">
        <f>143.569*3</f>
        <v>430.70699999999999</v>
      </c>
      <c r="BG105" s="541"/>
      <c r="BH105" s="541"/>
      <c r="BI105" s="540">
        <v>324.70800000000003</v>
      </c>
      <c r="BJ105" s="540">
        <v>364.221</v>
      </c>
      <c r="BK105" s="622">
        <v>196.251</v>
      </c>
      <c r="BL105" s="622">
        <f>63.433*4</f>
        <v>253.732</v>
      </c>
      <c r="BM105" s="540">
        <f>158.433*5</f>
        <v>792.16499999999996</v>
      </c>
      <c r="BN105" s="622">
        <f>31.248*5</f>
        <v>156.24</v>
      </c>
      <c r="BO105" s="622">
        <f>70.312*1.5</f>
        <v>105.46799999999999</v>
      </c>
      <c r="BP105" s="622">
        <v>34.03</v>
      </c>
      <c r="BQ105" s="540">
        <f>366.765/0.6</f>
        <v>611.27499999999998</v>
      </c>
      <c r="BR105" s="622">
        <v>72.429000000000002</v>
      </c>
      <c r="BS105" s="622">
        <v>167.45699999999999</v>
      </c>
      <c r="BT105" s="622">
        <f>636.263/2*0.8</f>
        <v>254.50520000000003</v>
      </c>
      <c r="BU105" s="622">
        <f>69.418*1.5</f>
        <v>104.12700000000001</v>
      </c>
      <c r="BV105" s="622">
        <f>167.457/3*2</f>
        <v>111.63799999999999</v>
      </c>
      <c r="BW105" s="622">
        <f>56.592/0.5</f>
        <v>113.184</v>
      </c>
      <c r="BX105" s="622">
        <f>338.493*1.8</f>
        <v>609.28740000000005</v>
      </c>
      <c r="BY105" s="622">
        <v>412.68799999999999</v>
      </c>
      <c r="BZ105" s="622">
        <v>196.251</v>
      </c>
      <c r="CA105" s="622">
        <v>216.39</v>
      </c>
      <c r="CB105" s="540">
        <f>158.433*5</f>
        <v>792.16499999999996</v>
      </c>
      <c r="CC105" s="622">
        <f>429.139/2.4*1.5</f>
        <v>268.21187500000002</v>
      </c>
      <c r="CD105" s="622">
        <v>5.4820000000000002</v>
      </c>
      <c r="CE105" s="540">
        <f>158.433*5</f>
        <v>792.16499999999996</v>
      </c>
      <c r="CF105" s="622">
        <f>54.03*0.5</f>
        <v>27.015000000000001</v>
      </c>
      <c r="CG105" s="622">
        <f>161.203/3*2.4</f>
        <v>128.9624</v>
      </c>
      <c r="CH105" s="622">
        <v>71.272999999999996</v>
      </c>
      <c r="CI105" s="622">
        <v>143.46899999999999</v>
      </c>
      <c r="CJ105" s="622">
        <v>1941.914</v>
      </c>
      <c r="CK105" s="622">
        <f>38.706*5.5</f>
        <v>212.88300000000001</v>
      </c>
      <c r="CL105" s="622">
        <f>81.048/1.5*2.5</f>
        <v>135.08000000000001</v>
      </c>
      <c r="CM105" s="622">
        <v>104.97</v>
      </c>
      <c r="CN105" s="622">
        <f>134.153*2.5</f>
        <v>335.38249999999999</v>
      </c>
      <c r="CO105" s="622">
        <f>20.16*1.3</f>
        <v>26.208000000000002</v>
      </c>
      <c r="CP105" s="622">
        <v>361.78100000000001</v>
      </c>
      <c r="CQ105" s="622">
        <f>368.907*1.5</f>
        <v>553.3605</v>
      </c>
      <c r="CR105" s="541"/>
      <c r="CS105" s="541"/>
      <c r="CT105" s="622">
        <f>1612.826/10*8</f>
        <v>1290.2608</v>
      </c>
      <c r="CU105" s="622">
        <f>1612.826/10*2</f>
        <v>322.5652</v>
      </c>
      <c r="CV105" s="622">
        <v>216.506</v>
      </c>
      <c r="CW105" s="622">
        <v>67.283000000000001</v>
      </c>
      <c r="CX105" s="622">
        <f>65.13*5</f>
        <v>325.64999999999998</v>
      </c>
      <c r="CY105" s="622">
        <f>344.463*2</f>
        <v>688.92600000000004</v>
      </c>
      <c r="CZ105" s="622">
        <f>141.679*3.8</f>
        <v>538.38019999999995</v>
      </c>
      <c r="DA105" s="622">
        <f>1511.996/15*3.7</f>
        <v>372.95901333333336</v>
      </c>
      <c r="DB105" s="622">
        <f>1511.996/15*5.5</f>
        <v>554.39853333333338</v>
      </c>
      <c r="DC105" s="622">
        <v>472.07100000000003</v>
      </c>
      <c r="DD105" s="622">
        <v>71.989999999999995</v>
      </c>
      <c r="DE105" s="622">
        <f>396.348*0.5</f>
        <v>198.17400000000001</v>
      </c>
      <c r="DF105" s="622">
        <v>62.765000000000001</v>
      </c>
      <c r="DG105" s="622">
        <f>65.13*4</f>
        <v>260.52</v>
      </c>
      <c r="DH105" s="622">
        <v>344.46300000000002</v>
      </c>
      <c r="DI105" s="622">
        <f>141.679*7</f>
        <v>991.75300000000004</v>
      </c>
      <c r="DJ105" s="622">
        <f>4.563*0.6</f>
        <v>2.7377999999999996</v>
      </c>
      <c r="DK105" s="622">
        <v>254.90100000000001</v>
      </c>
      <c r="DL105" s="622">
        <f>71.99*0.3</f>
        <v>21.596999999999998</v>
      </c>
      <c r="DM105" s="622">
        <v>1473.5440000000001</v>
      </c>
      <c r="DN105" s="622">
        <v>64.569999999999993</v>
      </c>
      <c r="DO105" s="622">
        <v>70.697000000000003</v>
      </c>
      <c r="DP105" s="622">
        <f>418.83/6*3</f>
        <v>209.41499999999996</v>
      </c>
      <c r="DQ105" s="622">
        <f>1511.996/15*5.8</f>
        <v>584.63845333333336</v>
      </c>
      <c r="DR105" s="622">
        <f>344.463*3.3</f>
        <v>1136.7279000000001</v>
      </c>
      <c r="DS105" s="622">
        <f>259.054+0.027+0.006</f>
        <v>259.08699999999993</v>
      </c>
      <c r="DT105" s="622">
        <f>70.856/0.9*0.6</f>
        <v>47.237333333333325</v>
      </c>
      <c r="DU105" s="534">
        <f>378.326*8</f>
        <v>3026.6080000000002</v>
      </c>
      <c r="DV105" s="540">
        <f>451.086*2</f>
        <v>902.17200000000003</v>
      </c>
      <c r="DW105" s="540">
        <f>616.635*4</f>
        <v>2466.54</v>
      </c>
      <c r="DX105" s="622">
        <f>1090.335/2*3</f>
        <v>1635.5025000000001</v>
      </c>
      <c r="DY105" s="622">
        <f>65.383*5</f>
        <v>326.91499999999996</v>
      </c>
      <c r="DZ105" s="622">
        <f>133.437*2.6</f>
        <v>346.93620000000004</v>
      </c>
      <c r="EA105" s="622">
        <f>38.716*4</f>
        <v>154.864</v>
      </c>
      <c r="EB105" s="622">
        <v>362.15699999999998</v>
      </c>
      <c r="EC105" s="622">
        <v>135.899</v>
      </c>
      <c r="ED105" s="622">
        <v>173.767</v>
      </c>
      <c r="EE105" s="622">
        <f>182.063*2.2</f>
        <v>400.53860000000003</v>
      </c>
      <c r="EF105" s="622">
        <f>273.199*0.8</f>
        <v>218.55920000000003</v>
      </c>
      <c r="EG105" s="622">
        <f>56.91*4</f>
        <v>227.64</v>
      </c>
      <c r="EH105" s="622">
        <f>56.985*4</f>
        <v>227.94</v>
      </c>
      <c r="EI105" s="622">
        <f>102.45*2</f>
        <v>204.9</v>
      </c>
      <c r="EJ105" s="622">
        <v>151.202</v>
      </c>
      <c r="EK105" s="622">
        <f>368.907</f>
        <v>368.90699999999998</v>
      </c>
      <c r="EL105" s="622">
        <f>33.729*1.3</f>
        <v>43.847700000000003</v>
      </c>
      <c r="EM105" s="622">
        <f>141.982*4.2</f>
        <v>596.32439999999997</v>
      </c>
      <c r="EN105" s="622">
        <f>141.982*2</f>
        <v>283.964</v>
      </c>
      <c r="EO105" s="540">
        <f>369.844</f>
        <v>369.84399999999999</v>
      </c>
      <c r="EP105" s="622">
        <v>105.319</v>
      </c>
      <c r="EQ105" s="622">
        <v>367.92399999999998</v>
      </c>
      <c r="ER105" s="622">
        <v>20.998999999999999</v>
      </c>
      <c r="ES105" s="622">
        <v>448.86200000000002</v>
      </c>
      <c r="ET105" s="622">
        <v>252.55699999999999</v>
      </c>
      <c r="EU105" s="622">
        <f>49.295/2.4</f>
        <v>20.539583333333336</v>
      </c>
      <c r="EV105" s="622">
        <f>268.845*2</f>
        <v>537.69000000000005</v>
      </c>
      <c r="EW105" s="622">
        <f>68.473/1.5</f>
        <v>45.648666666666664</v>
      </c>
      <c r="EX105" s="622">
        <f>49.295/2.4*2</f>
        <v>41.079166666666673</v>
      </c>
      <c r="EY105" s="622">
        <v>17.59</v>
      </c>
      <c r="EZ105" s="622">
        <f>295.195*1.5</f>
        <v>442.79250000000002</v>
      </c>
      <c r="FA105" s="622">
        <v>423.11</v>
      </c>
      <c r="FB105" s="622">
        <v>90.302000000000007</v>
      </c>
      <c r="FC105" s="622">
        <f>5.218/1.2*0.6</f>
        <v>2.609</v>
      </c>
      <c r="FD105" s="622">
        <f>69.179/0.9*0.6</f>
        <v>46.119333333333337</v>
      </c>
      <c r="FE105" s="622">
        <v>554.68399999999997</v>
      </c>
      <c r="FF105" s="622">
        <f>487.213*2</f>
        <v>974.42600000000004</v>
      </c>
      <c r="FG105" s="622">
        <f>339.914*2</f>
        <v>679.82799999999997</v>
      </c>
      <c r="FH105" s="622">
        <f>559.472*1.5</f>
        <v>839.20799999999997</v>
      </c>
      <c r="FI105" s="541"/>
      <c r="FJ105" s="541"/>
      <c r="FK105" s="540"/>
      <c r="FL105" s="622"/>
      <c r="FM105" s="622"/>
      <c r="FN105" s="622"/>
      <c r="FO105" s="622"/>
      <c r="FP105" s="622"/>
      <c r="FQ105" s="622"/>
      <c r="FR105" s="622"/>
      <c r="FS105" s="622"/>
      <c r="FT105" s="622"/>
      <c r="FU105" s="622"/>
      <c r="FV105" s="622"/>
      <c r="FW105" s="622"/>
      <c r="FX105" s="622"/>
      <c r="FZ105" s="534"/>
      <c r="GA105" s="534"/>
      <c r="GB105" s="540"/>
      <c r="GC105" s="540"/>
      <c r="GD105" s="540"/>
      <c r="GO105" s="535"/>
      <c r="GP105" s="167"/>
    </row>
    <row r="106" spans="1:198" x14ac:dyDescent="0.3">
      <c r="A106" s="533" t="s">
        <v>163</v>
      </c>
      <c r="B106" s="534"/>
      <c r="C106" s="534"/>
      <c r="D106" s="536"/>
      <c r="E106" s="534"/>
      <c r="F106" s="534"/>
      <c r="G106" s="534"/>
      <c r="H106" s="538"/>
      <c r="I106" s="538"/>
      <c r="J106" s="539"/>
      <c r="K106" s="540">
        <f t="shared" ref="K106:L106" si="57">SUM(K9:K105)/K8</f>
        <v>1007.9989999999999</v>
      </c>
      <c r="L106" s="540">
        <f t="shared" si="57"/>
        <v>1007.9989999999998</v>
      </c>
      <c r="M106" s="540">
        <f>SUM(M9:M105)/M8</f>
        <v>1008.001</v>
      </c>
      <c r="N106" s="540">
        <f t="shared" ref="N106" si="58">SUM(N9:N105)/N8</f>
        <v>1007.9989999999998</v>
      </c>
      <c r="O106" s="540">
        <f t="shared" ref="O106" si="59">SUM(O9:O105)/O8</f>
        <v>1008.0000000000001</v>
      </c>
      <c r="P106" s="540">
        <f t="shared" ref="P106:AO106" si="60">SUM(P9:P105)/P8</f>
        <v>1007.9989999999999</v>
      </c>
      <c r="Q106" s="540">
        <f t="shared" si="60"/>
        <v>1007.999</v>
      </c>
      <c r="R106" s="540">
        <f t="shared" si="60"/>
        <v>1008.0000000000001</v>
      </c>
      <c r="S106" s="540">
        <f t="shared" si="60"/>
        <v>1008.0000000000003</v>
      </c>
      <c r="T106" s="540">
        <f t="shared" si="60"/>
        <v>1008.0000000000001</v>
      </c>
      <c r="U106" s="540">
        <f t="shared" si="60"/>
        <v>1008</v>
      </c>
      <c r="V106" s="540">
        <f t="shared" si="60"/>
        <v>1007.998</v>
      </c>
      <c r="W106" s="540">
        <f t="shared" si="60"/>
        <v>1008.0010000000001</v>
      </c>
      <c r="X106" s="540">
        <f t="shared" si="60"/>
        <v>1008.0000000000001</v>
      </c>
      <c r="Y106" s="540">
        <f t="shared" si="60"/>
        <v>1007.9983333333336</v>
      </c>
      <c r="Z106" s="540">
        <f t="shared" si="60"/>
        <v>1008.0009999999999</v>
      </c>
      <c r="AA106" s="540">
        <f t="shared" si="60"/>
        <v>1008</v>
      </c>
      <c r="AB106" s="540">
        <f t="shared" si="60"/>
        <v>1008</v>
      </c>
      <c r="AC106" s="540">
        <f t="shared" si="60"/>
        <v>1008</v>
      </c>
      <c r="AD106" s="540">
        <f t="shared" si="60"/>
        <v>1007.9999999999999</v>
      </c>
      <c r="AE106" s="540">
        <f t="shared" si="60"/>
        <v>1008</v>
      </c>
      <c r="AF106" s="540">
        <f t="shared" si="60"/>
        <v>1008.0000000000001</v>
      </c>
      <c r="AG106" s="540">
        <f t="shared" si="60"/>
        <v>1007.9966666666668</v>
      </c>
      <c r="AH106" s="540">
        <f t="shared" si="60"/>
        <v>1008.0503333333331</v>
      </c>
      <c r="AI106" s="540">
        <f t="shared" si="60"/>
        <v>1008.0020000000001</v>
      </c>
      <c r="AJ106" s="540">
        <f t="shared" si="60"/>
        <v>1007.9999999999999</v>
      </c>
      <c r="AK106" s="540">
        <f t="shared" si="60"/>
        <v>1008.002</v>
      </c>
      <c r="AL106" s="540">
        <f t="shared" si="60"/>
        <v>1007.9999999999999</v>
      </c>
      <c r="AM106" s="540">
        <f t="shared" si="60"/>
        <v>1007.9949999999999</v>
      </c>
      <c r="AN106" s="540">
        <f t="shared" si="60"/>
        <v>1008.0033333333334</v>
      </c>
      <c r="AO106" s="540">
        <f t="shared" si="60"/>
        <v>1008.0001818181817</v>
      </c>
      <c r="AP106" s="540">
        <f>SUM(AP9:AP105)/AP8</f>
        <v>1008.0000000000001</v>
      </c>
      <c r="AQ106" s="540">
        <f t="shared" ref="AQ106:AR106" si="61">SUM(AQ9:AQ105)/AQ8</f>
        <v>1007.9999999999999</v>
      </c>
      <c r="AR106" s="540">
        <f t="shared" si="61"/>
        <v>1008</v>
      </c>
      <c r="AS106" s="540">
        <f>SUM(AS9:AS105)/AS8</f>
        <v>1008</v>
      </c>
      <c r="AT106" s="540">
        <f>SUM(AT9:AT105)/AT8</f>
        <v>1007.9997000000002</v>
      </c>
      <c r="AU106" s="540">
        <f t="shared" ref="AU106" si="62">SUM(AU9:AU105)/AU8</f>
        <v>1007.998</v>
      </c>
      <c r="AV106" s="540">
        <f t="shared" ref="AV106:AW106" si="63">SUM(AV9:AV105)/AV8</f>
        <v>1007.9979999999999</v>
      </c>
      <c r="AW106" s="540">
        <f t="shared" si="63"/>
        <v>1007.9999999999997</v>
      </c>
      <c r="AX106" s="540">
        <f t="shared" ref="AX106:BF106" si="64">SUM(AX9:AX105)/AX8</f>
        <v>1007.9999999999999</v>
      </c>
      <c r="AY106" s="540">
        <f t="shared" si="64"/>
        <v>1008</v>
      </c>
      <c r="AZ106" s="540">
        <f t="shared" si="64"/>
        <v>1008</v>
      </c>
      <c r="BA106" s="540">
        <f t="shared" si="64"/>
        <v>1007.9957142857145</v>
      </c>
      <c r="BB106" s="540">
        <f t="shared" si="64"/>
        <v>1008.0000000000001</v>
      </c>
      <c r="BC106" s="540">
        <f t="shared" si="64"/>
        <v>1007.9999999999998</v>
      </c>
      <c r="BD106" s="540">
        <f t="shared" si="64"/>
        <v>1008.01</v>
      </c>
      <c r="BE106" s="540">
        <f t="shared" si="64"/>
        <v>1007.9989999999998</v>
      </c>
      <c r="BF106" s="540">
        <f t="shared" si="64"/>
        <v>1007.9999999999999</v>
      </c>
      <c r="BG106" s="541"/>
      <c r="BH106" s="541"/>
      <c r="BI106" s="540">
        <f t="shared" ref="BI106" si="65">SUM(BI9:BI105)/BI8</f>
        <v>1007.9983333333333</v>
      </c>
      <c r="BJ106" s="540">
        <f>SUM(BJ9:BJ105)/BJ8</f>
        <v>1008.004</v>
      </c>
      <c r="BK106" s="540">
        <f t="shared" ref="BK106" si="66">SUM(BK9:BK105)/BK8</f>
        <v>1007.9999999999998</v>
      </c>
      <c r="BL106" s="540">
        <f t="shared" ref="BL106" si="67">SUM(BL9:BL105)/BL8</f>
        <v>1008.01</v>
      </c>
      <c r="BM106" s="540">
        <f t="shared" ref="BM106:CD106" si="68">SUM(BM9:BM105)/BM8</f>
        <v>1008</v>
      </c>
      <c r="BN106" s="540">
        <f t="shared" si="68"/>
        <v>1008.0000000000002</v>
      </c>
      <c r="BO106" s="540">
        <f t="shared" si="68"/>
        <v>1008.0009999999999</v>
      </c>
      <c r="BP106" s="540">
        <f t="shared" si="68"/>
        <v>1008</v>
      </c>
      <c r="BQ106" s="540">
        <f t="shared" si="68"/>
        <v>1007.9966666666667</v>
      </c>
      <c r="BR106" s="540">
        <f t="shared" si="68"/>
        <v>1007.9989999999997</v>
      </c>
      <c r="BS106" s="540">
        <f t="shared" si="68"/>
        <v>1008.0006666666665</v>
      </c>
      <c r="BT106" s="540">
        <f t="shared" si="68"/>
        <v>1007.9995</v>
      </c>
      <c r="BU106" s="540">
        <f t="shared" si="68"/>
        <v>1007.9999999999999</v>
      </c>
      <c r="BV106" s="540">
        <f t="shared" si="68"/>
        <v>1008.0006666666667</v>
      </c>
      <c r="BW106" s="540">
        <f t="shared" si="68"/>
        <v>1008</v>
      </c>
      <c r="BX106" s="540">
        <f t="shared" si="68"/>
        <v>1007.999</v>
      </c>
      <c r="BY106" s="540">
        <f t="shared" si="68"/>
        <v>1008.0020000000002</v>
      </c>
      <c r="BZ106" s="540">
        <f t="shared" si="68"/>
        <v>1007.9999999999998</v>
      </c>
      <c r="CA106" s="540">
        <f t="shared" si="68"/>
        <v>1008.0000000000002</v>
      </c>
      <c r="CB106" s="540">
        <f t="shared" si="68"/>
        <v>1008</v>
      </c>
      <c r="CC106" s="540">
        <f t="shared" si="68"/>
        <v>1008.0004166666666</v>
      </c>
      <c r="CD106" s="540">
        <f t="shared" si="68"/>
        <v>1008.0033333333334</v>
      </c>
      <c r="CE106" s="540">
        <f>SUM(CE9:CE105)/CE8</f>
        <v>1008</v>
      </c>
      <c r="CF106" s="540">
        <f>SUM(CF9:CF105)/CF8</f>
        <v>1008.0019999999998</v>
      </c>
      <c r="CG106" s="540">
        <f t="shared" ref="CG106" si="69">SUM(CG9:CG105)/CG8</f>
        <v>1008.0006666666667</v>
      </c>
      <c r="CH106" s="540">
        <f t="shared" ref="CH106" si="70">SUM(CH9:CH105)/CH8</f>
        <v>1008</v>
      </c>
      <c r="CI106" s="540">
        <f>SUM(CI9:CI105)/CI8</f>
        <v>1008.000625</v>
      </c>
      <c r="CJ106" s="540">
        <f>SUM(CJ9:CJ105)/CJ8</f>
        <v>1008</v>
      </c>
      <c r="CK106" s="540">
        <f t="shared" ref="CK106" si="71">SUM(CK9:CK105)/CK8</f>
        <v>1007.9989999999998</v>
      </c>
      <c r="CL106" s="540">
        <f t="shared" ref="CL106" si="72">SUM(CL9:CL105)/CL8</f>
        <v>1008.0006666666665</v>
      </c>
      <c r="CM106" s="540">
        <f>SUM(CM9:CM105)/CM8</f>
        <v>1008.0006666666669</v>
      </c>
      <c r="CN106" s="540">
        <f>SUM(CN9:CN105)/CN8</f>
        <v>1008.003</v>
      </c>
      <c r="CO106" s="540">
        <f t="shared" ref="CO106" si="73">SUM(CO9:CO105)/CO8</f>
        <v>1008.0000000000002</v>
      </c>
      <c r="CP106" s="540">
        <f t="shared" ref="CP106" si="74">SUM(CP9:CP105)/CP8</f>
        <v>1007.999</v>
      </c>
      <c r="CQ106" s="540">
        <f t="shared" ref="CQ106" si="75">SUM(CQ9:CQ105)/CQ8</f>
        <v>1007.9989999999998</v>
      </c>
      <c r="CR106" s="541"/>
      <c r="CS106" s="541"/>
      <c r="CT106" s="540">
        <f>SUM(CT9:CT105)/CT8</f>
        <v>1008.0002000000001</v>
      </c>
      <c r="CU106" s="540">
        <f>SUM(CU9:CU105)/CU8</f>
        <v>1008.0002000000001</v>
      </c>
      <c r="CV106" s="540">
        <f t="shared" ref="CV106" si="76">SUM(CV9:CV105)/CV8</f>
        <v>1007.9999999999999</v>
      </c>
      <c r="CW106" s="540">
        <f t="shared" ref="CW106" si="77">SUM(CW9:CW105)/CW8</f>
        <v>1007.9999999999999</v>
      </c>
      <c r="CX106" s="540">
        <f t="shared" ref="CX106:DT106" si="78">SUM(CX9:CX105)/CX8</f>
        <v>1007.999</v>
      </c>
      <c r="CY106" s="540">
        <f t="shared" si="78"/>
        <v>1007.999</v>
      </c>
      <c r="CZ106" s="540">
        <f t="shared" si="78"/>
        <v>1008</v>
      </c>
      <c r="DA106" s="540">
        <f t="shared" si="78"/>
        <v>1008.0001333333336</v>
      </c>
      <c r="DB106" s="540">
        <f t="shared" si="78"/>
        <v>1008.0001333333335</v>
      </c>
      <c r="DC106" s="540">
        <f t="shared" si="78"/>
        <v>1007.9999999999999</v>
      </c>
      <c r="DD106" s="540">
        <f t="shared" si="78"/>
        <v>1008.002</v>
      </c>
      <c r="DE106" s="540">
        <f t="shared" si="78"/>
        <v>1008.0009999999997</v>
      </c>
      <c r="DF106" s="540">
        <f t="shared" si="78"/>
        <v>1008.0000000000001</v>
      </c>
      <c r="DG106" s="540">
        <f t="shared" si="78"/>
        <v>1007.999</v>
      </c>
      <c r="DH106" s="540">
        <f t="shared" si="78"/>
        <v>1007.999</v>
      </c>
      <c r="DI106" s="540">
        <f t="shared" si="78"/>
        <v>1007.9999999999999</v>
      </c>
      <c r="DJ106" s="540">
        <f t="shared" si="78"/>
        <v>1008.0000000000001</v>
      </c>
      <c r="DK106" s="540">
        <f t="shared" si="78"/>
        <v>1008</v>
      </c>
      <c r="DL106" s="540">
        <f t="shared" si="78"/>
        <v>1008.0020000000001</v>
      </c>
      <c r="DM106" s="540">
        <f t="shared" si="78"/>
        <v>1007.9999999999997</v>
      </c>
      <c r="DN106" s="540">
        <f t="shared" si="78"/>
        <v>1008.0033333333334</v>
      </c>
      <c r="DO106" s="540">
        <f t="shared" si="78"/>
        <v>1007.9999999999999</v>
      </c>
      <c r="DP106" s="540">
        <f t="shared" si="78"/>
        <v>1007.9999999999999</v>
      </c>
      <c r="DQ106" s="540">
        <f t="shared" si="78"/>
        <v>1008.0001333333332</v>
      </c>
      <c r="DR106" s="540">
        <f t="shared" si="78"/>
        <v>1007.9990000000001</v>
      </c>
      <c r="DS106" s="540">
        <f t="shared" si="78"/>
        <v>1007.9933333333331</v>
      </c>
      <c r="DT106" s="540">
        <f t="shared" si="78"/>
        <v>1007.9988888888888</v>
      </c>
      <c r="DU106" s="540">
        <f>SUM(DU9:DU105)/DU8</f>
        <v>1008.001</v>
      </c>
      <c r="DV106" s="540">
        <f>SUM(DV9:DV105)/DV8</f>
        <v>1008.0020000000001</v>
      </c>
      <c r="DW106" s="540">
        <f>SUM(DW9:DW105)/DW8</f>
        <v>1008.001</v>
      </c>
      <c r="DX106" s="540">
        <f>SUM(DX9:DX105)/DX8</f>
        <v>1008</v>
      </c>
      <c r="DY106" s="540">
        <f t="shared" ref="DY106" si="79">SUM(DY9:DY105)/DY8</f>
        <v>1007.9989999999998</v>
      </c>
      <c r="DZ106" s="540">
        <f t="shared" ref="DZ106" si="80">SUM(DZ9:DZ105)/DZ8</f>
        <v>1008</v>
      </c>
      <c r="EA106" s="540">
        <f t="shared" ref="EA106:EB106" si="81">SUM(EA9:EA105)/EA8</f>
        <v>1007.9999999999999</v>
      </c>
      <c r="EB106" s="540">
        <f t="shared" si="81"/>
        <v>1007.999</v>
      </c>
      <c r="EC106" s="540">
        <f>SUM(EC9:EC105)/EC8</f>
        <v>1008</v>
      </c>
      <c r="ED106" s="540">
        <f>SUM(ED9:ED105)/ED8</f>
        <v>1008.0022222222224</v>
      </c>
      <c r="EE106" s="540">
        <f t="shared" ref="EE106" si="82">SUM(EE9:EE105)/EE8</f>
        <v>1007.9989999999999</v>
      </c>
      <c r="EF106" s="540">
        <f t="shared" ref="EF106:EH106" si="83">SUM(EF9:EF105)/EF8</f>
        <v>1007.999</v>
      </c>
      <c r="EG106" s="540">
        <f t="shared" si="83"/>
        <v>1008.0009999999999</v>
      </c>
      <c r="EH106" s="540">
        <f t="shared" si="83"/>
        <v>1007.9999999999998</v>
      </c>
      <c r="EI106" s="540">
        <f t="shared" ref="EI106:EW106" si="84">SUM(EI9:EI105)/EI8</f>
        <v>1007.9999999999999</v>
      </c>
      <c r="EJ106" s="540">
        <f t="shared" si="84"/>
        <v>1008</v>
      </c>
      <c r="EK106" s="540">
        <f t="shared" si="84"/>
        <v>1007.999</v>
      </c>
      <c r="EL106" s="540">
        <f t="shared" si="84"/>
        <v>1008.0009999999997</v>
      </c>
      <c r="EM106" s="540">
        <f t="shared" si="84"/>
        <v>1008.0010000000001</v>
      </c>
      <c r="EN106" s="540">
        <f t="shared" si="84"/>
        <v>1008.0009999999997</v>
      </c>
      <c r="EO106" s="540">
        <f t="shared" si="84"/>
        <v>1008.0000000000001</v>
      </c>
      <c r="EP106" s="540">
        <f t="shared" si="84"/>
        <v>1008.0000000000001</v>
      </c>
      <c r="EQ106" s="540">
        <f t="shared" si="84"/>
        <v>1008.001</v>
      </c>
      <c r="ER106" s="540">
        <f t="shared" si="84"/>
        <v>1007.9999999999999</v>
      </c>
      <c r="ES106" s="540">
        <f t="shared" si="84"/>
        <v>1007.9996666666665</v>
      </c>
      <c r="ET106" s="540">
        <f t="shared" si="84"/>
        <v>1007.9989999999999</v>
      </c>
      <c r="EU106" s="540">
        <f t="shared" si="84"/>
        <v>1008.0000000000002</v>
      </c>
      <c r="EV106" s="540">
        <f t="shared" si="84"/>
        <v>1008.0010000000001</v>
      </c>
      <c r="EW106" s="540">
        <f t="shared" si="84"/>
        <v>1008.0013333333333</v>
      </c>
      <c r="EX106" s="540">
        <f t="shared" ref="EX106" si="85">SUM(EX9:EX105)/EX8</f>
        <v>1008.0000000000002</v>
      </c>
      <c r="EY106" s="540">
        <f>SUM(EY9:EY105)/EY8</f>
        <v>1008.0009999999999</v>
      </c>
      <c r="EZ106" s="540">
        <f>SUM(EZ9:EZ105)/EZ8</f>
        <v>1007.9989999999999</v>
      </c>
      <c r="FA106" s="540">
        <f>SUM(FA9:FA105)/FA8</f>
        <v>1008.0004166666668</v>
      </c>
      <c r="FB106" s="540">
        <f t="shared" ref="FB106" si="86">SUM(FB9:FB105)/FB8</f>
        <v>1008.0005882352939</v>
      </c>
      <c r="FC106" s="540">
        <f>SUM(FC9:FC105)/FC8</f>
        <v>1007.9975000000002</v>
      </c>
      <c r="FD106" s="540">
        <f>SUM(FD9:FD105)/FD8</f>
        <v>1007.9977777777776</v>
      </c>
      <c r="FE106" s="540">
        <f t="shared" ref="FE106" si="87">SUM(FE9:FE105)/FE8</f>
        <v>1008.0025000000001</v>
      </c>
      <c r="FF106" s="540">
        <f>SUM(FF9:FF105)/FF8</f>
        <v>1007.9970000000001</v>
      </c>
      <c r="FG106" s="540">
        <f t="shared" ref="FG106:FH106" si="88">SUM(FG9:FG105)/FG8</f>
        <v>1007.999</v>
      </c>
      <c r="FH106" s="540">
        <f t="shared" si="88"/>
        <v>1007.9989999999998</v>
      </c>
      <c r="FI106" s="541"/>
      <c r="FJ106" s="541"/>
      <c r="FK106" s="540"/>
      <c r="FL106" s="540"/>
      <c r="FM106" s="540"/>
      <c r="FN106" s="540"/>
      <c r="FO106" s="540"/>
      <c r="FP106" s="540"/>
      <c r="FQ106" s="540"/>
      <c r="FR106" s="540" t="e">
        <f t="shared" ref="FR106:FW106" si="89">SUM(FR9:FR105)/FR8</f>
        <v>#DIV/0!</v>
      </c>
      <c r="FS106" s="540" t="e">
        <f t="shared" si="89"/>
        <v>#DIV/0!</v>
      </c>
      <c r="FT106" s="540" t="e">
        <f t="shared" si="89"/>
        <v>#DIV/0!</v>
      </c>
      <c r="FU106" s="540" t="e">
        <f t="shared" si="89"/>
        <v>#DIV/0!</v>
      </c>
      <c r="FV106" s="540" t="e">
        <f t="shared" si="89"/>
        <v>#DIV/0!</v>
      </c>
      <c r="FW106" s="540" t="e">
        <f t="shared" si="89"/>
        <v>#DIV/0!</v>
      </c>
      <c r="FX106" s="540" t="e">
        <f t="shared" ref="FX106" si="90">SUM(FX9:FX105)/FX8</f>
        <v>#DIV/0!</v>
      </c>
      <c r="FZ106" s="540"/>
      <c r="GA106" s="540"/>
      <c r="GB106" s="540"/>
      <c r="GC106" s="540"/>
      <c r="GD106" s="540" t="e">
        <f>SUM(GD9:GD105)/GD8</f>
        <v>#DIV/0!</v>
      </c>
      <c r="GE106" s="540"/>
      <c r="GO106" s="535"/>
    </row>
    <row r="107" spans="1:198" ht="15" thickBot="1" x14ac:dyDescent="0.35">
      <c r="A107" s="114"/>
      <c r="B107" s="457"/>
      <c r="C107" s="457"/>
      <c r="D107" s="594"/>
      <c r="E107" s="457"/>
      <c r="F107" s="457"/>
      <c r="G107" s="457"/>
      <c r="H107" s="321"/>
      <c r="I107" s="118"/>
      <c r="J107" s="18"/>
      <c r="K107" s="459"/>
      <c r="L107" s="459"/>
      <c r="M107" s="459"/>
      <c r="N107" s="459"/>
      <c r="O107" s="459"/>
      <c r="P107" s="459"/>
      <c r="Q107" s="459"/>
      <c r="R107" s="459"/>
      <c r="S107" s="459"/>
      <c r="T107" s="459"/>
      <c r="U107" s="459"/>
      <c r="V107" s="459"/>
      <c r="W107" s="459"/>
      <c r="X107" s="459"/>
      <c r="Y107" s="459"/>
      <c r="Z107" s="459"/>
      <c r="AA107" s="459"/>
      <c r="AB107" s="459"/>
      <c r="AC107" s="459"/>
      <c r="AD107" s="459"/>
      <c r="AE107" s="459"/>
      <c r="AF107" s="459"/>
      <c r="AG107" s="459"/>
      <c r="AH107" s="459"/>
      <c r="AI107" s="459"/>
      <c r="AJ107" s="459"/>
      <c r="AK107" s="459"/>
      <c r="AL107" s="459"/>
      <c r="AM107" s="459"/>
      <c r="AN107" s="459"/>
      <c r="AO107" s="459"/>
      <c r="AP107" s="459"/>
      <c r="AQ107" s="459"/>
      <c r="AR107" s="459"/>
      <c r="AS107" s="459"/>
      <c r="AT107" s="459"/>
      <c r="AU107" s="459"/>
      <c r="AV107" s="459"/>
      <c r="AW107" s="459"/>
      <c r="AX107" s="459"/>
      <c r="AY107" s="459"/>
      <c r="AZ107" s="459"/>
      <c r="BA107" s="459"/>
      <c r="BB107" s="459"/>
      <c r="BC107" s="459"/>
      <c r="BD107" s="459"/>
      <c r="BE107" s="459"/>
      <c r="BF107" s="459"/>
      <c r="BG107" s="465"/>
      <c r="BH107" s="463"/>
      <c r="BI107" s="459"/>
      <c r="BJ107" s="459"/>
      <c r="BK107" s="459"/>
      <c r="BL107" s="459"/>
      <c r="BM107" s="459"/>
      <c r="BN107" s="459"/>
      <c r="BO107" s="459"/>
      <c r="BP107" s="459"/>
      <c r="BQ107" s="459"/>
      <c r="BR107" s="459"/>
      <c r="BS107" s="459"/>
      <c r="BT107" s="459"/>
      <c r="BU107" s="459"/>
      <c r="BV107" s="459"/>
      <c r="BW107" s="459"/>
      <c r="BX107" s="459"/>
      <c r="BY107" s="459"/>
      <c r="BZ107" s="459"/>
      <c r="CA107" s="459"/>
      <c r="CB107" s="459"/>
      <c r="CC107" s="459"/>
      <c r="CD107" s="459"/>
      <c r="CE107" s="459"/>
      <c r="CF107" s="459"/>
      <c r="CG107" s="459"/>
      <c r="CH107" s="459"/>
      <c r="CI107" s="459"/>
      <c r="CJ107" s="459"/>
      <c r="CK107" s="459"/>
      <c r="CL107" s="459"/>
      <c r="CM107" s="459"/>
      <c r="CN107" s="459"/>
      <c r="CO107" s="459"/>
      <c r="CP107" s="459"/>
      <c r="CQ107" s="459"/>
      <c r="CR107" s="463"/>
      <c r="CS107" s="463"/>
      <c r="CT107" s="459"/>
      <c r="CU107" s="459"/>
      <c r="CV107" s="459"/>
      <c r="CW107" s="459"/>
      <c r="CX107" s="459"/>
      <c r="CY107" s="459"/>
      <c r="CZ107" s="459"/>
      <c r="DA107" s="459"/>
      <c r="DB107" s="459"/>
      <c r="DC107" s="459"/>
      <c r="DD107" s="459"/>
      <c r="DE107" s="459"/>
      <c r="DF107" s="459"/>
      <c r="DG107" s="459"/>
      <c r="DH107" s="459"/>
      <c r="DI107" s="459"/>
      <c r="DJ107" s="459"/>
      <c r="DK107" s="459"/>
      <c r="DL107" s="459"/>
      <c r="DM107" s="459"/>
      <c r="DN107" s="459"/>
      <c r="DO107" s="459"/>
      <c r="DP107" s="459"/>
      <c r="DQ107" s="459"/>
      <c r="DR107" s="459"/>
      <c r="DS107" s="459"/>
      <c r="DT107" s="459"/>
      <c r="DX107" s="459"/>
      <c r="DY107" s="459"/>
      <c r="DZ107" s="459"/>
      <c r="EA107" s="459"/>
      <c r="EB107" s="459"/>
      <c r="EC107" s="459"/>
      <c r="ED107" s="459"/>
      <c r="EE107" s="459"/>
      <c r="EF107" s="459"/>
      <c r="EG107" s="459"/>
      <c r="EH107" s="459"/>
      <c r="EI107" s="459"/>
      <c r="EJ107" s="459"/>
      <c r="EK107" s="459"/>
      <c r="EL107" s="459"/>
      <c r="EM107" s="459"/>
      <c r="EN107" s="459"/>
      <c r="EO107" s="459"/>
      <c r="EP107" s="459"/>
      <c r="EQ107" s="459"/>
      <c r="ER107" s="459"/>
      <c r="ES107" s="459"/>
      <c r="ET107" s="459"/>
      <c r="EU107" s="459"/>
      <c r="EV107" s="459"/>
      <c r="EW107" s="459"/>
      <c r="EX107" s="459"/>
      <c r="EY107" s="459"/>
      <c r="EZ107" s="459"/>
      <c r="FA107" s="459"/>
      <c r="FB107" s="459"/>
      <c r="FC107" s="459"/>
      <c r="FD107" s="459"/>
      <c r="FE107" s="459"/>
      <c r="FF107" s="459"/>
      <c r="FG107" s="459"/>
      <c r="FH107" s="459"/>
      <c r="FI107" s="463"/>
      <c r="FJ107" s="463"/>
      <c r="FK107" s="459"/>
      <c r="FL107" s="459"/>
      <c r="FM107" s="459"/>
      <c r="FN107" s="459"/>
      <c r="FO107" s="459"/>
      <c r="FP107" s="459"/>
      <c r="FQ107" s="459"/>
      <c r="FR107" s="459"/>
      <c r="FS107" s="459"/>
      <c r="FT107" s="459"/>
      <c r="FU107" s="459"/>
      <c r="FV107" s="459"/>
      <c r="FW107" s="459"/>
      <c r="FX107" s="459"/>
      <c r="GD107"/>
      <c r="GO107" s="22"/>
    </row>
    <row r="108" spans="1:198" ht="15" thickBot="1" x14ac:dyDescent="0.35">
      <c r="A108" s="114"/>
      <c r="B108" s="114"/>
      <c r="C108" s="114"/>
      <c r="D108" s="509"/>
      <c r="E108" s="114"/>
      <c r="F108" s="114"/>
      <c r="G108" s="114"/>
      <c r="H108" s="415" t="s">
        <v>67</v>
      </c>
      <c r="I108" s="416" t="s">
        <v>66</v>
      </c>
      <c r="J108" s="18"/>
      <c r="K108" s="458"/>
      <c r="L108" s="458"/>
      <c r="M108" s="176"/>
      <c r="N108" s="458"/>
      <c r="O108" s="176"/>
      <c r="P108" s="458"/>
      <c r="Q108" s="458"/>
      <c r="R108" s="458"/>
      <c r="S108" s="176"/>
      <c r="T108" s="176"/>
      <c r="U108" s="176"/>
      <c r="V108" s="176"/>
      <c r="W108" s="176"/>
      <c r="X108" s="176"/>
      <c r="Y108" s="176"/>
      <c r="Z108" s="458"/>
      <c r="AA108" s="458"/>
      <c r="AB108" s="458"/>
      <c r="AC108" s="458"/>
      <c r="AD108" s="458"/>
      <c r="AE108" s="176"/>
      <c r="AF108" s="458"/>
      <c r="AG108" s="176"/>
      <c r="AH108" s="458"/>
      <c r="AI108" s="458"/>
      <c r="AJ108" s="458"/>
      <c r="AK108" s="458"/>
      <c r="AL108" s="458"/>
      <c r="AM108" s="458"/>
      <c r="AN108" s="458"/>
      <c r="AO108" s="458"/>
      <c r="AP108" s="458"/>
      <c r="AQ108" s="458"/>
      <c r="AR108" s="458"/>
      <c r="AS108" s="458"/>
      <c r="AT108" s="458"/>
      <c r="AU108" s="458"/>
      <c r="AV108" s="458"/>
      <c r="AW108" s="458"/>
      <c r="AX108" s="458"/>
      <c r="AY108" s="458"/>
      <c r="AZ108" s="458"/>
      <c r="BA108" s="458"/>
      <c r="BB108" s="458"/>
      <c r="BC108" s="458"/>
      <c r="BD108" s="458"/>
      <c r="BE108" s="458"/>
      <c r="BF108" s="458"/>
      <c r="BG108" s="465"/>
      <c r="BH108" s="463"/>
      <c r="BI108" s="176"/>
      <c r="BJ108" s="176"/>
      <c r="BK108" s="458"/>
      <c r="BL108" s="458"/>
      <c r="BM108" s="176"/>
      <c r="BN108" s="458"/>
      <c r="BO108" s="458"/>
      <c r="BP108" s="458"/>
      <c r="BQ108" s="176"/>
      <c r="BR108" s="458"/>
      <c r="BS108" s="458"/>
      <c r="BT108" s="458"/>
      <c r="BU108" s="458"/>
      <c r="BV108" s="458"/>
      <c r="BW108" s="458"/>
      <c r="BX108" s="458"/>
      <c r="BY108" s="458"/>
      <c r="BZ108" s="458"/>
      <c r="CA108" s="458"/>
      <c r="CB108" s="176"/>
      <c r="CC108" s="458"/>
      <c r="CD108" s="458"/>
      <c r="CE108" s="176"/>
      <c r="CF108" s="458"/>
      <c r="CG108" s="458"/>
      <c r="CH108" s="458"/>
      <c r="CI108" s="458"/>
      <c r="CJ108" s="458"/>
      <c r="CK108" s="458"/>
      <c r="CL108" s="458"/>
      <c r="CM108" s="458"/>
      <c r="CN108" s="458"/>
      <c r="CO108" s="458"/>
      <c r="CP108" s="458"/>
      <c r="CQ108" s="458"/>
      <c r="CR108" s="463"/>
      <c r="CS108" s="463"/>
      <c r="CT108" s="458"/>
      <c r="CU108" s="458"/>
      <c r="CV108" s="458"/>
      <c r="CW108" s="458"/>
      <c r="CX108" s="458"/>
      <c r="CY108" s="458"/>
      <c r="CZ108" s="458"/>
      <c r="DA108" s="458"/>
      <c r="DB108" s="458"/>
      <c r="DC108" s="458"/>
      <c r="DD108" s="458"/>
      <c r="DE108" s="458"/>
      <c r="DF108" s="458"/>
      <c r="DG108" s="458"/>
      <c r="DH108" s="458"/>
      <c r="DI108" s="458"/>
      <c r="DJ108" s="458"/>
      <c r="DK108" s="458"/>
      <c r="DL108" s="458"/>
      <c r="DM108" s="458"/>
      <c r="DN108" s="458"/>
      <c r="DO108" s="458"/>
      <c r="DP108" s="458"/>
      <c r="DQ108" s="458"/>
      <c r="DR108" s="458"/>
      <c r="DS108" s="458"/>
      <c r="DT108" s="458"/>
      <c r="DU108" s="176"/>
      <c r="DV108" s="176"/>
      <c r="DW108" s="176"/>
      <c r="DX108" s="176"/>
      <c r="DY108" s="458"/>
      <c r="DZ108" s="458"/>
      <c r="EA108" s="458"/>
      <c r="EB108" s="458"/>
      <c r="EC108" s="458"/>
      <c r="ED108" s="458"/>
      <c r="EE108" s="458"/>
      <c r="EF108" s="458"/>
      <c r="EG108" s="458"/>
      <c r="EH108" s="458"/>
      <c r="EI108" s="458"/>
      <c r="EJ108" s="458"/>
      <c r="EK108" s="458"/>
      <c r="EL108" s="458"/>
      <c r="EM108" s="458"/>
      <c r="EN108" s="458"/>
      <c r="EO108" s="176"/>
      <c r="EP108" s="458"/>
      <c r="EQ108" s="458"/>
      <c r="ER108" s="458"/>
      <c r="ES108" s="458"/>
      <c r="ET108" s="458"/>
      <c r="EU108" s="458"/>
      <c r="EV108" s="458"/>
      <c r="EW108" s="458"/>
      <c r="EX108" s="458"/>
      <c r="EY108" s="458"/>
      <c r="EZ108" s="458"/>
      <c r="FA108" s="458"/>
      <c r="FB108" s="458"/>
      <c r="FC108" s="458"/>
      <c r="FD108" s="458"/>
      <c r="FE108" s="458"/>
      <c r="FF108" s="458"/>
      <c r="FG108" s="458"/>
      <c r="FH108" s="458"/>
      <c r="FI108" s="463"/>
      <c r="FJ108" s="463"/>
      <c r="FK108" s="176"/>
      <c r="FL108" s="458"/>
      <c r="FM108" s="458"/>
      <c r="FN108" s="458"/>
      <c r="FO108" s="458"/>
      <c r="FP108" s="458"/>
      <c r="FQ108" s="458"/>
      <c r="FR108" s="458"/>
      <c r="FS108" s="458"/>
      <c r="FT108" s="458"/>
      <c r="FU108" s="458"/>
      <c r="FV108" s="458"/>
      <c r="FW108" s="458"/>
      <c r="FX108" s="458"/>
      <c r="FY108" s="176"/>
      <c r="FZ108" s="176"/>
      <c r="GA108" s="176"/>
      <c r="GB108" s="176"/>
      <c r="GC108" s="176"/>
      <c r="GD108" s="176"/>
      <c r="GE108" s="176"/>
      <c r="GF108" s="315"/>
      <c r="GG108" s="119"/>
      <c r="GH108" s="114"/>
      <c r="GI108" s="220"/>
      <c r="GJ108" s="114"/>
      <c r="GK108" s="120"/>
      <c r="GL108" s="120"/>
      <c r="GM108" s="233"/>
      <c r="GN108" s="22"/>
      <c r="GO108" s="22"/>
    </row>
    <row r="109" spans="1:198" ht="58.2" thickBot="1" x14ac:dyDescent="0.35">
      <c r="A109" s="1313" t="s">
        <v>65</v>
      </c>
      <c r="B109" s="1314"/>
      <c r="C109" s="568" t="str">
        <f>C6</f>
        <v>среднемесячный расход  за предыдущий квартал</v>
      </c>
      <c r="D109" s="764" t="str">
        <f>D6</f>
        <v>октябрь</v>
      </c>
      <c r="E109" s="566" t="str">
        <f>E6</f>
        <v>ноябрь</v>
      </c>
      <c r="F109" s="567" t="str">
        <f>F6</f>
        <v>декабрь</v>
      </c>
      <c r="G109" s="651" t="str">
        <f>G5</f>
        <v>СРЕДНЕМЕСЯЧНЫЙ РАСХОД   за текущий квартал</v>
      </c>
      <c r="H109" s="1383" t="s">
        <v>249</v>
      </c>
      <c r="I109" s="1384"/>
      <c r="J109" s="67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65"/>
      <c r="AB109" s="265"/>
      <c r="AC109" s="265"/>
      <c r="AD109" s="265"/>
      <c r="AE109" s="265"/>
      <c r="AF109" s="265"/>
      <c r="AG109" s="265"/>
      <c r="AH109" s="265"/>
      <c r="AI109" s="265"/>
      <c r="AJ109" s="265"/>
      <c r="AK109" s="265"/>
      <c r="AL109" s="265"/>
      <c r="AM109" s="265"/>
      <c r="AN109" s="265"/>
      <c r="AO109" s="265"/>
      <c r="AP109" s="265"/>
      <c r="AQ109" s="265"/>
      <c r="AR109" s="265"/>
      <c r="AS109" s="265"/>
      <c r="AT109" s="265"/>
      <c r="AU109" s="265"/>
      <c r="AV109" s="265"/>
      <c r="AW109" s="265"/>
      <c r="AX109" s="265"/>
      <c r="AY109" s="265"/>
      <c r="AZ109" s="265"/>
      <c r="BA109" s="265"/>
      <c r="BB109" s="265"/>
      <c r="BC109" s="265"/>
      <c r="BD109" s="265"/>
      <c r="BE109" s="265"/>
      <c r="BF109" s="265"/>
      <c r="BG109" s="670"/>
      <c r="BH109" s="67"/>
      <c r="BI109" s="265"/>
      <c r="BJ109" s="265"/>
      <c r="BK109" s="265"/>
      <c r="BL109" s="265"/>
      <c r="BM109" s="265"/>
      <c r="BN109" s="265"/>
      <c r="BO109" s="265"/>
      <c r="BP109" s="265"/>
      <c r="BQ109" s="265"/>
      <c r="BR109" s="265"/>
      <c r="BS109" s="265"/>
      <c r="BT109" s="265"/>
      <c r="BU109" s="265"/>
      <c r="BV109" s="265"/>
      <c r="BW109" s="265"/>
      <c r="BX109" s="265"/>
      <c r="BY109" s="265"/>
      <c r="BZ109" s="265"/>
      <c r="CA109" s="265"/>
      <c r="CB109" s="265"/>
      <c r="CC109" s="265"/>
      <c r="CD109" s="265"/>
      <c r="CE109" s="265"/>
      <c r="CF109" s="265"/>
      <c r="CG109" s="265"/>
      <c r="CH109" s="265"/>
      <c r="CI109" s="265"/>
      <c r="CJ109" s="265"/>
      <c r="CK109" s="265"/>
      <c r="CL109" s="265"/>
      <c r="CM109" s="265"/>
      <c r="CN109" s="265"/>
      <c r="CO109" s="265"/>
      <c r="CP109" s="265"/>
      <c r="CQ109" s="265"/>
      <c r="CR109" s="251"/>
      <c r="CS109" s="67"/>
      <c r="CT109" s="265"/>
      <c r="CU109" s="265"/>
      <c r="CV109" s="265"/>
      <c r="CW109" s="265"/>
      <c r="CX109" s="265"/>
      <c r="CY109" s="265"/>
      <c r="CZ109" s="265"/>
      <c r="DA109" s="265"/>
      <c r="DB109" s="265"/>
      <c r="DC109" s="265"/>
      <c r="DD109" s="265"/>
      <c r="DE109" s="265"/>
      <c r="DF109" s="265"/>
      <c r="DG109" s="265"/>
      <c r="DH109" s="265"/>
      <c r="DI109" s="265"/>
      <c r="DJ109" s="265"/>
      <c r="DK109" s="265"/>
      <c r="DL109" s="265"/>
      <c r="DM109" s="265"/>
      <c r="DN109" s="265"/>
      <c r="DO109" s="265"/>
      <c r="DP109" s="265"/>
      <c r="DQ109" s="265"/>
      <c r="DR109" s="265"/>
      <c r="DS109" s="265"/>
      <c r="DT109" s="265"/>
      <c r="DU109" s="122"/>
      <c r="DV109" s="122"/>
      <c r="DW109" s="122"/>
      <c r="DX109" s="265"/>
      <c r="DY109" s="265"/>
      <c r="DZ109" s="265"/>
      <c r="EA109" s="265"/>
      <c r="EB109" s="265"/>
      <c r="EC109" s="265"/>
      <c r="ED109" s="265"/>
      <c r="EE109" s="265"/>
      <c r="EF109" s="265"/>
      <c r="EG109" s="265"/>
      <c r="EH109" s="265"/>
      <c r="EI109" s="265"/>
      <c r="EJ109" s="265"/>
      <c r="EK109" s="265"/>
      <c r="EL109" s="265"/>
      <c r="EM109" s="265"/>
      <c r="EN109" s="265"/>
      <c r="EO109" s="265"/>
      <c r="EP109" s="265"/>
      <c r="EQ109" s="265"/>
      <c r="ER109" s="265"/>
      <c r="ES109" s="265"/>
      <c r="ET109" s="265"/>
      <c r="EU109" s="265"/>
      <c r="EV109" s="265"/>
      <c r="EW109" s="265"/>
      <c r="EX109" s="265"/>
      <c r="EY109" s="265"/>
      <c r="EZ109" s="265"/>
      <c r="FA109" s="265"/>
      <c r="FB109" s="265"/>
      <c r="FC109" s="265"/>
      <c r="FD109" s="265"/>
      <c r="FE109" s="265"/>
      <c r="FF109" s="265"/>
      <c r="FG109" s="265"/>
      <c r="FH109" s="265"/>
      <c r="FI109" s="251"/>
      <c r="FJ109" s="425"/>
      <c r="FK109" s="265"/>
      <c r="FL109" s="265"/>
      <c r="FM109" s="265"/>
      <c r="FN109" s="265"/>
      <c r="FO109" s="265"/>
      <c r="FP109" s="265"/>
      <c r="FQ109" s="265"/>
      <c r="FR109" s="265"/>
      <c r="FS109" s="265"/>
      <c r="FT109" s="265"/>
      <c r="FU109" s="265"/>
      <c r="FV109" s="265"/>
      <c r="FW109" s="265"/>
      <c r="FX109" s="265"/>
      <c r="FY109" s="265"/>
      <c r="FZ109" s="152"/>
      <c r="GA109" s="122"/>
      <c r="GB109" s="122"/>
      <c r="GC109" s="122"/>
      <c r="GD109" s="122"/>
      <c r="GE109" s="261"/>
      <c r="GF109" s="495"/>
      <c r="GG109" s="222" t="s">
        <v>44</v>
      </c>
      <c r="GH109" s="223" t="s">
        <v>68</v>
      </c>
      <c r="GI109" s="442" t="s">
        <v>370</v>
      </c>
      <c r="GJ109" s="612" t="str">
        <f>GJ5</f>
        <v>среднемесячный расход  за предыдущий квартал</v>
      </c>
      <c r="GK109" s="395" t="s">
        <v>89</v>
      </c>
      <c r="GL109" s="289"/>
      <c r="GM109" s="390" t="s">
        <v>145</v>
      </c>
      <c r="GN109" s="22"/>
      <c r="GO109" s="22"/>
    </row>
    <row r="110" spans="1:198" ht="24.9" customHeight="1" x14ac:dyDescent="0.3">
      <c r="A110" s="405" t="s">
        <v>214</v>
      </c>
      <c r="B110" s="682" t="s">
        <v>71</v>
      </c>
      <c r="C110" s="681">
        <f>'3_квартал'!G105</f>
        <v>341.33300000000003</v>
      </c>
      <c r="D110" s="613">
        <v>360</v>
      </c>
      <c r="E110" s="295">
        <v>244</v>
      </c>
      <c r="F110" s="892">
        <v>604</v>
      </c>
      <c r="G110" s="601">
        <f>ROUND(AVERAGE(D110:F110),3)</f>
        <v>402.66699999999997</v>
      </c>
      <c r="H110" s="653" t="s">
        <v>415</v>
      </c>
      <c r="I110" s="657" t="s">
        <v>449</v>
      </c>
      <c r="J110" s="37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>
        <f>V8/0.025</f>
        <v>180</v>
      </c>
      <c r="W110" s="381"/>
      <c r="X110" s="381"/>
      <c r="Y110" s="381"/>
      <c r="Z110" s="381"/>
      <c r="AA110" s="381"/>
      <c r="AB110" s="381"/>
      <c r="AC110" s="381"/>
      <c r="AD110" s="381"/>
      <c r="AE110" s="381"/>
      <c r="AF110" s="381"/>
      <c r="AG110" s="381"/>
      <c r="AH110" s="381"/>
      <c r="AI110" s="381"/>
      <c r="AJ110" s="381"/>
      <c r="AK110" s="381"/>
      <c r="AL110" s="381"/>
      <c r="AM110" s="381"/>
      <c r="AN110" s="381"/>
      <c r="AO110" s="381"/>
      <c r="AP110" s="381"/>
      <c r="AQ110" s="381"/>
      <c r="AR110" s="381"/>
      <c r="AS110" s="381"/>
      <c r="AT110" s="381"/>
      <c r="AU110" s="381">
        <f>AU8/0.025</f>
        <v>80</v>
      </c>
      <c r="AV110" s="381"/>
      <c r="AW110" s="381"/>
      <c r="AX110" s="381"/>
      <c r="AY110" s="381"/>
      <c r="AZ110" s="381">
        <f>AZ8/0.025</f>
        <v>20</v>
      </c>
      <c r="BA110" s="381"/>
      <c r="BB110" s="381"/>
      <c r="BC110" s="381"/>
      <c r="BD110" s="381"/>
      <c r="BE110" s="381">
        <f>BE8/0.025</f>
        <v>80</v>
      </c>
      <c r="BF110" s="381"/>
      <c r="BG110" s="251">
        <f>SUM(K110:BF110)</f>
        <v>360</v>
      </c>
      <c r="BH110" s="37"/>
      <c r="BI110" s="381"/>
      <c r="BJ110" s="381"/>
      <c r="BK110" s="381"/>
      <c r="BL110" s="381"/>
      <c r="BM110" s="381"/>
      <c r="BN110" s="381"/>
      <c r="BO110" s="381"/>
      <c r="BP110" s="381"/>
      <c r="BQ110" s="381"/>
      <c r="BR110" s="381"/>
      <c r="BS110" s="381"/>
      <c r="BT110" s="381">
        <f>BT8/0.025</f>
        <v>32</v>
      </c>
      <c r="BU110" s="381"/>
      <c r="BV110" s="381"/>
      <c r="BW110" s="381">
        <f>BW8/0.025</f>
        <v>40</v>
      </c>
      <c r="BX110" s="381">
        <f>BX8/0.025</f>
        <v>72</v>
      </c>
      <c r="BY110" s="381">
        <f>BY8/0.025</f>
        <v>40</v>
      </c>
      <c r="BZ110" s="381"/>
      <c r="CA110" s="381"/>
      <c r="CB110" s="381"/>
      <c r="CC110" s="381"/>
      <c r="CD110" s="381"/>
      <c r="CE110" s="381"/>
      <c r="CF110" s="381"/>
      <c r="CG110" s="381"/>
      <c r="CH110" s="381"/>
      <c r="CI110" s="381"/>
      <c r="CJ110" s="381"/>
      <c r="CK110" s="381"/>
      <c r="CL110" s="381"/>
      <c r="CM110" s="381"/>
      <c r="CN110" s="381"/>
      <c r="CO110" s="381"/>
      <c r="CP110" s="381"/>
      <c r="CQ110" s="381">
        <f>CQ8/0.025</f>
        <v>60</v>
      </c>
      <c r="CR110" s="185">
        <f>SUM(BI110:CQ110)</f>
        <v>244</v>
      </c>
      <c r="CS110" s="37"/>
      <c r="CT110" s="381"/>
      <c r="CU110" s="381"/>
      <c r="CV110" s="381"/>
      <c r="CW110" s="381"/>
      <c r="CX110" s="381"/>
      <c r="CY110" s="381">
        <f>CY8/0.025</f>
        <v>80</v>
      </c>
      <c r="CZ110" s="381"/>
      <c r="DA110" s="381"/>
      <c r="DB110" s="381"/>
      <c r="DC110" s="381"/>
      <c r="DD110" s="381"/>
      <c r="DE110" s="381"/>
      <c r="DF110" s="381"/>
      <c r="DG110" s="381"/>
      <c r="DH110" s="381">
        <f>DH8/0.025</f>
        <v>40</v>
      </c>
      <c r="DI110" s="381"/>
      <c r="DJ110" s="381"/>
      <c r="DK110" s="381"/>
      <c r="DL110" s="381"/>
      <c r="DM110" s="381"/>
      <c r="DN110" s="381"/>
      <c r="DO110" s="381"/>
      <c r="DP110" s="381"/>
      <c r="DQ110" s="381"/>
      <c r="DR110" s="381">
        <f>DR8/0.025</f>
        <v>131.99999999999997</v>
      </c>
      <c r="DS110" s="381"/>
      <c r="DT110" s="68"/>
      <c r="DU110" s="70"/>
      <c r="DV110" s="68">
        <f>DV8/0.025</f>
        <v>80</v>
      </c>
      <c r="DW110" s="269"/>
      <c r="DX110" s="381"/>
      <c r="DY110" s="381"/>
      <c r="DZ110" s="381"/>
      <c r="EA110" s="381"/>
      <c r="EB110" s="381"/>
      <c r="EC110" s="381"/>
      <c r="ED110" s="381"/>
      <c r="EE110" s="381"/>
      <c r="EF110" s="381">
        <f>EF8/0.025</f>
        <v>32</v>
      </c>
      <c r="EG110" s="381"/>
      <c r="EH110" s="381"/>
      <c r="EI110" s="381"/>
      <c r="EJ110" s="381"/>
      <c r="EK110" s="381">
        <f>EK8/0.025</f>
        <v>40</v>
      </c>
      <c r="EL110" s="381"/>
      <c r="EM110" s="381"/>
      <c r="EN110" s="381"/>
      <c r="EO110" s="381"/>
      <c r="EP110" s="381"/>
      <c r="EQ110" s="381">
        <f>EQ8/0.025</f>
        <v>40</v>
      </c>
      <c r="ER110" s="381"/>
      <c r="ES110" s="381"/>
      <c r="ET110" s="381">
        <f>ET8/0.025</f>
        <v>40</v>
      </c>
      <c r="EU110" s="381"/>
      <c r="EV110" s="381"/>
      <c r="EW110" s="381"/>
      <c r="EX110" s="381"/>
      <c r="EY110" s="381"/>
      <c r="EZ110" s="381"/>
      <c r="FA110" s="381"/>
      <c r="FB110" s="381"/>
      <c r="FC110" s="381"/>
      <c r="FD110" s="381"/>
      <c r="FE110" s="381"/>
      <c r="FF110" s="381"/>
      <c r="FG110" s="381"/>
      <c r="FH110" s="381">
        <f>FH8/0.025</f>
        <v>60</v>
      </c>
      <c r="FI110" s="158">
        <f>SUM(CT110:FH110)</f>
        <v>544</v>
      </c>
      <c r="FJ110" s="428"/>
      <c r="FK110" s="68"/>
      <c r="FL110" s="381"/>
      <c r="FM110" s="381"/>
      <c r="FN110" s="381"/>
      <c r="FO110" s="381"/>
      <c r="FP110" s="381"/>
      <c r="FQ110" s="381"/>
      <c r="FR110" s="381"/>
      <c r="FS110" s="381"/>
      <c r="FT110" s="381"/>
      <c r="FU110" s="381"/>
      <c r="FV110" s="381"/>
      <c r="FW110" s="381"/>
      <c r="FX110" s="381"/>
      <c r="FY110" s="381"/>
      <c r="FZ110" s="709"/>
      <c r="GA110" s="70"/>
      <c r="GB110" s="269"/>
      <c r="GC110" s="847"/>
      <c r="GD110" s="181"/>
      <c r="GE110" s="715"/>
      <c r="GF110" s="710"/>
      <c r="GG110" s="221">
        <f>SUM(FJ110:GF110)</f>
        <v>0</v>
      </c>
      <c r="GH110" s="163">
        <f>4118+5000-FI110-GG110</f>
        <v>8574</v>
      </c>
      <c r="GI110" s="610" t="str">
        <f>H110</f>
        <v>5000 /  0</v>
      </c>
      <c r="GJ110" s="840">
        <f>C110</f>
        <v>341.33300000000003</v>
      </c>
      <c r="GK110" s="317">
        <f>E110</f>
        <v>244</v>
      </c>
      <c r="GL110" s="562"/>
      <c r="GM110" s="520" t="e">
        <f>'1_квартал'!GV86+'2_квартал'!#REF!+SUM(D110:F110)</f>
        <v>#REF!</v>
      </c>
      <c r="GN110" s="22"/>
      <c r="GO110" s="22"/>
    </row>
    <row r="111" spans="1:198" ht="24.9" customHeight="1" x14ac:dyDescent="0.3">
      <c r="A111" s="73" t="s">
        <v>215</v>
      </c>
      <c r="B111" s="209" t="s">
        <v>72</v>
      </c>
      <c r="C111" s="685">
        <f>'3_квартал'!G106</f>
        <v>572</v>
      </c>
      <c r="D111" s="184">
        <v>554</v>
      </c>
      <c r="E111" s="241">
        <v>444</v>
      </c>
      <c r="F111" s="893">
        <v>982</v>
      </c>
      <c r="G111" s="600">
        <f t="shared" ref="G111:G112" si="91">ROUND(AVERAGE(D111:F111),3)</f>
        <v>660</v>
      </c>
      <c r="H111" s="654" t="s">
        <v>251</v>
      </c>
      <c r="I111" s="412" t="s">
        <v>450</v>
      </c>
      <c r="J111" s="37"/>
      <c r="K111" s="379">
        <f>K8/0.025</f>
        <v>160</v>
      </c>
      <c r="L111" s="379"/>
      <c r="M111" s="379"/>
      <c r="N111" s="379"/>
      <c r="O111" s="379"/>
      <c r="P111" s="379"/>
      <c r="Q111" s="379"/>
      <c r="R111" s="379"/>
      <c r="S111" s="379">
        <f>S8/0.025</f>
        <v>11.999999999999998</v>
      </c>
      <c r="T111" s="379"/>
      <c r="U111" s="379">
        <f>U8/0.025</f>
        <v>10</v>
      </c>
      <c r="V111" s="379"/>
      <c r="W111" s="379"/>
      <c r="X111" s="379">
        <f>X8/0.025</f>
        <v>23.999999999999996</v>
      </c>
      <c r="Y111" s="379"/>
      <c r="Z111" s="379">
        <f>Z8/0.025</f>
        <v>120</v>
      </c>
      <c r="AA111" s="379"/>
      <c r="AB111" s="379">
        <f>AB8/0.025</f>
        <v>20</v>
      </c>
      <c r="AC111" s="379"/>
      <c r="AD111" s="379"/>
      <c r="AE111" s="379"/>
      <c r="AF111" s="379"/>
      <c r="AG111" s="379"/>
      <c r="AH111" s="246"/>
      <c r="AI111" s="379"/>
      <c r="AJ111" s="379"/>
      <c r="AK111" s="379">
        <f>AK8/0.025</f>
        <v>20</v>
      </c>
      <c r="AL111" s="379"/>
      <c r="AM111" s="379"/>
      <c r="AN111" s="379"/>
      <c r="AO111" s="255"/>
      <c r="AP111" s="379"/>
      <c r="AQ111" s="379"/>
      <c r="AR111" s="379"/>
      <c r="AS111" s="379"/>
      <c r="AT111" s="379"/>
      <c r="AU111" s="379"/>
      <c r="AV111" s="379"/>
      <c r="AW111" s="379"/>
      <c r="AX111" s="379"/>
      <c r="AY111" s="379"/>
      <c r="AZ111" s="379"/>
      <c r="BA111" s="379">
        <f>BA8/0.025</f>
        <v>27.999999999999996</v>
      </c>
      <c r="BB111" s="379"/>
      <c r="BC111" s="379"/>
      <c r="BD111" s="379">
        <f>BD8/0.025</f>
        <v>160</v>
      </c>
      <c r="BE111" s="379"/>
      <c r="BF111" s="379"/>
      <c r="BG111" s="185">
        <f>SUM(K111:BF111)</f>
        <v>554</v>
      </c>
      <c r="BH111" s="37"/>
      <c r="BI111" s="379"/>
      <c r="BJ111" s="379"/>
      <c r="BK111" s="379"/>
      <c r="BL111" s="379">
        <f>BL8/0.025</f>
        <v>160</v>
      </c>
      <c r="BM111" s="379"/>
      <c r="BN111" s="379"/>
      <c r="BO111" s="379">
        <f t="shared" ref="BO111" si="92">BO8/0.025</f>
        <v>60</v>
      </c>
      <c r="BP111" s="379">
        <f>BP8/0.025</f>
        <v>20</v>
      </c>
      <c r="BQ111" s="379">
        <f>BQ8/0.025</f>
        <v>40</v>
      </c>
      <c r="BR111" s="379"/>
      <c r="BS111" s="379"/>
      <c r="BT111" s="379"/>
      <c r="BU111" s="379">
        <f>BU8/0.025</f>
        <v>60</v>
      </c>
      <c r="BV111" s="379"/>
      <c r="BW111" s="379"/>
      <c r="BX111" s="379"/>
      <c r="BY111" s="379"/>
      <c r="BZ111" s="379"/>
      <c r="CA111" s="379"/>
      <c r="CB111" s="379"/>
      <c r="CC111" s="379"/>
      <c r="CD111" s="379">
        <f>CD8/0.025</f>
        <v>23.999999999999996</v>
      </c>
      <c r="CE111" s="379"/>
      <c r="CF111" s="379"/>
      <c r="CG111" s="379"/>
      <c r="CH111" s="379">
        <f t="shared" ref="CH111" si="93">CH8/0.025</f>
        <v>40</v>
      </c>
      <c r="CI111" s="379"/>
      <c r="CJ111" s="379"/>
      <c r="CK111" s="379"/>
      <c r="CL111" s="379"/>
      <c r="CM111" s="379"/>
      <c r="CN111" s="379"/>
      <c r="CO111" s="379"/>
      <c r="CP111" s="379">
        <f>CP8/0.025</f>
        <v>40</v>
      </c>
      <c r="CQ111" s="379"/>
      <c r="CR111" s="185">
        <f>SUM(BI111:CQ111)</f>
        <v>444</v>
      </c>
      <c r="CS111" s="37"/>
      <c r="CT111" s="379"/>
      <c r="CU111" s="379"/>
      <c r="CV111" s="379"/>
      <c r="CW111" s="379"/>
      <c r="CX111" s="379">
        <f>CX8/0.025</f>
        <v>200</v>
      </c>
      <c r="CY111" s="379"/>
      <c r="CZ111" s="379"/>
      <c r="DA111" s="379"/>
      <c r="DB111" s="379"/>
      <c r="DC111" s="379"/>
      <c r="DD111" s="379">
        <f>DD8/0.025</f>
        <v>40</v>
      </c>
      <c r="DE111" s="379"/>
      <c r="DF111" s="379"/>
      <c r="DG111" s="379">
        <f>DG8/0.025</f>
        <v>160</v>
      </c>
      <c r="DH111" s="379"/>
      <c r="DI111" s="379"/>
      <c r="DJ111" s="379">
        <f>DJ8/0.025</f>
        <v>23.999999999999996</v>
      </c>
      <c r="DK111" s="379"/>
      <c r="DL111" s="379">
        <f>DL8/0.025</f>
        <v>11.999999999999998</v>
      </c>
      <c r="DM111" s="379"/>
      <c r="DN111" s="379"/>
      <c r="DO111" s="379">
        <f>DO8/0.025</f>
        <v>40</v>
      </c>
      <c r="DP111" s="379"/>
      <c r="DQ111" s="379"/>
      <c r="DR111" s="379"/>
      <c r="DS111" s="379"/>
      <c r="DT111" s="499"/>
      <c r="DU111" s="184"/>
      <c r="DV111" s="29"/>
      <c r="DW111" s="29"/>
      <c r="DX111" s="379"/>
      <c r="DY111" s="379">
        <f>DY8/0.025</f>
        <v>200</v>
      </c>
      <c r="DZ111" s="379"/>
      <c r="EA111" s="379"/>
      <c r="EB111" s="379">
        <f>EB8/0.025</f>
        <v>40</v>
      </c>
      <c r="EC111" s="379"/>
      <c r="ED111" s="379"/>
      <c r="EE111" s="379"/>
      <c r="EF111" s="379"/>
      <c r="EG111" s="379"/>
      <c r="EH111" s="379"/>
      <c r="EI111" s="379">
        <f>EI8/0.025</f>
        <v>80</v>
      </c>
      <c r="EJ111" s="379"/>
      <c r="EK111" s="379"/>
      <c r="EL111" s="379"/>
      <c r="EM111" s="379"/>
      <c r="EN111" s="379"/>
      <c r="EO111" s="379">
        <f>EO8/0.025</f>
        <v>23.999999999999996</v>
      </c>
      <c r="EP111" s="379"/>
      <c r="EQ111" s="379"/>
      <c r="ER111" s="379"/>
      <c r="ES111" s="379"/>
      <c r="ET111" s="379"/>
      <c r="EU111" s="379"/>
      <c r="EV111" s="379"/>
      <c r="EW111" s="379"/>
      <c r="EX111" s="379"/>
      <c r="EY111" s="379">
        <f>EY8/0.025</f>
        <v>40</v>
      </c>
      <c r="EZ111" s="379"/>
      <c r="FA111" s="379"/>
      <c r="FB111" s="379"/>
      <c r="FC111" s="379">
        <f>FC8/0.025</f>
        <v>23.999999999999996</v>
      </c>
      <c r="FD111" s="379"/>
      <c r="FE111" s="379"/>
      <c r="FF111" s="379"/>
      <c r="FG111" s="379">
        <f>FG8/0.025</f>
        <v>80</v>
      </c>
      <c r="FH111" s="379"/>
      <c r="FI111" s="158">
        <f>SUM(CT111:FH111)</f>
        <v>964</v>
      </c>
      <c r="FJ111" s="428"/>
      <c r="FK111" s="499"/>
      <c r="FL111" s="379"/>
      <c r="FM111" s="379"/>
      <c r="FN111" s="379"/>
      <c r="FO111" s="379"/>
      <c r="FP111" s="379"/>
      <c r="FQ111" s="379"/>
      <c r="FR111" s="379"/>
      <c r="FS111" s="379"/>
      <c r="FT111" s="379"/>
      <c r="FU111" s="379"/>
      <c r="FV111" s="379"/>
      <c r="FW111" s="379"/>
      <c r="FX111" s="379"/>
      <c r="FY111" s="246"/>
      <c r="FZ111" s="123"/>
      <c r="GA111" s="184"/>
      <c r="GB111" s="29"/>
      <c r="GC111" s="75"/>
      <c r="GD111" s="267"/>
      <c r="GE111" s="716"/>
      <c r="GF111" s="439"/>
      <c r="GG111" s="72">
        <f>SUM(FJ111:GF111)</f>
        <v>0</v>
      </c>
      <c r="GH111" s="239">
        <f>4770-FI111-GG111</f>
        <v>3806</v>
      </c>
      <c r="GI111" s="611" t="str">
        <f>H111</f>
        <v>0 / 0</v>
      </c>
      <c r="GJ111" s="841">
        <f>C111</f>
        <v>572</v>
      </c>
      <c r="GK111" s="318">
        <f>E111</f>
        <v>444</v>
      </c>
      <c r="GL111" s="563"/>
      <c r="GM111" s="520" t="e">
        <f>'1_квартал'!GV87+'2_квартал'!#REF!+SUM(D111:F111)</f>
        <v>#REF!</v>
      </c>
      <c r="GN111" s="22"/>
      <c r="GO111" s="22"/>
    </row>
    <row r="112" spans="1:198" ht="28.8" x14ac:dyDescent="0.3">
      <c r="A112" s="71" t="s">
        <v>64</v>
      </c>
      <c r="B112" s="210" t="s">
        <v>73</v>
      </c>
      <c r="C112" s="685">
        <f>'3_квартал'!G107</f>
        <v>2228</v>
      </c>
      <c r="D112" s="615">
        <v>2492</v>
      </c>
      <c r="E112" s="191">
        <v>1440</v>
      </c>
      <c r="F112" s="894">
        <f>1296+1200</f>
        <v>2496</v>
      </c>
      <c r="G112" s="600">
        <f t="shared" si="91"/>
        <v>2142.6669999999999</v>
      </c>
      <c r="H112" s="655" t="s">
        <v>417</v>
      </c>
      <c r="I112" s="413" t="s">
        <v>451</v>
      </c>
      <c r="J112" s="37"/>
      <c r="K112" s="246"/>
      <c r="L112" s="246"/>
      <c r="M112" s="246"/>
      <c r="N112" s="246"/>
      <c r="O112" s="246">
        <f>O8/0.025</f>
        <v>120</v>
      </c>
      <c r="P112" s="246"/>
      <c r="Q112" s="246">
        <f>Q8/0.025</f>
        <v>84</v>
      </c>
      <c r="R112" s="246">
        <f>R8/0.025</f>
        <v>120</v>
      </c>
      <c r="S112" s="246"/>
      <c r="T112" s="246">
        <f>T8/0.025</f>
        <v>60</v>
      </c>
      <c r="U112" s="246"/>
      <c r="V112" s="246"/>
      <c r="W112" s="246"/>
      <c r="X112" s="246"/>
      <c r="Y112" s="246"/>
      <c r="Z112" s="246"/>
      <c r="AA112" s="246">
        <f>AA8/0.025</f>
        <v>68</v>
      </c>
      <c r="AB112" s="246"/>
      <c r="AC112" s="246">
        <f>AC8/0.025</f>
        <v>360</v>
      </c>
      <c r="AD112" s="246">
        <f>AD8/0.025</f>
        <v>372</v>
      </c>
      <c r="AE112" s="246"/>
      <c r="AF112" s="246">
        <f>AF8/0.025</f>
        <v>120</v>
      </c>
      <c r="AG112" s="246"/>
      <c r="AH112" s="246">
        <f t="shared" ref="AH112" si="94">AH8/0.025</f>
        <v>120</v>
      </c>
      <c r="AI112" s="246"/>
      <c r="AJ112" s="246"/>
      <c r="AK112" s="246"/>
      <c r="AL112" s="246">
        <f>AL8/0.025</f>
        <v>120</v>
      </c>
      <c r="AM112" s="246"/>
      <c r="AN112" s="246"/>
      <c r="AO112" s="255">
        <f t="shared" ref="AO112:AS112" si="95">AO8/0.025</f>
        <v>220</v>
      </c>
      <c r="AP112" s="255">
        <f t="shared" si="95"/>
        <v>11.999999999999998</v>
      </c>
      <c r="AQ112" s="255">
        <f t="shared" si="95"/>
        <v>60</v>
      </c>
      <c r="AR112" s="255">
        <f t="shared" si="95"/>
        <v>240</v>
      </c>
      <c r="AS112" s="255">
        <f t="shared" si="95"/>
        <v>120</v>
      </c>
      <c r="AT112" s="246"/>
      <c r="AU112" s="246"/>
      <c r="AV112" s="246">
        <f t="shared" ref="AV112" si="96">AV8/0.025</f>
        <v>95.999999999999986</v>
      </c>
      <c r="AW112" s="246"/>
      <c r="AX112" s="246">
        <f t="shared" ref="AX112:AY112" si="97">AX8/0.025</f>
        <v>120</v>
      </c>
      <c r="AY112" s="246">
        <f t="shared" si="97"/>
        <v>80</v>
      </c>
      <c r="AZ112" s="246"/>
      <c r="BA112" s="246"/>
      <c r="BB112" s="246"/>
      <c r="BC112" s="246"/>
      <c r="BD112" s="246"/>
      <c r="BE112" s="246"/>
      <c r="BF112" s="246"/>
      <c r="BG112" s="185">
        <f>SUM(K112:BF112)</f>
        <v>2492</v>
      </c>
      <c r="BH112" s="37"/>
      <c r="BI112" s="246"/>
      <c r="BJ112" s="246"/>
      <c r="BK112" s="246"/>
      <c r="BL112" s="246"/>
      <c r="BM112" s="246">
        <f>BM8/0.025</f>
        <v>200</v>
      </c>
      <c r="BN112" s="246"/>
      <c r="BO112" s="246"/>
      <c r="BP112" s="246"/>
      <c r="BQ112" s="246"/>
      <c r="BR112" s="246"/>
      <c r="BS112" s="246">
        <f>BS8/0.025</f>
        <v>120</v>
      </c>
      <c r="BT112" s="246"/>
      <c r="BU112" s="246"/>
      <c r="BV112" s="246">
        <f>BV8/0.025</f>
        <v>80</v>
      </c>
      <c r="BW112" s="246"/>
      <c r="BX112" s="246"/>
      <c r="BY112" s="246"/>
      <c r="BZ112" s="246"/>
      <c r="CA112" s="246">
        <f t="shared" ref="CA112" si="98">CA8/0.025</f>
        <v>200</v>
      </c>
      <c r="CB112" s="246">
        <f>CB8/0.025</f>
        <v>200</v>
      </c>
      <c r="CC112" s="246">
        <f t="shared" ref="CC112" si="99">CC8/0.025</f>
        <v>60</v>
      </c>
      <c r="CD112" s="246"/>
      <c r="CE112" s="246">
        <f>CE8/0.025</f>
        <v>200</v>
      </c>
      <c r="CF112" s="246"/>
      <c r="CG112" s="246">
        <f>CG8/0.025</f>
        <v>95.999999999999986</v>
      </c>
      <c r="CH112" s="246"/>
      <c r="CI112" s="246">
        <f>CI8/0.025</f>
        <v>64</v>
      </c>
      <c r="CJ112" s="246"/>
      <c r="CK112" s="246">
        <f>CK8/0.025</f>
        <v>220</v>
      </c>
      <c r="CL112" s="246"/>
      <c r="CM112" s="246"/>
      <c r="CN112" s="246"/>
      <c r="CO112" s="246"/>
      <c r="CP112" s="246"/>
      <c r="CQ112" s="246"/>
      <c r="CR112" s="185">
        <f>SUM(BI112:CQ112)</f>
        <v>1440</v>
      </c>
      <c r="CS112" s="37"/>
      <c r="CT112" s="246">
        <f>CT8/0.025</f>
        <v>320</v>
      </c>
      <c r="CU112" s="246">
        <f>CU8/0.025</f>
        <v>80</v>
      </c>
      <c r="CV112" s="246"/>
      <c r="CW112" s="246">
        <f>CW8/0.025</f>
        <v>120</v>
      </c>
      <c r="CX112" s="246"/>
      <c r="CY112" s="246"/>
      <c r="CZ112" s="246"/>
      <c r="DA112" s="246">
        <f t="shared" ref="DA112:DB112" si="100">DA8/0.025</f>
        <v>148</v>
      </c>
      <c r="DB112" s="246">
        <f t="shared" si="100"/>
        <v>220</v>
      </c>
      <c r="DC112" s="246">
        <f>DC8/0.025</f>
        <v>120</v>
      </c>
      <c r="DD112" s="246"/>
      <c r="DE112" s="246"/>
      <c r="DF112" s="246">
        <f>DF8/0.025</f>
        <v>11.999999999999998</v>
      </c>
      <c r="DG112" s="246"/>
      <c r="DH112" s="246"/>
      <c r="DI112" s="246"/>
      <c r="DJ112" s="246"/>
      <c r="DK112" s="246"/>
      <c r="DL112" s="246"/>
      <c r="DM112" s="246"/>
      <c r="DN112" s="246"/>
      <c r="DO112" s="246"/>
      <c r="DP112" s="255">
        <f t="shared" ref="DP112" si="101">DP8/0.025</f>
        <v>120</v>
      </c>
      <c r="DQ112" s="246">
        <f>DQ8/0.025</f>
        <v>231.99999999999997</v>
      </c>
      <c r="DR112" s="246"/>
      <c r="DS112" s="246"/>
      <c r="DT112" s="255"/>
      <c r="DU112" s="184">
        <f>DU8/0.025</f>
        <v>320</v>
      </c>
      <c r="DV112" s="29"/>
      <c r="DW112" s="29"/>
      <c r="DX112" s="246"/>
      <c r="DY112" s="246"/>
      <c r="DZ112" s="246"/>
      <c r="EA112" s="246">
        <f t="shared" ref="EA112" si="102">EA8/0.025</f>
        <v>160</v>
      </c>
      <c r="EB112" s="246"/>
      <c r="EC112" s="246">
        <f>EC8/0.025</f>
        <v>60</v>
      </c>
      <c r="ED112" s="246"/>
      <c r="EE112" s="246">
        <f t="shared" ref="EE112" si="103">EE8/0.025</f>
        <v>88</v>
      </c>
      <c r="EF112" s="246"/>
      <c r="EG112" s="246">
        <f>EG8/0.025</f>
        <v>160</v>
      </c>
      <c r="EH112" s="246"/>
      <c r="EI112" s="246"/>
      <c r="EJ112" s="246"/>
      <c r="EK112" s="246"/>
      <c r="EL112" s="246"/>
      <c r="EM112" s="246"/>
      <c r="EN112" s="246"/>
      <c r="EO112" s="246"/>
      <c r="EP112" s="246"/>
      <c r="EQ112" s="246"/>
      <c r="ER112" s="246"/>
      <c r="ES112" s="246">
        <f>ES8/0.025</f>
        <v>120</v>
      </c>
      <c r="ET112" s="246"/>
      <c r="EU112" s="246">
        <f>EU8/0.025</f>
        <v>40</v>
      </c>
      <c r="EV112" s="246"/>
      <c r="EW112" s="246"/>
      <c r="EX112" s="246">
        <f>EX8/0.025</f>
        <v>80</v>
      </c>
      <c r="EY112" s="246"/>
      <c r="EZ112" s="246"/>
      <c r="FA112" s="246">
        <f>FA8/0.025</f>
        <v>95.999999999999986</v>
      </c>
      <c r="FB112" s="246"/>
      <c r="FC112" s="246"/>
      <c r="FD112" s="246"/>
      <c r="FE112" s="246"/>
      <c r="FF112" s="246"/>
      <c r="FG112" s="246"/>
      <c r="FH112" s="246"/>
      <c r="FI112" s="158">
        <f>SUM(CT112:FH112)</f>
        <v>2496</v>
      </c>
      <c r="FJ112" s="428"/>
      <c r="FK112" s="255"/>
      <c r="FL112" s="255"/>
      <c r="FM112" s="246"/>
      <c r="FN112" s="246"/>
      <c r="FO112" s="246"/>
      <c r="FP112" s="246"/>
      <c r="FQ112" s="246"/>
      <c r="FR112" s="246"/>
      <c r="FS112" s="246"/>
      <c r="FT112" s="246"/>
      <c r="FU112" s="246"/>
      <c r="FV112" s="246"/>
      <c r="FW112" s="246"/>
      <c r="FX112" s="246"/>
      <c r="FY112" s="246"/>
      <c r="FZ112" s="123"/>
      <c r="GA112" s="184"/>
      <c r="GB112" s="29"/>
      <c r="GC112" s="75"/>
      <c r="GD112" s="75"/>
      <c r="GE112" s="716"/>
      <c r="GF112" s="438"/>
      <c r="GG112" s="65">
        <f>SUM(FJ112:GF112)</f>
        <v>0</v>
      </c>
      <c r="GH112" s="239">
        <f>(1296+2100)+5000-FI112-GG112</f>
        <v>5900</v>
      </c>
      <c r="GI112" s="611" t="str">
        <f>H112</f>
        <v>0 / 5000</v>
      </c>
      <c r="GJ112" s="841">
        <f>C112</f>
        <v>2228</v>
      </c>
      <c r="GK112" s="318">
        <f>E112</f>
        <v>1440</v>
      </c>
      <c r="GL112" s="562"/>
      <c r="GM112" s="520" t="e">
        <f>'1_квартал'!GV88+'2_квартал'!#REF!+SUM(D112:F112)</f>
        <v>#REF!</v>
      </c>
      <c r="GN112" s="22"/>
      <c r="GO112" s="22"/>
    </row>
    <row r="113" spans="1:197" ht="57.6" x14ac:dyDescent="0.3">
      <c r="A113" s="643" t="s">
        <v>85</v>
      </c>
      <c r="B113" s="683" t="s">
        <v>84</v>
      </c>
      <c r="C113" s="685">
        <f>'3_квартал'!G108</f>
        <v>1080</v>
      </c>
      <c r="D113" s="615">
        <v>736</v>
      </c>
      <c r="E113" s="197">
        <v>656</v>
      </c>
      <c r="F113" s="894">
        <v>892</v>
      </c>
      <c r="G113" s="600">
        <f>ROUND(AVERAGE(D113:F113),3)</f>
        <v>761.33299999999997</v>
      </c>
      <c r="H113" s="733" t="s">
        <v>416</v>
      </c>
      <c r="I113" s="412" t="s">
        <v>452</v>
      </c>
      <c r="J113" s="37"/>
      <c r="K113" s="636"/>
      <c r="L113" s="636"/>
      <c r="M113" s="636">
        <f>M8/0.025</f>
        <v>80</v>
      </c>
      <c r="N113" s="636">
        <f>N8/0.025</f>
        <v>60</v>
      </c>
      <c r="O113" s="636"/>
      <c r="P113" s="636"/>
      <c r="Q113" s="636"/>
      <c r="R113" s="636"/>
      <c r="S113" s="636"/>
      <c r="T113" s="636"/>
      <c r="U113" s="636"/>
      <c r="V113" s="636"/>
      <c r="W113" s="636">
        <f>W8/0.025</f>
        <v>120</v>
      </c>
      <c r="X113" s="636"/>
      <c r="Y113" s="636"/>
      <c r="Z113" s="636"/>
      <c r="AA113" s="640"/>
      <c r="AB113" s="636"/>
      <c r="AC113" s="640"/>
      <c r="AD113" s="640"/>
      <c r="AE113" s="636">
        <f>AE8/0.025</f>
        <v>11.999999999999998</v>
      </c>
      <c r="AF113" s="636"/>
      <c r="AG113" s="636">
        <f>AG8/0.025</f>
        <v>16</v>
      </c>
      <c r="AH113" s="636"/>
      <c r="AI113" s="636">
        <f>AI8/0.025</f>
        <v>40</v>
      </c>
      <c r="AJ113" s="636"/>
      <c r="AK113" s="636"/>
      <c r="AL113" s="636"/>
      <c r="AM113" s="636"/>
      <c r="AN113" s="636">
        <f>AN8/0.025</f>
        <v>47.999999999999993</v>
      </c>
      <c r="AO113" s="636"/>
      <c r="AP113" s="636"/>
      <c r="AQ113" s="636"/>
      <c r="AR113" s="636"/>
      <c r="AS113" s="636"/>
      <c r="AT113" s="636">
        <f>AT8/0.025</f>
        <v>240</v>
      </c>
      <c r="AU113" s="636"/>
      <c r="AV113" s="636"/>
      <c r="AW113" s="636">
        <f>AW8/0.025</f>
        <v>120</v>
      </c>
      <c r="AX113" s="636"/>
      <c r="AY113" s="636"/>
      <c r="AZ113" s="636"/>
      <c r="BA113" s="636"/>
      <c r="BB113" s="636"/>
      <c r="BC113" s="636"/>
      <c r="BD113" s="636"/>
      <c r="BE113" s="636"/>
      <c r="BF113" s="636"/>
      <c r="BG113" s="185">
        <f>SUM(K113:BF113)</f>
        <v>736</v>
      </c>
      <c r="BH113" s="37"/>
      <c r="BI113" s="636">
        <f>BI8/0.025</f>
        <v>23.999999999999996</v>
      </c>
      <c r="BJ113" s="636"/>
      <c r="BK113" s="636">
        <f>BK8/0.025</f>
        <v>20</v>
      </c>
      <c r="BL113" s="636"/>
      <c r="BM113" s="636"/>
      <c r="BN113" s="636">
        <f>BN8/0.025</f>
        <v>200</v>
      </c>
      <c r="BO113" s="636"/>
      <c r="BP113" s="636"/>
      <c r="BQ113" s="636"/>
      <c r="BR113" s="636"/>
      <c r="BS113" s="636"/>
      <c r="BT113" s="636"/>
      <c r="BU113" s="636"/>
      <c r="BV113" s="636"/>
      <c r="BW113" s="636"/>
      <c r="BX113" s="636"/>
      <c r="BY113" s="636"/>
      <c r="BZ113" s="636">
        <f>BZ8/0.025</f>
        <v>20</v>
      </c>
      <c r="CA113" s="636"/>
      <c r="CB113" s="636"/>
      <c r="CC113" s="636"/>
      <c r="CD113" s="636"/>
      <c r="CE113" s="636"/>
      <c r="CF113" s="636">
        <f>CF8/0.025</f>
        <v>20</v>
      </c>
      <c r="CG113" s="636"/>
      <c r="CH113" s="636"/>
      <c r="CI113" s="636"/>
      <c r="CJ113" s="636">
        <f>CJ8/0.025</f>
        <v>160</v>
      </c>
      <c r="CK113" s="636"/>
      <c r="CL113" s="636"/>
      <c r="CM113" s="636">
        <f>CM8/0.025</f>
        <v>60</v>
      </c>
      <c r="CN113" s="636">
        <f>CN8/0.025</f>
        <v>100</v>
      </c>
      <c r="CO113" s="636">
        <f>CO8/0.025</f>
        <v>52</v>
      </c>
      <c r="CP113" s="636"/>
      <c r="CQ113" s="636"/>
      <c r="CR113" s="763">
        <f>SUM(BI113:CQ113)</f>
        <v>656</v>
      </c>
      <c r="CS113" s="37"/>
      <c r="CT113" s="636"/>
      <c r="CU113" s="636"/>
      <c r="CV113" s="636">
        <f>CV8/0.025</f>
        <v>16</v>
      </c>
      <c r="CW113" s="636"/>
      <c r="CX113" s="636"/>
      <c r="CY113" s="636"/>
      <c r="CZ113" s="636"/>
      <c r="DA113" s="636"/>
      <c r="DB113" s="636"/>
      <c r="DC113" s="636"/>
      <c r="DD113" s="636"/>
      <c r="DE113" s="636">
        <f>DE8/0.025</f>
        <v>20</v>
      </c>
      <c r="DF113" s="636"/>
      <c r="DG113" s="636"/>
      <c r="DH113" s="636"/>
      <c r="DI113" s="636"/>
      <c r="DJ113" s="636"/>
      <c r="DK113" s="636"/>
      <c r="DL113" s="636"/>
      <c r="DM113" s="636">
        <f>DM8/0.025</f>
        <v>120</v>
      </c>
      <c r="DN113" s="636">
        <f>DN8/0.025</f>
        <v>11.999999999999998</v>
      </c>
      <c r="DO113" s="636"/>
      <c r="DP113" s="636"/>
      <c r="DQ113" s="636"/>
      <c r="DR113" s="636"/>
      <c r="DS113" s="636">
        <f t="shared" ref="DS113" si="104">DS8/0.025</f>
        <v>11.999999999999998</v>
      </c>
      <c r="DT113" s="635"/>
      <c r="DU113" s="634"/>
      <c r="DV113" s="635"/>
      <c r="DW113" s="635">
        <f>DW8/0.025</f>
        <v>160</v>
      </c>
      <c r="DX113" s="636">
        <f>DX8/0.025</f>
        <v>120</v>
      </c>
      <c r="DY113" s="636"/>
      <c r="DZ113" s="636">
        <f t="shared" ref="DZ113" si="105">DZ8/0.025</f>
        <v>104</v>
      </c>
      <c r="EA113" s="636"/>
      <c r="EB113" s="636"/>
      <c r="EC113" s="636"/>
      <c r="ED113" s="636"/>
      <c r="EE113" s="636"/>
      <c r="EF113" s="636"/>
      <c r="EG113" s="636"/>
      <c r="EH113" s="636"/>
      <c r="EI113" s="636"/>
      <c r="EJ113" s="636">
        <f>EJ8/0.025</f>
        <v>200</v>
      </c>
      <c r="EK113" s="636"/>
      <c r="EL113" s="636"/>
      <c r="EM113" s="636"/>
      <c r="EN113" s="636"/>
      <c r="EO113" s="636"/>
      <c r="EP113" s="636"/>
      <c r="EQ113" s="636"/>
      <c r="ER113" s="636"/>
      <c r="ES113" s="636"/>
      <c r="ET113" s="636"/>
      <c r="EU113" s="636"/>
      <c r="EV113" s="636">
        <f>EV8/0.025</f>
        <v>80</v>
      </c>
      <c r="EW113" s="636"/>
      <c r="EX113" s="636"/>
      <c r="EY113" s="636"/>
      <c r="EZ113" s="636"/>
      <c r="FA113" s="636"/>
      <c r="FB113" s="636"/>
      <c r="FC113" s="636"/>
      <c r="FD113" s="636"/>
      <c r="FE113" s="636">
        <f>FE8/0.025</f>
        <v>47.999999999999993</v>
      </c>
      <c r="FF113" s="636"/>
      <c r="FG113" s="636"/>
      <c r="FH113" s="636"/>
      <c r="FI113" s="185">
        <f>SUM(CT113:FH113)</f>
        <v>892</v>
      </c>
      <c r="FJ113" s="428"/>
      <c r="FK113" s="635"/>
      <c r="FL113" s="636"/>
      <c r="FM113" s="636"/>
      <c r="FN113" s="636"/>
      <c r="FO113" s="636"/>
      <c r="FP113" s="636"/>
      <c r="FQ113" s="636"/>
      <c r="FR113" s="636"/>
      <c r="FS113" s="636"/>
      <c r="FT113" s="636"/>
      <c r="FU113" s="636"/>
      <c r="FV113" s="636"/>
      <c r="FW113" s="636"/>
      <c r="FX113" s="636"/>
      <c r="FY113" s="633"/>
      <c r="FZ113" s="123"/>
      <c r="GA113" s="634"/>
      <c r="GB113" s="635"/>
      <c r="GC113" s="636"/>
      <c r="GD113" s="636"/>
      <c r="GE113" s="717"/>
      <c r="GF113" s="641"/>
      <c r="GG113" s="72">
        <f>SUM(FJ113:GF113)</f>
        <v>0</v>
      </c>
      <c r="GH113" s="734">
        <f>(1840+5000)-FI113-GG113</f>
        <v>5948</v>
      </c>
      <c r="GI113" s="637" t="str">
        <f>H113</f>
        <v>10850 / 5850</v>
      </c>
      <c r="GJ113" s="841">
        <f>C113</f>
        <v>1080</v>
      </c>
      <c r="GK113" s="318">
        <f>E113</f>
        <v>656</v>
      </c>
      <c r="GL113" s="563"/>
      <c r="GM113" s="520" t="e">
        <f>'1_квартал'!GV90+'2_квартал'!#REF!+SUM(D113:F113)</f>
        <v>#REF!</v>
      </c>
      <c r="GN113" s="22"/>
      <c r="GO113" s="22"/>
    </row>
    <row r="114" spans="1:197" ht="24.9" customHeight="1" thickBot="1" x14ac:dyDescent="0.35">
      <c r="A114" s="644" t="s">
        <v>196</v>
      </c>
      <c r="B114" s="684" t="s">
        <v>213</v>
      </c>
      <c r="C114" s="686">
        <f>'3_квартал'!G109</f>
        <v>861.33299999999997</v>
      </c>
      <c r="D114" s="616">
        <v>732</v>
      </c>
      <c r="E114" s="193">
        <v>160</v>
      </c>
      <c r="F114" s="895">
        <v>1224</v>
      </c>
      <c r="G114" s="652">
        <f>ROUND(AVERAGE(D114:F114),3)</f>
        <v>705.33299999999997</v>
      </c>
      <c r="H114" s="656" t="s">
        <v>390</v>
      </c>
      <c r="I114" s="414" t="s">
        <v>453</v>
      </c>
      <c r="J114" s="60"/>
      <c r="K114" s="75"/>
      <c r="L114" s="75">
        <f>L8/0.025</f>
        <v>200</v>
      </c>
      <c r="M114" s="29"/>
      <c r="N114" s="75"/>
      <c r="O114" s="29"/>
      <c r="P114" s="75">
        <f>P8/0.025</f>
        <v>80</v>
      </c>
      <c r="Q114" s="75"/>
      <c r="R114" s="786"/>
      <c r="S114" s="29"/>
      <c r="T114" s="75"/>
      <c r="U114" s="75"/>
      <c r="V114" s="29"/>
      <c r="W114" s="29"/>
      <c r="X114" s="29"/>
      <c r="Y114" s="29">
        <f>Y8/0.025</f>
        <v>23.999999999999996</v>
      </c>
      <c r="Z114" s="786"/>
      <c r="AA114" s="642"/>
      <c r="AB114" s="786"/>
      <c r="AC114" s="642"/>
      <c r="AD114" s="642"/>
      <c r="AE114" s="75"/>
      <c r="AF114" s="786"/>
      <c r="AG114" s="75"/>
      <c r="AH114" s="786"/>
      <c r="AI114" s="786"/>
      <c r="AJ114" s="29">
        <f>AJ8/0.025</f>
        <v>60</v>
      </c>
      <c r="AK114" s="786"/>
      <c r="AL114" s="29"/>
      <c r="AM114" s="29">
        <f>AM8/0.025</f>
        <v>23.999999999999996</v>
      </c>
      <c r="AN114" s="75"/>
      <c r="AO114" s="786"/>
      <c r="AP114" s="786"/>
      <c r="AQ114" s="786"/>
      <c r="AR114" s="786"/>
      <c r="AS114" s="786"/>
      <c r="AT114" s="786"/>
      <c r="AU114" s="786"/>
      <c r="AV114" s="786"/>
      <c r="AW114" s="786"/>
      <c r="AX114" s="786"/>
      <c r="AY114" s="786"/>
      <c r="AZ114" s="786"/>
      <c r="BA114" s="786"/>
      <c r="BB114" s="75">
        <f>BB8/0.025</f>
        <v>64</v>
      </c>
      <c r="BC114" s="29">
        <f>BC8/0.025</f>
        <v>160</v>
      </c>
      <c r="BD114" s="786"/>
      <c r="BE114" s="786"/>
      <c r="BF114" s="29">
        <f>BF8/0.025</f>
        <v>120</v>
      </c>
      <c r="BG114" s="186">
        <f>SUM(K114:BF114)</f>
        <v>732</v>
      </c>
      <c r="BH114" s="60"/>
      <c r="BI114" s="75"/>
      <c r="BJ114" s="29">
        <f>BJ8/0.025</f>
        <v>20</v>
      </c>
      <c r="BK114" s="786"/>
      <c r="BL114" s="786"/>
      <c r="BM114" s="29"/>
      <c r="BN114" s="786"/>
      <c r="BO114" s="786"/>
      <c r="BP114" s="786"/>
      <c r="BQ114" s="75"/>
      <c r="BR114" s="75">
        <f>BR8/0.025</f>
        <v>40</v>
      </c>
      <c r="BS114" s="75"/>
      <c r="BT114" s="75"/>
      <c r="BU114" s="75"/>
      <c r="BV114" s="75"/>
      <c r="BW114" s="786"/>
      <c r="BX114" s="786"/>
      <c r="BY114" s="786"/>
      <c r="BZ114" s="786"/>
      <c r="CA114" s="786"/>
      <c r="CB114" s="29"/>
      <c r="CC114" s="786"/>
      <c r="CD114" s="786"/>
      <c r="CE114" s="29"/>
      <c r="CF114" s="786"/>
      <c r="CG114" s="786"/>
      <c r="CH114" s="786"/>
      <c r="CI114" s="786"/>
      <c r="CJ114" s="786"/>
      <c r="CK114" s="786"/>
      <c r="CL114" s="75">
        <f>CL8/0.025</f>
        <v>100</v>
      </c>
      <c r="CM114" s="786"/>
      <c r="CN114" s="786"/>
      <c r="CO114" s="786"/>
      <c r="CP114" s="786"/>
      <c r="CQ114" s="786"/>
      <c r="CR114" s="186">
        <f>SUM(BI114:CQ114)</f>
        <v>160</v>
      </c>
      <c r="CS114" s="60"/>
      <c r="CT114" s="786"/>
      <c r="CU114" s="786"/>
      <c r="CV114" s="786"/>
      <c r="CW114" s="29"/>
      <c r="CX114" s="786"/>
      <c r="CY114" s="786"/>
      <c r="CZ114" s="29">
        <f>CZ8/0.025</f>
        <v>151.99999999999997</v>
      </c>
      <c r="DA114" s="786"/>
      <c r="DB114" s="786"/>
      <c r="DC114" s="786"/>
      <c r="DD114" s="786"/>
      <c r="DE114" s="786"/>
      <c r="DF114" s="786"/>
      <c r="DG114" s="786"/>
      <c r="DH114" s="786"/>
      <c r="DI114" s="29">
        <f>DI8/0.025</f>
        <v>280</v>
      </c>
      <c r="DJ114" s="786"/>
      <c r="DK114" s="75">
        <f>DK8/0.025</f>
        <v>40</v>
      </c>
      <c r="DL114" s="786"/>
      <c r="DM114" s="786"/>
      <c r="DN114" s="786"/>
      <c r="DO114" s="75"/>
      <c r="DP114" s="786"/>
      <c r="DQ114" s="786"/>
      <c r="DR114" s="786"/>
      <c r="DS114" s="786"/>
      <c r="DT114" s="29">
        <f>DT8/0.025</f>
        <v>23.999999999999996</v>
      </c>
      <c r="DU114" s="29"/>
      <c r="DV114" s="29"/>
      <c r="DW114" s="29"/>
      <c r="DX114" s="29"/>
      <c r="DY114" s="786"/>
      <c r="DZ114" s="786"/>
      <c r="EA114" s="786"/>
      <c r="EB114" s="29"/>
      <c r="EC114" s="786"/>
      <c r="ED114" s="786"/>
      <c r="EE114" s="786"/>
      <c r="EF114" s="75"/>
      <c r="EG114" s="75"/>
      <c r="EH114" s="75">
        <f>EH8/0.025</f>
        <v>160</v>
      </c>
      <c r="EI114" s="75"/>
      <c r="EJ114" s="786"/>
      <c r="EK114" s="786"/>
      <c r="EL114" s="29">
        <f>EL8/0.025</f>
        <v>52</v>
      </c>
      <c r="EM114" s="29">
        <f>EM8/0.025</f>
        <v>168</v>
      </c>
      <c r="EN114" s="29">
        <f>EN8/0.025</f>
        <v>80</v>
      </c>
      <c r="EO114" s="75"/>
      <c r="EP114" s="29">
        <f>EP8/0.025</f>
        <v>16</v>
      </c>
      <c r="EQ114" s="75"/>
      <c r="ER114" s="75">
        <f>ER8/0.025</f>
        <v>40</v>
      </c>
      <c r="ES114" s="786"/>
      <c r="ET114" s="786"/>
      <c r="EU114" s="786"/>
      <c r="EV114" s="786"/>
      <c r="EW114" s="29">
        <f>EW8/0.025</f>
        <v>40</v>
      </c>
      <c r="EX114" s="786"/>
      <c r="EY114" s="75"/>
      <c r="EZ114" s="75"/>
      <c r="FA114" s="75"/>
      <c r="FB114" s="29">
        <f>FB8/0.025</f>
        <v>68</v>
      </c>
      <c r="FC114" s="786"/>
      <c r="FD114" s="29">
        <f>FD8/0.025</f>
        <v>23.999999999999996</v>
      </c>
      <c r="FE114" s="75"/>
      <c r="FF114" s="75">
        <f>FF8/0.025</f>
        <v>80</v>
      </c>
      <c r="FG114" s="75"/>
      <c r="FH114" s="75"/>
      <c r="FI114" s="160">
        <f>SUM(CT114:FH114)</f>
        <v>1224</v>
      </c>
      <c r="FJ114" s="426"/>
      <c r="FK114" s="29"/>
      <c r="FL114" s="786"/>
      <c r="FM114" s="786"/>
      <c r="FN114" s="75"/>
      <c r="FO114" s="75"/>
      <c r="FP114" s="75"/>
      <c r="FQ114" s="75"/>
      <c r="FR114" s="786"/>
      <c r="FS114" s="29"/>
      <c r="FT114" s="75"/>
      <c r="FU114" s="75"/>
      <c r="FV114" s="786"/>
      <c r="FW114" s="29"/>
      <c r="FX114" s="29"/>
      <c r="FY114" s="246"/>
      <c r="FZ114" s="183"/>
      <c r="GA114" s="258"/>
      <c r="GB114" s="63"/>
      <c r="GC114" s="62"/>
      <c r="GD114" s="62"/>
      <c r="GE114" s="211"/>
      <c r="GF114" s="440"/>
      <c r="GG114" s="66">
        <f>SUM(FJ114:GF114)</f>
        <v>0</v>
      </c>
      <c r="GH114" s="240">
        <f>6028-FI114-GG114</f>
        <v>4804</v>
      </c>
      <c r="GI114" s="660" t="str">
        <f>H114</f>
        <v xml:space="preserve">0 / </v>
      </c>
      <c r="GJ114" s="842">
        <f>C114</f>
        <v>861.33299999999997</v>
      </c>
      <c r="GK114" s="662">
        <f>E114</f>
        <v>160</v>
      </c>
      <c r="GL114" s="390"/>
      <c r="GM114" s="520" t="e">
        <f>'2_квартал'!#REF!+SUM(D114:F114)</f>
        <v>#REF!</v>
      </c>
      <c r="GN114" s="22"/>
      <c r="GO114" s="22"/>
    </row>
    <row r="115" spans="1:197" ht="15" thickBot="1" x14ac:dyDescent="0.35">
      <c r="A115" s="1315" t="s">
        <v>75</v>
      </c>
      <c r="B115" s="1315"/>
      <c r="C115" s="647"/>
      <c r="D115" s="648">
        <f>SUM(D110:D114)</f>
        <v>4874</v>
      </c>
      <c r="E115" s="782">
        <f>SUM(E110:E114)</f>
        <v>2944</v>
      </c>
      <c r="F115" s="649">
        <f>SUM(F110:F114)</f>
        <v>6198</v>
      </c>
      <c r="G115" s="650"/>
      <c r="H115" s="322"/>
      <c r="I115" s="124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97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735">
        <f>SUM(GH110:GH113)</f>
        <v>24228</v>
      </c>
      <c r="GI115" s="216">
        <f>SUM(GI110:GI113)</f>
        <v>0</v>
      </c>
      <c r="GJ115" s="31"/>
      <c r="GK115" s="31"/>
      <c r="GL115" s="227"/>
      <c r="GM115" s="619" t="e">
        <f>SUM(GM110:GM113)</f>
        <v>#REF!</v>
      </c>
      <c r="GN115" s="22"/>
      <c r="GO115" s="22"/>
    </row>
    <row r="116" spans="1:197" ht="15" thickBot="1" x14ac:dyDescent="0.35">
      <c r="A116" s="46"/>
      <c r="B116" s="409" t="s">
        <v>76</v>
      </c>
      <c r="C116" s="665"/>
      <c r="D116" s="839">
        <v>45</v>
      </c>
      <c r="E116" s="312">
        <v>33</v>
      </c>
      <c r="F116" s="666">
        <v>77.5</v>
      </c>
      <c r="G116" s="667"/>
      <c r="H116" s="668"/>
      <c r="I116" s="125" t="s">
        <v>454</v>
      </c>
      <c r="J116" s="6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  <c r="AA116" s="247"/>
      <c r="AB116" s="247"/>
      <c r="AC116" s="247"/>
      <c r="AD116" s="247"/>
      <c r="AE116" s="247"/>
      <c r="AF116" s="247"/>
      <c r="AG116" s="247"/>
      <c r="AH116" s="247"/>
      <c r="AI116" s="247"/>
      <c r="AJ116" s="247"/>
      <c r="AK116" s="247"/>
      <c r="AL116" s="247"/>
      <c r="AM116" s="247"/>
      <c r="AN116" s="247"/>
      <c r="AO116" s="247"/>
      <c r="AP116" s="247"/>
      <c r="AQ116" s="247"/>
      <c r="AR116" s="247"/>
      <c r="AS116" s="247"/>
      <c r="AT116" s="247"/>
      <c r="AU116" s="247"/>
      <c r="AV116" s="247"/>
      <c r="AW116" s="247"/>
      <c r="AX116" s="247"/>
      <c r="AY116" s="247"/>
      <c r="AZ116" s="247"/>
      <c r="BA116" s="247"/>
      <c r="BB116" s="247"/>
      <c r="BC116" s="247"/>
      <c r="BD116" s="247"/>
      <c r="BE116" s="247"/>
      <c r="BF116" s="247"/>
      <c r="BG116" s="161"/>
      <c r="BH116" s="67"/>
      <c r="BI116" s="247"/>
      <c r="BJ116" s="247"/>
      <c r="BK116" s="247"/>
      <c r="BL116" s="247"/>
      <c r="BM116" s="247"/>
      <c r="BN116" s="247"/>
      <c r="BO116" s="247"/>
      <c r="BP116" s="247"/>
      <c r="BQ116" s="247"/>
      <c r="BR116" s="247"/>
      <c r="BS116" s="247"/>
      <c r="BT116" s="247"/>
      <c r="BU116" s="247"/>
      <c r="BV116" s="247"/>
      <c r="BW116" s="247"/>
      <c r="BX116" s="247"/>
      <c r="BY116" s="247"/>
      <c r="BZ116" s="247"/>
      <c r="CA116" s="247"/>
      <c r="CB116" s="247"/>
      <c r="CC116" s="247"/>
      <c r="CD116" s="247"/>
      <c r="CE116" s="247"/>
      <c r="CF116" s="247"/>
      <c r="CG116" s="247"/>
      <c r="CH116" s="247"/>
      <c r="CI116" s="247"/>
      <c r="CJ116" s="247"/>
      <c r="CK116" s="247"/>
      <c r="CL116" s="247"/>
      <c r="CM116" s="247"/>
      <c r="CN116" s="247"/>
      <c r="CO116" s="247"/>
      <c r="CP116" s="247"/>
      <c r="CQ116" s="247"/>
      <c r="CR116" s="521"/>
      <c r="CS116" s="421"/>
      <c r="CT116" s="247"/>
      <c r="CU116" s="247"/>
      <c r="CV116" s="247"/>
      <c r="CW116" s="247"/>
      <c r="CX116" s="247"/>
      <c r="CY116" s="247"/>
      <c r="CZ116" s="247"/>
      <c r="DA116" s="247"/>
      <c r="DB116" s="247"/>
      <c r="DC116" s="247"/>
      <c r="DD116" s="247"/>
      <c r="DE116" s="247"/>
      <c r="DF116" s="247"/>
      <c r="DG116" s="247"/>
      <c r="DH116" s="247"/>
      <c r="DI116" s="247"/>
      <c r="DJ116" s="247"/>
      <c r="DK116" s="247"/>
      <c r="DL116" s="247"/>
      <c r="DM116" s="247"/>
      <c r="DN116" s="247"/>
      <c r="DO116" s="247"/>
      <c r="DP116" s="247"/>
      <c r="DQ116" s="247"/>
      <c r="DR116" s="247"/>
      <c r="DS116" s="247"/>
      <c r="DT116" s="247"/>
      <c r="DU116" s="81"/>
      <c r="DV116" s="43"/>
      <c r="DW116" s="45"/>
      <c r="DX116" s="247"/>
      <c r="DY116" s="247"/>
      <c r="DZ116" s="247"/>
      <c r="EA116" s="247"/>
      <c r="EB116" s="247"/>
      <c r="EC116" s="247"/>
      <c r="ED116" s="247"/>
      <c r="EE116" s="247"/>
      <c r="EF116" s="247"/>
      <c r="EG116" s="247"/>
      <c r="EH116" s="247"/>
      <c r="EI116" s="247"/>
      <c r="EJ116" s="247"/>
      <c r="EK116" s="247"/>
      <c r="EL116" s="247"/>
      <c r="EM116" s="247"/>
      <c r="EN116" s="247"/>
      <c r="EO116" s="247"/>
      <c r="EP116" s="247"/>
      <c r="EQ116" s="247"/>
      <c r="ER116" s="247"/>
      <c r="ES116" s="247"/>
      <c r="ET116" s="247"/>
      <c r="EU116" s="247"/>
      <c r="EV116" s="247"/>
      <c r="EW116" s="247"/>
      <c r="EX116" s="247"/>
      <c r="EY116" s="247"/>
      <c r="EZ116" s="247"/>
      <c r="FA116" s="247"/>
      <c r="FB116" s="247"/>
      <c r="FC116" s="247"/>
      <c r="FD116" s="247"/>
      <c r="FE116" s="247"/>
      <c r="FF116" s="247"/>
      <c r="FG116" s="247"/>
      <c r="FH116" s="247"/>
      <c r="FI116" s="423"/>
      <c r="FJ116" s="425"/>
      <c r="FK116" s="259"/>
      <c r="FL116" s="247"/>
      <c r="FM116" s="247"/>
      <c r="FN116" s="247"/>
      <c r="FO116" s="247"/>
      <c r="FP116" s="247"/>
      <c r="FQ116" s="247"/>
      <c r="FR116" s="247"/>
      <c r="FS116" s="247"/>
      <c r="FT116" s="247"/>
      <c r="FU116" s="247"/>
      <c r="FV116" s="247"/>
      <c r="FW116" s="247"/>
      <c r="FX116" s="247"/>
      <c r="FY116" s="247"/>
      <c r="FZ116" s="78"/>
      <c r="GA116" s="81"/>
      <c r="GB116" s="43"/>
      <c r="GC116" s="45"/>
      <c r="GD116" s="45"/>
      <c r="GE116" s="44"/>
      <c r="GF116" s="441"/>
      <c r="GG116" s="350">
        <f>SUM(FJ116:GF116)</f>
        <v>0</v>
      </c>
      <c r="GH116" s="349"/>
      <c r="GI116" s="217"/>
      <c r="GJ116" s="80"/>
      <c r="GK116" s="163"/>
      <c r="GL116" s="35"/>
      <c r="GM116" s="227"/>
      <c r="GN116" s="22"/>
      <c r="GO116" s="22"/>
    </row>
    <row r="117" spans="1:197" ht="15" thickBot="1" x14ac:dyDescent="0.35">
      <c r="A117" s="46"/>
      <c r="B117" s="409" t="s">
        <v>77</v>
      </c>
      <c r="C117" s="596"/>
      <c r="D117" s="597"/>
      <c r="E117" s="577"/>
      <c r="F117" s="598"/>
      <c r="G117" s="133"/>
      <c r="H117" s="669"/>
      <c r="I117" s="125">
        <v>0</v>
      </c>
      <c r="J117" s="60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  <c r="AA117" s="248"/>
      <c r="AB117" s="248"/>
      <c r="AC117" s="248"/>
      <c r="AD117" s="248"/>
      <c r="AE117" s="248"/>
      <c r="AF117" s="248"/>
      <c r="AG117" s="248"/>
      <c r="AH117" s="248"/>
      <c r="AI117" s="248"/>
      <c r="AJ117" s="248"/>
      <c r="AK117" s="248"/>
      <c r="AL117" s="248"/>
      <c r="AM117" s="248"/>
      <c r="AN117" s="248"/>
      <c r="AO117" s="248"/>
      <c r="AP117" s="248"/>
      <c r="AQ117" s="248"/>
      <c r="AR117" s="248"/>
      <c r="AS117" s="248"/>
      <c r="AT117" s="248"/>
      <c r="AU117" s="248"/>
      <c r="AV117" s="248"/>
      <c r="AW117" s="248"/>
      <c r="AX117" s="248"/>
      <c r="AY117" s="248"/>
      <c r="AZ117" s="248"/>
      <c r="BA117" s="248"/>
      <c r="BB117" s="248"/>
      <c r="BC117" s="248"/>
      <c r="BD117" s="248"/>
      <c r="BE117" s="248"/>
      <c r="BF117" s="248"/>
      <c r="BG117" s="161"/>
      <c r="BH117" s="60"/>
      <c r="BI117" s="248"/>
      <c r="BJ117" s="248"/>
      <c r="BK117" s="248"/>
      <c r="BL117" s="248"/>
      <c r="BM117" s="248"/>
      <c r="BN117" s="248"/>
      <c r="BO117" s="248"/>
      <c r="BP117" s="248"/>
      <c r="BQ117" s="248"/>
      <c r="BR117" s="248"/>
      <c r="BS117" s="248"/>
      <c r="BT117" s="248"/>
      <c r="BU117" s="248"/>
      <c r="BV117" s="248"/>
      <c r="BW117" s="248"/>
      <c r="BX117" s="248"/>
      <c r="BY117" s="248"/>
      <c r="BZ117" s="248"/>
      <c r="CA117" s="248"/>
      <c r="CB117" s="248"/>
      <c r="CC117" s="248"/>
      <c r="CD117" s="248"/>
      <c r="CE117" s="248"/>
      <c r="CF117" s="248"/>
      <c r="CG117" s="248"/>
      <c r="CH117" s="248"/>
      <c r="CI117" s="248"/>
      <c r="CJ117" s="248"/>
      <c r="CK117" s="248"/>
      <c r="CL117" s="248"/>
      <c r="CM117" s="248"/>
      <c r="CN117" s="248"/>
      <c r="CO117" s="248"/>
      <c r="CP117" s="248"/>
      <c r="CQ117" s="248"/>
      <c r="CR117" s="522"/>
      <c r="CS117" s="422"/>
      <c r="CT117" s="248"/>
      <c r="CU117" s="248"/>
      <c r="CV117" s="248"/>
      <c r="CW117" s="248"/>
      <c r="CX117" s="248"/>
      <c r="CY117" s="248"/>
      <c r="CZ117" s="248"/>
      <c r="DA117" s="248"/>
      <c r="DB117" s="248"/>
      <c r="DC117" s="248"/>
      <c r="DD117" s="248"/>
      <c r="DE117" s="248"/>
      <c r="DF117" s="248"/>
      <c r="DG117" s="248"/>
      <c r="DH117" s="248"/>
      <c r="DI117" s="248"/>
      <c r="DJ117" s="248"/>
      <c r="DK117" s="248"/>
      <c r="DL117" s="248"/>
      <c r="DM117" s="248"/>
      <c r="DN117" s="248"/>
      <c r="DO117" s="248"/>
      <c r="DP117" s="248"/>
      <c r="DQ117" s="248"/>
      <c r="DR117" s="248"/>
      <c r="DS117" s="248"/>
      <c r="DT117" s="248"/>
      <c r="DU117" s="81"/>
      <c r="DV117" s="43"/>
      <c r="DW117" s="45"/>
      <c r="DX117" s="248"/>
      <c r="DY117" s="248"/>
      <c r="DZ117" s="248"/>
      <c r="EA117" s="248"/>
      <c r="EB117" s="248"/>
      <c r="EC117" s="248"/>
      <c r="ED117" s="248"/>
      <c r="EE117" s="248"/>
      <c r="EF117" s="248"/>
      <c r="EG117" s="248"/>
      <c r="EH117" s="248"/>
      <c r="EI117" s="248"/>
      <c r="EJ117" s="248"/>
      <c r="EK117" s="248"/>
      <c r="EL117" s="248"/>
      <c r="EM117" s="248"/>
      <c r="EN117" s="248"/>
      <c r="EO117" s="248"/>
      <c r="EP117" s="248"/>
      <c r="EQ117" s="248"/>
      <c r="ER117" s="248"/>
      <c r="ES117" s="248"/>
      <c r="ET117" s="248"/>
      <c r="EU117" s="248"/>
      <c r="EV117" s="248"/>
      <c r="EW117" s="248"/>
      <c r="EX117" s="248"/>
      <c r="EY117" s="248"/>
      <c r="EZ117" s="248"/>
      <c r="FA117" s="248"/>
      <c r="FB117" s="248"/>
      <c r="FC117" s="248"/>
      <c r="FD117" s="248"/>
      <c r="FE117" s="248"/>
      <c r="FF117" s="248"/>
      <c r="FG117" s="248"/>
      <c r="FH117" s="248"/>
      <c r="FI117" s="424"/>
      <c r="FJ117" s="426"/>
      <c r="FK117" s="248"/>
      <c r="FL117" s="248"/>
      <c r="FM117" s="248"/>
      <c r="FN117" s="248"/>
      <c r="FO117" s="248"/>
      <c r="FP117" s="248"/>
      <c r="FQ117" s="248"/>
      <c r="FR117" s="248"/>
      <c r="FS117" s="248"/>
      <c r="FT117" s="248"/>
      <c r="FU117" s="248"/>
      <c r="FV117" s="248"/>
      <c r="FW117" s="248"/>
      <c r="FX117" s="248"/>
      <c r="FY117" s="248"/>
      <c r="FZ117" s="78"/>
      <c r="GA117" s="81"/>
      <c r="GB117" s="43"/>
      <c r="GC117" s="45"/>
      <c r="GD117" s="45"/>
      <c r="GE117" s="44"/>
      <c r="GF117" s="441"/>
      <c r="GG117" s="350">
        <f>SUM(FJ117:GF117)</f>
        <v>0</v>
      </c>
      <c r="GH117" s="349"/>
      <c r="GI117" s="217"/>
      <c r="GJ117" s="80"/>
      <c r="GK117" s="79"/>
      <c r="GL117" s="35"/>
      <c r="GM117" s="227"/>
      <c r="GN117" s="22"/>
      <c r="GO117" s="22"/>
    </row>
    <row r="118" spans="1:197" x14ac:dyDescent="0.3">
      <c r="A118" s="22"/>
      <c r="B118" s="20"/>
      <c r="C118" s="300"/>
      <c r="D118" s="506"/>
      <c r="E118" s="188"/>
      <c r="F118" s="307"/>
      <c r="G118" s="17"/>
      <c r="GD118"/>
    </row>
    <row r="119" spans="1:197" x14ac:dyDescent="0.3">
      <c r="A119" s="22"/>
      <c r="B119" s="20"/>
      <c r="C119" s="300"/>
      <c r="D119" s="506"/>
      <c r="E119" s="188"/>
      <c r="F119" s="307"/>
      <c r="G119" s="17"/>
      <c r="GD119"/>
    </row>
    <row r="120" spans="1:197" x14ac:dyDescent="0.3">
      <c r="A120" s="22"/>
      <c r="B120" s="20"/>
      <c r="C120" s="300"/>
      <c r="D120" s="506"/>
      <c r="E120" s="188"/>
      <c r="F120" s="307"/>
      <c r="G120" s="17"/>
      <c r="GD120"/>
    </row>
    <row r="121" spans="1:197" x14ac:dyDescent="0.3">
      <c r="A121" s="22"/>
      <c r="B121" s="20"/>
      <c r="C121" s="300"/>
      <c r="D121" s="506"/>
      <c r="E121" s="188"/>
      <c r="F121" s="307"/>
      <c r="G121" s="17"/>
      <c r="GD121"/>
    </row>
    <row r="122" spans="1:197" x14ac:dyDescent="0.3">
      <c r="A122" s="22"/>
      <c r="B122" s="20"/>
      <c r="C122" s="300"/>
      <c r="D122" s="506"/>
      <c r="E122" s="188"/>
      <c r="F122" s="307"/>
      <c r="G122" s="17"/>
      <c r="GD122"/>
    </row>
    <row r="123" spans="1:197" x14ac:dyDescent="0.3">
      <c r="A123" s="22"/>
      <c r="B123" s="20"/>
      <c r="C123" s="300"/>
      <c r="D123" s="506"/>
      <c r="E123" s="188"/>
      <c r="F123" s="307"/>
      <c r="G123" s="17"/>
      <c r="GD123"/>
    </row>
    <row r="124" spans="1:197" x14ac:dyDescent="0.3">
      <c r="A124" s="22"/>
      <c r="B124" s="20"/>
      <c r="C124" s="300"/>
      <c r="D124" s="506"/>
      <c r="E124" s="188"/>
      <c r="F124" s="307"/>
      <c r="G124" s="17"/>
      <c r="GD124"/>
    </row>
    <row r="125" spans="1:197" x14ac:dyDescent="0.3">
      <c r="A125" s="22"/>
      <c r="B125" s="20"/>
      <c r="C125" s="300"/>
      <c r="D125" s="506"/>
      <c r="E125" s="188"/>
      <c r="F125" s="307"/>
      <c r="G125" s="17"/>
      <c r="GD125"/>
    </row>
    <row r="126" spans="1:197" x14ac:dyDescent="0.3">
      <c r="A126" s="22"/>
      <c r="B126" s="20"/>
      <c r="C126" s="300"/>
      <c r="D126" s="506"/>
      <c r="E126" s="188"/>
      <c r="F126" s="307"/>
      <c r="G126" s="17"/>
      <c r="GD126"/>
    </row>
    <row r="127" spans="1:197" x14ac:dyDescent="0.3">
      <c r="A127" s="22"/>
      <c r="B127" s="20"/>
      <c r="C127" s="300"/>
      <c r="D127" s="506"/>
      <c r="E127" s="188"/>
      <c r="F127" s="307"/>
      <c r="G127" s="17"/>
      <c r="GD127"/>
    </row>
    <row r="128" spans="1:197" x14ac:dyDescent="0.3">
      <c r="A128" s="22"/>
      <c r="B128" s="20"/>
      <c r="C128" s="300"/>
      <c r="D128" s="506"/>
      <c r="E128" s="188"/>
      <c r="F128" s="307"/>
      <c r="G128" s="17"/>
      <c r="GD128"/>
    </row>
    <row r="129" spans="1:186" x14ac:dyDescent="0.3">
      <c r="A129" s="22"/>
      <c r="B129" s="20"/>
      <c r="C129" s="300"/>
      <c r="D129" s="506"/>
      <c r="E129" s="188"/>
      <c r="F129" s="307"/>
      <c r="G129" s="17"/>
      <c r="GD129"/>
    </row>
    <row r="130" spans="1:186" x14ac:dyDescent="0.3">
      <c r="A130" s="22"/>
      <c r="B130" s="20"/>
      <c r="C130" s="300"/>
      <c r="D130" s="506"/>
      <c r="E130" s="188"/>
      <c r="F130" s="307"/>
      <c r="G130" s="17"/>
      <c r="GD130"/>
    </row>
    <row r="131" spans="1:186" x14ac:dyDescent="0.3">
      <c r="A131" s="22"/>
      <c r="B131" s="20"/>
      <c r="C131" s="300"/>
      <c r="D131" s="506"/>
      <c r="E131" s="188"/>
      <c r="F131" s="307"/>
      <c r="G131" s="17"/>
      <c r="GD131"/>
    </row>
    <row r="132" spans="1:186" x14ac:dyDescent="0.3">
      <c r="A132" s="22"/>
      <c r="B132" s="20"/>
      <c r="C132" s="300"/>
      <c r="D132" s="506"/>
      <c r="E132" s="188"/>
      <c r="F132" s="307"/>
      <c r="G132" s="17"/>
      <c r="GD132"/>
    </row>
    <row r="133" spans="1:186" x14ac:dyDescent="0.3">
      <c r="A133" s="22"/>
      <c r="B133" s="20"/>
      <c r="C133" s="300"/>
      <c r="D133" s="506"/>
      <c r="E133" s="188"/>
      <c r="F133" s="307"/>
      <c r="G133" s="17"/>
      <c r="GD133"/>
    </row>
    <row r="134" spans="1:186" x14ac:dyDescent="0.3">
      <c r="A134" s="22"/>
      <c r="B134" s="20"/>
      <c r="C134" s="300"/>
      <c r="D134" s="506"/>
      <c r="E134" s="188"/>
      <c r="F134" s="307"/>
      <c r="G134" s="17"/>
      <c r="GD134"/>
    </row>
    <row r="135" spans="1:186" x14ac:dyDescent="0.3">
      <c r="A135" s="22"/>
      <c r="B135" s="20"/>
      <c r="C135" s="300"/>
      <c r="D135" s="506"/>
      <c r="E135" s="188"/>
      <c r="F135" s="307"/>
      <c r="G135" s="17"/>
      <c r="GD135"/>
    </row>
    <row r="136" spans="1:186" x14ac:dyDescent="0.3">
      <c r="A136" s="22"/>
      <c r="B136" s="20"/>
      <c r="C136" s="300"/>
      <c r="D136" s="506"/>
      <c r="E136" s="188"/>
      <c r="F136" s="307"/>
      <c r="G136" s="17"/>
      <c r="GD136"/>
    </row>
    <row r="137" spans="1:186" x14ac:dyDescent="0.3">
      <c r="A137" s="22"/>
      <c r="B137" s="20"/>
      <c r="C137" s="300"/>
      <c r="D137" s="506"/>
      <c r="E137" s="188"/>
      <c r="F137" s="307"/>
      <c r="G137" s="17"/>
      <c r="GD137"/>
    </row>
    <row r="138" spans="1:186" x14ac:dyDescent="0.3">
      <c r="A138" s="22"/>
      <c r="B138" s="20"/>
      <c r="C138" s="300"/>
      <c r="D138" s="506"/>
      <c r="E138" s="188"/>
      <c r="F138" s="307"/>
      <c r="G138" s="17"/>
      <c r="GD138"/>
    </row>
    <row r="139" spans="1:186" x14ac:dyDescent="0.3">
      <c r="A139" s="22"/>
      <c r="B139" s="20"/>
      <c r="C139" s="300"/>
      <c r="D139" s="506"/>
      <c r="E139" s="188"/>
      <c r="F139" s="307"/>
      <c r="G139" s="17"/>
      <c r="GD139"/>
    </row>
    <row r="140" spans="1:186" x14ac:dyDescent="0.3">
      <c r="A140" s="22"/>
      <c r="B140" s="20"/>
      <c r="C140" s="300"/>
      <c r="D140" s="506"/>
      <c r="E140" s="188"/>
      <c r="F140" s="307"/>
      <c r="G140" s="17"/>
      <c r="GD140"/>
    </row>
    <row r="141" spans="1:186" x14ac:dyDescent="0.3">
      <c r="A141" s="22"/>
      <c r="B141" s="20"/>
      <c r="C141" s="300"/>
      <c r="D141" s="506"/>
      <c r="E141" s="188"/>
      <c r="F141" s="307"/>
      <c r="G141" s="17"/>
      <c r="GD141"/>
    </row>
    <row r="142" spans="1:186" x14ac:dyDescent="0.3">
      <c r="A142" s="22"/>
      <c r="B142" s="20"/>
      <c r="C142" s="300"/>
      <c r="D142" s="506"/>
      <c r="E142" s="188"/>
      <c r="F142" s="307"/>
      <c r="G142" s="17"/>
      <c r="GD142"/>
    </row>
    <row r="143" spans="1:186" x14ac:dyDescent="0.3">
      <c r="A143" s="22"/>
      <c r="B143" s="20"/>
      <c r="C143" s="300"/>
      <c r="D143" s="506"/>
      <c r="E143" s="188"/>
      <c r="F143" s="307"/>
      <c r="G143" s="17"/>
      <c r="GD143"/>
    </row>
    <row r="144" spans="1:186" x14ac:dyDescent="0.3">
      <c r="A144" s="22"/>
      <c r="B144" s="20"/>
      <c r="C144" s="300"/>
      <c r="D144" s="506"/>
      <c r="E144" s="188"/>
      <c r="F144" s="307"/>
      <c r="G144" s="17"/>
      <c r="GD144"/>
    </row>
    <row r="145" spans="1:186" x14ac:dyDescent="0.3">
      <c r="A145" s="22"/>
      <c r="B145" s="20"/>
      <c r="C145" s="300"/>
      <c r="D145" s="506"/>
      <c r="E145" s="188"/>
      <c r="F145" s="307"/>
      <c r="G145" s="17"/>
      <c r="GD145"/>
    </row>
    <row r="146" spans="1:186" x14ac:dyDescent="0.3">
      <c r="A146" s="22"/>
      <c r="B146" s="20"/>
      <c r="C146" s="300"/>
      <c r="D146" s="506"/>
      <c r="E146" s="188"/>
      <c r="F146" s="307"/>
      <c r="G146" s="17"/>
      <c r="GD146"/>
    </row>
    <row r="147" spans="1:186" x14ac:dyDescent="0.3">
      <c r="A147" s="22"/>
      <c r="B147" s="20"/>
      <c r="C147" s="300"/>
      <c r="D147" s="506"/>
      <c r="E147" s="188"/>
      <c r="F147" s="307"/>
      <c r="G147" s="17"/>
      <c r="GD147"/>
    </row>
    <row r="148" spans="1:186" x14ac:dyDescent="0.3">
      <c r="A148" s="22"/>
      <c r="B148" s="20"/>
      <c r="C148" s="300"/>
      <c r="D148" s="506"/>
      <c r="E148" s="188"/>
      <c r="F148" s="307"/>
      <c r="G148" s="17"/>
      <c r="GD148"/>
    </row>
    <row r="149" spans="1:186" x14ac:dyDescent="0.3">
      <c r="A149" s="22"/>
      <c r="B149" s="20"/>
      <c r="C149" s="300"/>
      <c r="D149" s="506"/>
      <c r="E149" s="188"/>
      <c r="F149" s="307"/>
      <c r="G149" s="17"/>
      <c r="GD149"/>
    </row>
    <row r="150" spans="1:186" x14ac:dyDescent="0.3">
      <c r="A150" s="22"/>
      <c r="B150" s="20"/>
      <c r="C150" s="300"/>
      <c r="D150" s="506"/>
      <c r="E150" s="188"/>
      <c r="F150" s="307"/>
      <c r="G150" s="17"/>
      <c r="GD150"/>
    </row>
    <row r="151" spans="1:186" x14ac:dyDescent="0.3">
      <c r="A151" s="22"/>
      <c r="B151" s="20"/>
      <c r="C151" s="300"/>
      <c r="D151" s="506"/>
      <c r="E151" s="188"/>
      <c r="F151" s="307"/>
      <c r="G151" s="17"/>
      <c r="GD151"/>
    </row>
    <row r="152" spans="1:186" x14ac:dyDescent="0.3">
      <c r="A152" s="22"/>
      <c r="B152" s="20"/>
      <c r="C152" s="300"/>
      <c r="D152" s="506"/>
      <c r="E152" s="188"/>
      <c r="F152" s="307"/>
      <c r="G152" s="17"/>
      <c r="GD152"/>
    </row>
    <row r="153" spans="1:186" x14ac:dyDescent="0.3">
      <c r="A153" s="22"/>
      <c r="B153" s="20"/>
      <c r="C153" s="300"/>
      <c r="D153" s="506"/>
      <c r="E153" s="188"/>
      <c r="F153" s="307"/>
      <c r="G153" s="17"/>
      <c r="GD153"/>
    </row>
    <row r="154" spans="1:186" x14ac:dyDescent="0.3">
      <c r="A154" s="22"/>
      <c r="B154" s="20"/>
      <c r="C154" s="300"/>
      <c r="D154" s="506"/>
      <c r="E154" s="188"/>
      <c r="F154" s="307"/>
      <c r="G154" s="17"/>
      <c r="GD154"/>
    </row>
    <row r="155" spans="1:186" x14ac:dyDescent="0.3">
      <c r="A155" s="22"/>
      <c r="B155" s="20"/>
      <c r="C155" s="300"/>
      <c r="D155" s="506"/>
      <c r="E155" s="188"/>
      <c r="F155" s="307"/>
      <c r="G155" s="17"/>
      <c r="GD155"/>
    </row>
    <row r="156" spans="1:186" x14ac:dyDescent="0.3">
      <c r="A156" s="22"/>
      <c r="B156" s="20"/>
      <c r="C156" s="300"/>
      <c r="D156" s="506"/>
      <c r="E156" s="188"/>
      <c r="F156" s="307"/>
      <c r="G156" s="17"/>
      <c r="GD156"/>
    </row>
    <row r="157" spans="1:186" x14ac:dyDescent="0.3">
      <c r="A157" s="22"/>
      <c r="B157" s="20"/>
      <c r="C157" s="300"/>
      <c r="D157" s="506"/>
      <c r="E157" s="188"/>
      <c r="F157" s="307"/>
      <c r="G157" s="17"/>
      <c r="GD157"/>
    </row>
    <row r="158" spans="1:186" x14ac:dyDescent="0.3">
      <c r="A158" s="22"/>
      <c r="B158" s="20"/>
      <c r="C158" s="300"/>
      <c r="D158" s="506"/>
      <c r="E158" s="188"/>
      <c r="F158" s="307"/>
      <c r="G158" s="17"/>
      <c r="GD158"/>
    </row>
    <row r="159" spans="1:186" x14ac:dyDescent="0.3">
      <c r="A159" s="22"/>
      <c r="B159" s="20"/>
      <c r="C159" s="300"/>
      <c r="D159" s="506"/>
      <c r="E159" s="188"/>
      <c r="F159" s="307"/>
      <c r="G159" s="17"/>
      <c r="GD159"/>
    </row>
    <row r="160" spans="1:186" x14ac:dyDescent="0.3">
      <c r="A160" s="22"/>
      <c r="B160" s="20"/>
      <c r="C160" s="300"/>
      <c r="D160" s="506"/>
      <c r="E160" s="188"/>
      <c r="F160" s="307"/>
      <c r="G160" s="17"/>
      <c r="GD160"/>
    </row>
    <row r="161" spans="1:190" x14ac:dyDescent="0.3">
      <c r="A161" s="22"/>
      <c r="B161" s="20"/>
      <c r="C161" s="300"/>
      <c r="D161" s="506"/>
      <c r="E161" s="188"/>
      <c r="F161" s="307"/>
      <c r="G161" s="17"/>
      <c r="GD161"/>
    </row>
    <row r="162" spans="1:190" x14ac:dyDescent="0.3">
      <c r="A162" s="22"/>
      <c r="B162" s="20"/>
      <c r="C162" s="300"/>
      <c r="D162" s="506"/>
      <c r="E162" s="188"/>
      <c r="F162" s="307"/>
      <c r="G162" s="17"/>
      <c r="GD162"/>
    </row>
    <row r="163" spans="1:190" x14ac:dyDescent="0.3">
      <c r="A163" s="22"/>
      <c r="B163" s="20"/>
      <c r="C163" s="300"/>
      <c r="D163" s="506"/>
      <c r="E163" s="188"/>
      <c r="F163" s="307"/>
      <c r="G163" s="17"/>
      <c r="GD163"/>
    </row>
    <row r="164" spans="1:190" x14ac:dyDescent="0.3">
      <c r="A164" s="22"/>
      <c r="B164" s="20"/>
      <c r="C164" s="300"/>
      <c r="D164" s="506"/>
      <c r="E164" s="188"/>
      <c r="F164" s="307"/>
      <c r="G164" s="17"/>
      <c r="GD164"/>
    </row>
    <row r="165" spans="1:190" x14ac:dyDescent="0.3">
      <c r="A165" s="22"/>
      <c r="B165" s="20"/>
      <c r="C165" s="300"/>
      <c r="D165" s="506"/>
      <c r="E165" s="188"/>
      <c r="F165" s="307"/>
      <c r="G165" s="17"/>
      <c r="GD165"/>
    </row>
    <row r="166" spans="1:190" x14ac:dyDescent="0.3">
      <c r="A166" s="22"/>
      <c r="B166" s="20"/>
      <c r="C166" s="300"/>
      <c r="D166" s="506"/>
      <c r="E166" s="188"/>
      <c r="F166" s="307"/>
      <c r="G166" s="17"/>
      <c r="GD166"/>
    </row>
    <row r="167" spans="1:190" x14ac:dyDescent="0.3">
      <c r="C167" s="306"/>
      <c r="D167" s="595"/>
      <c r="E167"/>
      <c r="F167" s="167"/>
      <c r="GD167"/>
    </row>
    <row r="168" spans="1:190" x14ac:dyDescent="0.3">
      <c r="C168" s="306"/>
      <c r="D168" s="595"/>
      <c r="E168"/>
      <c r="F168" s="167"/>
      <c r="GD168"/>
    </row>
    <row r="169" spans="1:190" x14ac:dyDescent="0.3">
      <c r="C169" s="306"/>
      <c r="D169" s="595"/>
      <c r="E169"/>
      <c r="F169" s="167"/>
      <c r="GD169"/>
    </row>
    <row r="170" spans="1:190" x14ac:dyDescent="0.3">
      <c r="C170" s="306"/>
      <c r="D170" s="595"/>
      <c r="E170"/>
      <c r="F170" s="167"/>
      <c r="GD170"/>
    </row>
    <row r="171" spans="1:190" x14ac:dyDescent="0.3">
      <c r="A171" s="22"/>
      <c r="B171" s="20"/>
      <c r="C171" s="14"/>
      <c r="D171" s="14"/>
      <c r="E171" s="188"/>
      <c r="F171" s="188"/>
      <c r="G171" s="188"/>
      <c r="H171" s="188"/>
      <c r="I171" s="188"/>
      <c r="J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Q171" s="188"/>
      <c r="AR171" s="188"/>
      <c r="AS171" s="188"/>
      <c r="AT171" s="188"/>
      <c r="AU171" s="188"/>
      <c r="AV171" s="188"/>
      <c r="AW171" s="188"/>
      <c r="BC171" s="188"/>
      <c r="BD171" s="188"/>
      <c r="BE171" s="188"/>
      <c r="BF171" s="188"/>
      <c r="BG171" s="188"/>
      <c r="BH171" s="188"/>
      <c r="BI171" s="188"/>
      <c r="BJ171" s="188"/>
      <c r="BK171" s="188"/>
      <c r="BL171" s="188"/>
      <c r="BM171" s="188"/>
      <c r="BN171" s="188"/>
      <c r="BO171" s="188"/>
      <c r="BP171" s="188"/>
      <c r="BQ171" s="188"/>
      <c r="BR171" s="188"/>
      <c r="BS171" s="188"/>
      <c r="BT171" s="188"/>
      <c r="BU171" s="188"/>
      <c r="BV171" s="188"/>
      <c r="BW171" s="188"/>
      <c r="BX171" s="188"/>
      <c r="BY171" s="188"/>
      <c r="BZ171" s="188"/>
      <c r="CA171" s="188"/>
      <c r="CB171" s="188"/>
      <c r="CC171" s="188"/>
      <c r="CD171" s="188"/>
      <c r="CE171" s="188"/>
      <c r="CF171" s="188"/>
      <c r="CG171" s="188"/>
      <c r="CH171" s="188"/>
      <c r="CI171" s="188"/>
      <c r="CJ171" s="188"/>
      <c r="CK171" s="188"/>
      <c r="CL171" s="188"/>
      <c r="CM171" s="188"/>
      <c r="CN171" s="188"/>
      <c r="CO171" s="188"/>
      <c r="CP171" s="188"/>
      <c r="CQ171" s="188"/>
      <c r="CR171" s="188"/>
      <c r="CS171" s="188"/>
      <c r="CT171" s="188"/>
      <c r="CU171" s="188"/>
      <c r="CV171" s="188"/>
      <c r="CW171" s="188"/>
      <c r="CX171" s="188"/>
      <c r="CY171" s="188"/>
      <c r="CZ171" s="188"/>
      <c r="DA171" s="188"/>
      <c r="DB171" s="188"/>
      <c r="DC171" s="188"/>
      <c r="DD171" s="188"/>
      <c r="DE171" s="188"/>
      <c r="DF171" s="188"/>
      <c r="DG171" s="188"/>
      <c r="DH171" s="188"/>
      <c r="DI171" s="188"/>
      <c r="DJ171" s="188"/>
      <c r="DK171" s="188"/>
      <c r="DL171" s="188"/>
      <c r="DM171" s="188"/>
      <c r="DN171" s="188"/>
      <c r="DP171" s="188"/>
      <c r="DQ171" s="188"/>
      <c r="DS171" s="188"/>
      <c r="DT171" s="188"/>
      <c r="DU171" s="188"/>
      <c r="DV171" s="188"/>
      <c r="DW171" s="188"/>
      <c r="DX171" s="188"/>
      <c r="DY171" s="188"/>
      <c r="DZ171" s="188"/>
      <c r="EA171" s="188"/>
      <c r="EB171" s="188"/>
      <c r="EC171" s="188"/>
      <c r="ED171" s="188"/>
      <c r="EE171" s="188"/>
      <c r="EF171" s="188"/>
      <c r="EG171" s="188"/>
      <c r="EH171" s="188"/>
      <c r="EI171" s="188"/>
      <c r="EJ171" s="188"/>
      <c r="EK171" s="188"/>
      <c r="EL171" s="188"/>
      <c r="EM171" s="188"/>
      <c r="EN171" s="188"/>
      <c r="EO171" s="188"/>
      <c r="EQ171" s="188"/>
      <c r="ER171" s="188"/>
      <c r="ES171" s="188"/>
      <c r="ET171" s="188"/>
      <c r="EU171" s="188"/>
      <c r="EV171" s="188"/>
      <c r="EW171" s="188"/>
      <c r="EX171" s="188"/>
      <c r="EY171" s="188"/>
      <c r="EZ171" s="188"/>
      <c r="FA171" s="188"/>
      <c r="FB171" s="188"/>
      <c r="FC171" s="188"/>
      <c r="FD171" s="188"/>
      <c r="FE171" s="14"/>
      <c r="FF171" s="14"/>
      <c r="FG171" s="14"/>
      <c r="FH171" s="14"/>
      <c r="FI171" s="188"/>
      <c r="FJ171" s="188"/>
      <c r="FK171" s="188"/>
      <c r="FN171" s="188"/>
      <c r="FO171" s="14"/>
      <c r="FP171" s="14"/>
      <c r="FQ171" s="14"/>
      <c r="FR171" s="188"/>
      <c r="FS171" s="188"/>
      <c r="FT171" s="188"/>
      <c r="FU171" s="188"/>
      <c r="FV171" s="188"/>
      <c r="FW171" s="188"/>
      <c r="FX171" s="188"/>
      <c r="FY171" s="188"/>
      <c r="FZ171" s="188"/>
      <c r="GA171" s="188"/>
      <c r="GB171" s="188"/>
      <c r="GC171" s="188"/>
      <c r="GD171" s="188"/>
      <c r="GE171" s="188"/>
      <c r="GF171" s="188"/>
      <c r="GG171" s="188"/>
      <c r="GH171" s="188"/>
    </row>
    <row r="172" spans="1:190" x14ac:dyDescent="0.3">
      <c r="A172" s="22"/>
      <c r="B172" s="20"/>
      <c r="C172" s="14"/>
      <c r="D172" s="14"/>
      <c r="E172" s="188"/>
      <c r="F172" s="188"/>
      <c r="G172" s="188"/>
      <c r="H172" s="188"/>
      <c r="I172" s="188"/>
      <c r="J172" s="188"/>
      <c r="M172" s="188"/>
      <c r="N172" s="188"/>
      <c r="O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H172" s="188"/>
      <c r="AI172" s="188"/>
      <c r="AJ172" s="188"/>
      <c r="AP172" s="188"/>
      <c r="AQ172" s="188"/>
      <c r="AR172" s="188"/>
      <c r="AS172" s="188"/>
      <c r="AT172" s="188"/>
      <c r="AU172" s="188"/>
      <c r="AV172" s="188"/>
      <c r="AW172" s="188"/>
      <c r="BC172" s="188"/>
      <c r="BD172" s="188"/>
      <c r="BE172" s="188"/>
      <c r="BF172" s="188"/>
      <c r="BG172" s="188"/>
      <c r="BH172" s="188"/>
      <c r="BI172" s="188"/>
      <c r="BJ172" s="188"/>
      <c r="BM172" s="188"/>
      <c r="BN172" s="188"/>
      <c r="BO172" s="188"/>
      <c r="BP172" s="188"/>
      <c r="BQ172" s="188"/>
      <c r="BR172" s="188"/>
      <c r="BS172" s="188"/>
      <c r="BT172" s="188"/>
      <c r="BU172" s="188"/>
      <c r="BV172" s="188"/>
      <c r="BW172" s="188"/>
      <c r="BX172" s="188"/>
      <c r="BY172" s="188"/>
      <c r="BZ172" s="188"/>
      <c r="CE172" s="188"/>
      <c r="CG172" s="188"/>
      <c r="CH172" s="188"/>
      <c r="CJ172" s="188"/>
      <c r="CL172" s="188"/>
      <c r="CP172" s="188"/>
      <c r="CQ172" s="188"/>
      <c r="CR172" s="188"/>
      <c r="CS172" s="188"/>
      <c r="CT172" s="188"/>
      <c r="CU172" s="188"/>
      <c r="CV172" s="188"/>
      <c r="CW172" s="188"/>
      <c r="CX172" s="188"/>
      <c r="CY172" s="188"/>
      <c r="CZ172" s="188"/>
      <c r="DA172" s="188"/>
      <c r="DB172" s="188"/>
      <c r="DC172" s="188"/>
      <c r="DJ172" s="188"/>
      <c r="DK172" s="188"/>
      <c r="DL172" s="188"/>
      <c r="DM172" s="188"/>
      <c r="DN172" s="188"/>
      <c r="DP172" s="188"/>
      <c r="DQ172" s="188"/>
      <c r="DS172" s="188"/>
      <c r="DU172" s="188"/>
      <c r="DV172" s="188"/>
      <c r="DW172" s="188"/>
      <c r="DX172" s="188"/>
      <c r="DY172" s="188"/>
      <c r="DZ172" s="188"/>
      <c r="EA172" s="188"/>
      <c r="EB172" s="188"/>
      <c r="EC172" s="188"/>
      <c r="ED172" s="188"/>
      <c r="EE172" s="188"/>
      <c r="EF172" s="188"/>
      <c r="EG172" s="188"/>
      <c r="EH172" s="188"/>
      <c r="EI172" s="188"/>
      <c r="EJ172" s="188"/>
      <c r="EK172" s="188"/>
      <c r="EL172" s="188"/>
      <c r="EM172" s="188"/>
      <c r="EN172" s="188"/>
      <c r="EO172" s="188"/>
      <c r="EP172" s="188"/>
      <c r="EQ172" s="188"/>
      <c r="ER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8"/>
      <c r="FC172" s="188"/>
      <c r="FD172" s="188"/>
      <c r="FE172" s="14"/>
      <c r="FF172" s="14"/>
      <c r="FG172" s="14"/>
      <c r="FH172" s="14"/>
      <c r="FI172" s="188"/>
      <c r="FJ172" s="188"/>
      <c r="FK172" s="188"/>
      <c r="FL172" s="188"/>
      <c r="FM172" s="188"/>
      <c r="FN172" s="188"/>
      <c r="FO172" s="14"/>
      <c r="FP172" s="14"/>
      <c r="FQ172" s="14"/>
      <c r="FR172" s="188"/>
      <c r="FS172" s="188"/>
      <c r="FT172" s="188"/>
      <c r="FU172" s="188"/>
      <c r="FV172" s="188"/>
      <c r="FW172" s="188"/>
      <c r="FX172" s="188"/>
      <c r="FY172" s="188"/>
      <c r="FZ172" s="188"/>
      <c r="GA172" s="188"/>
      <c r="GB172" s="188"/>
      <c r="GC172" s="188"/>
      <c r="GD172" s="188"/>
      <c r="GE172" s="188"/>
      <c r="GF172" s="188"/>
      <c r="GG172" s="188"/>
      <c r="GH172" s="188"/>
    </row>
    <row r="173" spans="1:190" x14ac:dyDescent="0.3">
      <c r="A173" s="22"/>
      <c r="B173" s="20"/>
      <c r="C173" s="14"/>
      <c r="D173" s="14"/>
      <c r="E173" s="188"/>
      <c r="F173" s="188"/>
      <c r="G173" s="188"/>
      <c r="H173" s="188"/>
      <c r="I173" s="188"/>
      <c r="J173" s="188"/>
      <c r="M173" s="188"/>
      <c r="N173" s="188"/>
      <c r="O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H173" s="188"/>
      <c r="AI173" s="188"/>
      <c r="AJ173" s="188"/>
      <c r="AP173" s="188"/>
      <c r="AQ173" s="188"/>
      <c r="AR173" s="188"/>
      <c r="AS173" s="188"/>
      <c r="AT173" s="188"/>
      <c r="AU173" s="188"/>
      <c r="AV173" s="188"/>
      <c r="AW173" s="188"/>
      <c r="BC173" s="188"/>
      <c r="BD173" s="188"/>
      <c r="BE173" s="188"/>
      <c r="BF173" s="188"/>
      <c r="BG173" s="188"/>
      <c r="BH173" s="188"/>
      <c r="BI173" s="188"/>
      <c r="BJ173" s="188"/>
      <c r="BM173" s="188"/>
      <c r="BN173" s="188"/>
      <c r="BO173" s="188"/>
      <c r="BP173" s="188"/>
      <c r="BQ173" s="188"/>
      <c r="BR173" s="188"/>
      <c r="BS173" s="188"/>
      <c r="BT173" s="188"/>
      <c r="BU173" s="188"/>
      <c r="BV173" s="188"/>
      <c r="BW173" s="188"/>
      <c r="BX173" s="188"/>
      <c r="BY173" s="188"/>
      <c r="BZ173" s="188"/>
      <c r="CE173" s="188"/>
      <c r="CG173" s="188"/>
      <c r="CH173" s="188"/>
      <c r="CJ173" s="188"/>
      <c r="CL173" s="188"/>
      <c r="CP173" s="188"/>
      <c r="CQ173" s="188"/>
      <c r="CR173" s="188"/>
      <c r="CS173" s="188"/>
      <c r="CT173" s="188"/>
      <c r="CU173" s="188"/>
      <c r="CV173" s="188"/>
      <c r="CW173" s="188"/>
      <c r="CX173" s="188"/>
      <c r="CY173" s="188"/>
      <c r="CZ173" s="188"/>
      <c r="DA173" s="188"/>
      <c r="DB173" s="188"/>
      <c r="DC173" s="188"/>
      <c r="DJ173" s="188"/>
      <c r="DK173" s="188"/>
      <c r="DL173" s="188"/>
      <c r="DM173" s="188"/>
      <c r="DN173" s="188"/>
      <c r="DP173" s="188"/>
      <c r="DQ173" s="188"/>
      <c r="DS173" s="188"/>
      <c r="DU173" s="188"/>
      <c r="DV173" s="188"/>
      <c r="DW173" s="188"/>
      <c r="DX173" s="188"/>
      <c r="DY173" s="188"/>
      <c r="DZ173" s="188"/>
      <c r="EA173" s="188"/>
      <c r="EB173" s="188"/>
      <c r="EC173" s="188"/>
      <c r="ED173" s="188"/>
      <c r="EE173" s="188"/>
      <c r="EF173" s="188"/>
      <c r="EG173" s="188"/>
      <c r="EH173" s="188"/>
      <c r="EI173" s="188"/>
      <c r="EJ173" s="188"/>
      <c r="EK173" s="188"/>
      <c r="EL173" s="188"/>
      <c r="EM173" s="188"/>
      <c r="EN173" s="188"/>
      <c r="EO173" s="188"/>
      <c r="EP173" s="188"/>
      <c r="EQ173" s="188"/>
      <c r="ER173" s="188"/>
      <c r="ES173" s="188"/>
      <c r="ET173" s="188"/>
      <c r="EU173" s="188"/>
      <c r="EV173" s="188"/>
      <c r="EW173" s="188"/>
      <c r="EX173" s="188"/>
      <c r="EY173" s="188"/>
      <c r="EZ173" s="188"/>
      <c r="FA173" s="188"/>
      <c r="FB173" s="188"/>
      <c r="FC173" s="188"/>
      <c r="FD173" s="188"/>
      <c r="FE173" s="14"/>
      <c r="FF173" s="14"/>
      <c r="FG173" s="14"/>
      <c r="FH173" s="14"/>
      <c r="FI173" s="188"/>
      <c r="FJ173" s="188"/>
      <c r="FK173" s="188"/>
      <c r="FL173" s="188"/>
      <c r="FM173" s="188"/>
      <c r="FN173" s="188"/>
      <c r="FO173" s="14"/>
      <c r="FP173" s="14"/>
      <c r="FQ173" s="14"/>
      <c r="FR173" s="188"/>
      <c r="FS173" s="188"/>
      <c r="FT173" s="188"/>
      <c r="FU173" s="188"/>
      <c r="FV173" s="188"/>
      <c r="FW173" s="188"/>
      <c r="FX173" s="188"/>
      <c r="FY173" s="188"/>
      <c r="FZ173" s="188"/>
      <c r="GA173" s="188"/>
      <c r="GB173" s="188"/>
      <c r="GC173" s="188"/>
      <c r="GD173" s="188"/>
      <c r="GE173" s="188"/>
      <c r="GF173" s="188"/>
      <c r="GG173" s="188"/>
      <c r="GH173" s="188"/>
    </row>
    <row r="174" spans="1:190" x14ac:dyDescent="0.3">
      <c r="A174" s="22"/>
      <c r="B174" s="20"/>
      <c r="C174" s="14"/>
      <c r="D174" s="14"/>
      <c r="E174" s="188"/>
      <c r="F174" s="188"/>
      <c r="G174" s="188"/>
      <c r="H174" s="188"/>
      <c r="I174" s="188"/>
      <c r="J174" s="188"/>
      <c r="Z174" s="188"/>
      <c r="AA174" s="188"/>
      <c r="AB174" s="188"/>
      <c r="AD174" s="188"/>
      <c r="AH174" s="188"/>
      <c r="AI174" s="188"/>
      <c r="AJ174" s="188"/>
      <c r="AP174" s="188"/>
      <c r="AQ174" s="188"/>
      <c r="AR174" s="188"/>
      <c r="BC174" s="188"/>
      <c r="BE174" s="188"/>
      <c r="BF174" s="188"/>
      <c r="BG174" s="188"/>
      <c r="BH174" s="188"/>
      <c r="BI174" s="188"/>
      <c r="BJ174" s="188"/>
      <c r="BN174" s="188"/>
      <c r="BO174" s="188"/>
      <c r="BP174" s="188"/>
      <c r="BQ174" s="188"/>
      <c r="BR174" s="188"/>
      <c r="BS174" s="188"/>
      <c r="BT174" s="188"/>
      <c r="BU174" s="188"/>
      <c r="BV174" s="188"/>
      <c r="BW174" s="188"/>
      <c r="BX174" s="188"/>
      <c r="BY174" s="188"/>
      <c r="BZ174" s="188"/>
      <c r="CA174" s="188"/>
      <c r="CB174" s="188"/>
      <c r="CC174" s="188"/>
      <c r="CD174" s="188"/>
      <c r="CE174" s="188"/>
      <c r="CF174" s="188"/>
      <c r="CG174" s="188"/>
      <c r="CH174" s="188"/>
      <c r="CI174" s="188"/>
      <c r="CJ174" s="188"/>
      <c r="CK174" s="188"/>
      <c r="CL174" s="188"/>
      <c r="CP174" s="188"/>
      <c r="CQ174" s="188"/>
      <c r="CR174" s="188"/>
      <c r="CS174" s="188"/>
      <c r="CT174" s="188"/>
      <c r="CU174" s="188"/>
      <c r="CV174" s="188"/>
      <c r="CW174" s="188"/>
      <c r="CX174" s="188"/>
      <c r="CY174" s="188"/>
      <c r="CZ174" s="188"/>
      <c r="DA174" s="188"/>
      <c r="DB174" s="188"/>
      <c r="DC174" s="188"/>
      <c r="DD174" s="188"/>
      <c r="DE174" s="188"/>
      <c r="DF174" s="188"/>
      <c r="DG174" s="188"/>
      <c r="DH174" s="188"/>
      <c r="DI174" s="188"/>
      <c r="DJ174" s="188"/>
      <c r="DK174" s="188"/>
      <c r="DL174" s="188"/>
      <c r="DM174" s="188"/>
      <c r="DN174" s="188"/>
      <c r="DP174" s="188"/>
      <c r="DQ174" s="188"/>
      <c r="DS174" s="188"/>
      <c r="DU174" s="188"/>
      <c r="DW174" s="188"/>
      <c r="DX174" s="188"/>
      <c r="DY174" s="188"/>
      <c r="EA174" s="188"/>
      <c r="EB174" s="188"/>
      <c r="EC174" s="188"/>
      <c r="ED174" s="188"/>
      <c r="EE174" s="188"/>
      <c r="EF174" s="188"/>
      <c r="EG174" s="188"/>
      <c r="EH174" s="188"/>
      <c r="EI174" s="188"/>
      <c r="EJ174" s="188"/>
      <c r="EK174" s="188"/>
      <c r="EL174" s="188"/>
      <c r="EM174" s="188"/>
      <c r="EN174" s="188"/>
      <c r="EO174" s="188"/>
      <c r="EP174" s="188"/>
      <c r="EQ174" s="188"/>
      <c r="ER174" s="188"/>
      <c r="ES174" s="188"/>
      <c r="ET174" s="188"/>
      <c r="EU174" s="188"/>
      <c r="EV174" s="188"/>
      <c r="EW174" s="188"/>
      <c r="EX174" s="188"/>
      <c r="EY174" s="188"/>
      <c r="EZ174" s="188"/>
      <c r="FA174" s="188"/>
      <c r="FB174" s="188"/>
      <c r="FC174" s="188"/>
      <c r="FD174" s="188"/>
      <c r="FE174" s="14"/>
      <c r="FF174" s="14"/>
      <c r="FG174" s="14"/>
      <c r="FH174" s="14"/>
      <c r="FI174" s="188"/>
      <c r="FJ174" s="188"/>
      <c r="FK174" s="188"/>
      <c r="FL174" s="188"/>
      <c r="FM174" s="188"/>
      <c r="FN174" s="188"/>
      <c r="FO174" s="14"/>
      <c r="FP174" s="14"/>
      <c r="FQ174" s="14"/>
      <c r="FR174" s="188"/>
      <c r="FS174" s="188"/>
      <c r="FT174" s="188"/>
      <c r="FU174" s="188"/>
      <c r="FV174" s="188"/>
      <c r="FW174" s="188"/>
      <c r="FX174" s="188"/>
      <c r="FY174" s="188"/>
      <c r="FZ174" s="188"/>
      <c r="GA174" s="188"/>
      <c r="GB174" s="188"/>
      <c r="GC174" s="188"/>
      <c r="GD174" s="188"/>
      <c r="GE174" s="188"/>
      <c r="GF174" s="188"/>
      <c r="GG174" s="188"/>
      <c r="GH174" s="188"/>
    </row>
    <row r="175" spans="1:190" x14ac:dyDescent="0.3">
      <c r="A175" s="22"/>
      <c r="B175" s="20"/>
      <c r="C175" s="14"/>
      <c r="D175" s="14"/>
      <c r="E175" s="188"/>
      <c r="F175" s="188"/>
      <c r="G175" s="188"/>
      <c r="H175" s="188"/>
      <c r="I175" s="188"/>
      <c r="J175" s="188"/>
      <c r="Z175" s="188"/>
      <c r="AA175" s="188"/>
      <c r="AB175" s="188"/>
      <c r="AD175" s="188"/>
      <c r="AH175" s="188"/>
      <c r="AI175" s="188"/>
      <c r="AJ175" s="188"/>
      <c r="AP175" s="188"/>
      <c r="AQ175" s="188"/>
      <c r="AR175" s="188"/>
      <c r="BC175" s="188"/>
      <c r="BE175" s="188"/>
      <c r="BF175" s="188"/>
      <c r="BG175" s="188"/>
      <c r="BH175" s="188"/>
      <c r="BI175" s="188"/>
      <c r="BJ175" s="188"/>
      <c r="BN175" s="188"/>
      <c r="BO175" s="188"/>
      <c r="BP175" s="188"/>
      <c r="BQ175" s="188"/>
      <c r="BR175" s="188"/>
      <c r="BS175" s="188"/>
      <c r="BT175" s="188"/>
      <c r="BU175" s="188"/>
      <c r="BV175" s="188"/>
      <c r="BW175" s="188"/>
      <c r="BX175" s="188"/>
      <c r="BY175" s="188"/>
      <c r="BZ175" s="188"/>
      <c r="CA175" s="188"/>
      <c r="CB175" s="188"/>
      <c r="CC175" s="188"/>
      <c r="CD175" s="188"/>
      <c r="CE175" s="188"/>
      <c r="CF175" s="188"/>
      <c r="CG175" s="188"/>
      <c r="CH175" s="188"/>
      <c r="CI175" s="188"/>
      <c r="CJ175" s="188"/>
      <c r="CK175" s="188"/>
      <c r="CL175" s="188"/>
      <c r="CP175" s="188"/>
      <c r="CQ175" s="188"/>
      <c r="CR175" s="188"/>
      <c r="CS175" s="188"/>
      <c r="CT175" s="188"/>
      <c r="CU175" s="188"/>
      <c r="CV175" s="188"/>
      <c r="CW175" s="188"/>
      <c r="CX175" s="188"/>
      <c r="CY175" s="188"/>
      <c r="CZ175" s="188"/>
      <c r="DA175" s="188"/>
      <c r="DB175" s="188"/>
      <c r="DC175" s="188"/>
      <c r="DD175" s="188"/>
      <c r="DE175" s="188"/>
      <c r="DF175" s="188"/>
      <c r="DG175" s="188"/>
      <c r="DH175" s="188"/>
      <c r="DI175" s="188"/>
      <c r="DJ175" s="188"/>
      <c r="DK175" s="188"/>
      <c r="DL175" s="188"/>
      <c r="DM175" s="188"/>
      <c r="DN175" s="188"/>
      <c r="DP175" s="188"/>
      <c r="DQ175" s="188"/>
      <c r="DR175" s="188"/>
      <c r="DS175" s="188"/>
      <c r="DT175" s="188"/>
      <c r="DU175" s="188"/>
      <c r="DV175" s="188"/>
      <c r="DW175" s="188"/>
      <c r="DX175" s="188"/>
      <c r="DY175" s="188"/>
      <c r="EA175" s="188"/>
      <c r="EB175" s="188"/>
      <c r="EC175" s="188"/>
      <c r="ED175" s="188"/>
      <c r="EE175" s="188"/>
      <c r="EF175" s="188"/>
      <c r="EG175" s="188"/>
      <c r="EH175" s="188"/>
      <c r="EI175" s="188"/>
      <c r="EJ175" s="188"/>
      <c r="EK175" s="188"/>
      <c r="EL175" s="188"/>
      <c r="EM175" s="188"/>
      <c r="EN175" s="188"/>
      <c r="EO175" s="188"/>
      <c r="EP175" s="188"/>
      <c r="EQ175" s="188"/>
      <c r="ER175" s="188"/>
      <c r="ES175" s="188"/>
      <c r="ET175" s="188"/>
      <c r="EU175" s="188"/>
      <c r="EV175" s="188"/>
      <c r="EW175" s="188"/>
      <c r="EX175" s="188"/>
      <c r="EY175" s="188"/>
      <c r="EZ175" s="188"/>
      <c r="FA175" s="188"/>
      <c r="FB175" s="188"/>
      <c r="FC175" s="188"/>
      <c r="FD175" s="188"/>
      <c r="FE175" s="14"/>
      <c r="FF175" s="14"/>
      <c r="FG175" s="14"/>
      <c r="FH175" s="14"/>
      <c r="FI175" s="188"/>
      <c r="FJ175" s="188"/>
      <c r="FK175" s="188"/>
      <c r="FL175" s="188"/>
      <c r="FM175" s="188"/>
      <c r="FN175" s="188"/>
      <c r="FO175" s="14"/>
      <c r="FP175" s="14"/>
      <c r="FQ175" s="14"/>
      <c r="FR175" s="188"/>
      <c r="FS175" s="188"/>
      <c r="FT175" s="188"/>
      <c r="FU175" s="188"/>
      <c r="FV175" s="188"/>
      <c r="FW175" s="188"/>
      <c r="FX175" s="188"/>
      <c r="FY175" s="188"/>
      <c r="FZ175" s="188"/>
      <c r="GA175" s="188"/>
      <c r="GB175" s="188"/>
      <c r="GC175" s="188"/>
      <c r="GD175" s="188"/>
      <c r="GE175" s="188"/>
      <c r="GF175" s="188"/>
      <c r="GG175" s="188"/>
      <c r="GH175" s="188"/>
    </row>
    <row r="176" spans="1:190" x14ac:dyDescent="0.3">
      <c r="A176" s="22"/>
      <c r="B176" s="20"/>
      <c r="C176" s="14"/>
      <c r="D176" s="14"/>
      <c r="E176" s="188"/>
      <c r="F176" s="188"/>
      <c r="G176" s="188"/>
      <c r="H176" s="188"/>
      <c r="I176" s="188"/>
      <c r="J176" s="188"/>
      <c r="Z176" s="188"/>
      <c r="AA176" s="188"/>
      <c r="AB176" s="188"/>
      <c r="AD176" s="188"/>
      <c r="AH176" s="188"/>
      <c r="AI176" s="188"/>
      <c r="AJ176" s="188"/>
      <c r="AP176" s="188"/>
      <c r="AQ176" s="188"/>
      <c r="AR176" s="188"/>
      <c r="BC176" s="188"/>
      <c r="BF176" s="188"/>
      <c r="BG176" s="188"/>
      <c r="BH176" s="188"/>
      <c r="BI176" s="188"/>
      <c r="BJ176" s="188"/>
      <c r="BK176" s="188"/>
      <c r="BL176" s="188"/>
      <c r="BM176" s="188"/>
      <c r="BN176" s="188"/>
      <c r="BO176" s="188"/>
      <c r="BP176" s="188"/>
      <c r="BQ176" s="188"/>
      <c r="BR176" s="188"/>
      <c r="BS176" s="188"/>
      <c r="BT176" s="188"/>
      <c r="BU176" s="188"/>
      <c r="BV176" s="188"/>
      <c r="BW176" s="188"/>
      <c r="BX176" s="188"/>
      <c r="BY176" s="188"/>
      <c r="BZ176" s="188"/>
      <c r="CA176" s="188"/>
      <c r="CB176" s="188"/>
      <c r="CC176" s="188"/>
      <c r="CD176" s="188"/>
      <c r="CE176" s="188"/>
      <c r="CF176" s="188"/>
      <c r="CG176" s="188"/>
      <c r="CH176" s="188"/>
      <c r="CI176" s="188"/>
      <c r="CJ176" s="188"/>
      <c r="CK176" s="188"/>
      <c r="CL176" s="188"/>
      <c r="CP176" s="188"/>
      <c r="CQ176" s="188"/>
      <c r="CR176" s="188"/>
      <c r="CS176" s="188"/>
      <c r="CT176" s="188"/>
      <c r="CU176" s="188"/>
      <c r="CV176" s="188"/>
      <c r="CW176" s="188"/>
      <c r="CX176" s="188"/>
      <c r="CY176" s="188"/>
      <c r="CZ176" s="188"/>
      <c r="DA176" s="188"/>
      <c r="DB176" s="188"/>
      <c r="DC176" s="188"/>
      <c r="DD176" s="188"/>
      <c r="DE176" s="188"/>
      <c r="DF176" s="188"/>
      <c r="DG176" s="188"/>
      <c r="DI176" s="188"/>
      <c r="DJ176" s="188"/>
      <c r="DK176" s="188"/>
      <c r="DL176" s="188"/>
      <c r="DM176" s="188"/>
      <c r="DN176" s="188"/>
      <c r="DP176" s="188"/>
      <c r="DQ176" s="188"/>
      <c r="DR176" s="188"/>
      <c r="DS176" s="188"/>
      <c r="DT176" s="188"/>
      <c r="DU176" s="188"/>
      <c r="DV176" s="188"/>
      <c r="DW176" s="188"/>
      <c r="DX176" s="188"/>
      <c r="DY176" s="188"/>
      <c r="EA176" s="188"/>
      <c r="EB176" s="188"/>
      <c r="EC176" s="188"/>
      <c r="ED176" s="188"/>
      <c r="EE176" s="188"/>
      <c r="EF176" s="188"/>
      <c r="EG176" s="188"/>
      <c r="EH176" s="188"/>
      <c r="EI176" s="188"/>
      <c r="EJ176" s="188"/>
      <c r="EK176" s="188"/>
      <c r="EL176" s="188"/>
      <c r="EM176" s="188"/>
      <c r="EN176" s="188"/>
      <c r="EO176" s="188"/>
      <c r="EP176" s="188"/>
      <c r="EQ176" s="188"/>
      <c r="ER176" s="188"/>
      <c r="ES176" s="188"/>
      <c r="ET176" s="188"/>
      <c r="EU176" s="188"/>
      <c r="EV176" s="188"/>
      <c r="EW176" s="188"/>
      <c r="EX176" s="188"/>
      <c r="EY176" s="188"/>
      <c r="EZ176" s="188"/>
      <c r="FA176" s="188"/>
      <c r="FB176" s="188"/>
      <c r="FC176" s="188"/>
      <c r="FD176" s="188"/>
      <c r="FE176" s="188"/>
      <c r="FF176" s="188"/>
      <c r="FG176" s="188"/>
      <c r="FH176" s="188"/>
      <c r="FI176" s="188"/>
      <c r="FJ176" s="188"/>
      <c r="FK176" s="188"/>
      <c r="FO176" s="188"/>
      <c r="FP176" s="188"/>
      <c r="FQ176" s="188"/>
      <c r="FY176" s="188"/>
      <c r="FZ176" s="188"/>
      <c r="GA176" s="188"/>
      <c r="GB176" s="188"/>
      <c r="GC176" s="188"/>
      <c r="GD176" s="188"/>
      <c r="GE176" s="188"/>
      <c r="GF176" s="188"/>
      <c r="GG176" s="188"/>
      <c r="GH176" s="188"/>
    </row>
    <row r="177" spans="1:190" x14ac:dyDescent="0.3">
      <c r="A177" s="22"/>
      <c r="B177" s="20"/>
      <c r="C177" s="14"/>
      <c r="D177" s="14"/>
      <c r="E177" s="188"/>
      <c r="F177" s="188"/>
      <c r="G177" s="188"/>
      <c r="H177" s="188"/>
      <c r="I177" s="188"/>
      <c r="J177" s="188"/>
      <c r="Z177" s="188"/>
      <c r="AA177" s="188"/>
      <c r="AB177" s="188"/>
      <c r="AD177" s="188"/>
      <c r="AH177" s="188"/>
      <c r="AI177" s="188"/>
      <c r="AJ177" s="188"/>
      <c r="AP177" s="188"/>
      <c r="AQ177" s="188"/>
      <c r="AR177" s="188"/>
      <c r="BC177" s="188"/>
      <c r="BF177" s="188"/>
      <c r="BG177" s="188"/>
      <c r="BH177" s="188"/>
      <c r="BI177" s="188"/>
      <c r="BJ177" s="188"/>
      <c r="BK177" s="188"/>
      <c r="BL177" s="188"/>
      <c r="BM177" s="188"/>
      <c r="BN177" s="188"/>
      <c r="BO177" s="188"/>
      <c r="BP177" s="188"/>
      <c r="BQ177" s="188"/>
      <c r="BR177" s="188"/>
      <c r="BS177" s="188"/>
      <c r="BT177" s="188"/>
      <c r="BU177" s="188"/>
      <c r="BV177" s="188"/>
      <c r="BW177" s="188"/>
      <c r="BX177" s="188"/>
      <c r="BY177" s="188"/>
      <c r="BZ177" s="188"/>
      <c r="CA177" s="188"/>
      <c r="CB177" s="188"/>
      <c r="CC177" s="188"/>
      <c r="CD177" s="188"/>
      <c r="CE177" s="188"/>
      <c r="CF177" s="188"/>
      <c r="CG177" s="188"/>
      <c r="CH177" s="188"/>
      <c r="CI177" s="188"/>
      <c r="CJ177" s="188"/>
      <c r="CK177" s="188"/>
      <c r="CL177" s="188"/>
      <c r="CP177" s="188"/>
      <c r="CQ177" s="188"/>
      <c r="CR177" s="188"/>
      <c r="CS177" s="188"/>
      <c r="CT177" s="188"/>
      <c r="CU177" s="188"/>
      <c r="CV177" s="188"/>
      <c r="CW177" s="188"/>
      <c r="CX177" s="188"/>
      <c r="CY177" s="188"/>
      <c r="CZ177" s="188"/>
      <c r="DA177" s="188"/>
      <c r="DB177" s="188"/>
      <c r="DC177" s="188"/>
      <c r="DD177" s="188"/>
      <c r="DE177" s="188"/>
      <c r="DF177" s="188"/>
      <c r="DG177" s="188"/>
      <c r="DI177" s="188"/>
      <c r="DJ177" s="188"/>
      <c r="DK177" s="188"/>
      <c r="DL177" s="188"/>
      <c r="DM177" s="188"/>
      <c r="DN177" s="188"/>
      <c r="DP177" s="188"/>
      <c r="DQ177" s="188"/>
      <c r="DR177" s="188"/>
      <c r="DS177" s="188"/>
      <c r="DT177" s="188"/>
      <c r="DU177" s="188"/>
      <c r="DV177" s="188"/>
      <c r="DW177" s="188"/>
      <c r="DX177" s="188"/>
      <c r="DY177" s="188"/>
      <c r="EA177" s="188"/>
      <c r="EB177" s="188"/>
      <c r="EC177" s="188"/>
      <c r="ED177" s="188"/>
      <c r="EE177" s="188"/>
      <c r="EF177" s="188"/>
      <c r="EG177" s="188"/>
      <c r="EH177" s="188"/>
      <c r="EI177" s="188"/>
      <c r="EJ177" s="188"/>
      <c r="EK177" s="188"/>
      <c r="EL177" s="188"/>
      <c r="EM177" s="188"/>
      <c r="EN177" s="188"/>
      <c r="EO177" s="188"/>
      <c r="EP177" s="188"/>
      <c r="EQ177" s="188"/>
      <c r="ER177" s="188"/>
      <c r="ES177" s="188"/>
      <c r="ET177" s="188"/>
      <c r="EU177" s="188"/>
      <c r="EV177" s="188"/>
      <c r="EW177" s="188"/>
      <c r="EX177" s="188"/>
      <c r="EY177" s="188"/>
      <c r="EZ177" s="188"/>
      <c r="FA177" s="188"/>
      <c r="FB177" s="188"/>
      <c r="FC177" s="188"/>
      <c r="FD177" s="188"/>
      <c r="FE177" s="188"/>
      <c r="FF177" s="188"/>
      <c r="FG177" s="188"/>
      <c r="FH177" s="188"/>
      <c r="FI177" s="188"/>
      <c r="FJ177" s="188"/>
      <c r="FK177" s="188"/>
      <c r="FY177" s="188"/>
      <c r="FZ177" s="188"/>
      <c r="GA177" s="188"/>
      <c r="GB177" s="188"/>
      <c r="GC177" s="188"/>
      <c r="GD177" s="188"/>
      <c r="GE177" s="188"/>
      <c r="GF177" s="188"/>
      <c r="GG177" s="188"/>
      <c r="GH177" s="188"/>
    </row>
    <row r="178" spans="1:190" x14ac:dyDescent="0.3">
      <c r="E178"/>
      <c r="GD178"/>
    </row>
    <row r="179" spans="1:190" x14ac:dyDescent="0.3">
      <c r="E179"/>
      <c r="GD179"/>
    </row>
    <row r="180" spans="1:190" x14ac:dyDescent="0.3">
      <c r="E180"/>
      <c r="GD180"/>
    </row>
    <row r="181" spans="1:190" x14ac:dyDescent="0.3">
      <c r="E181"/>
      <c r="GD181"/>
    </row>
  </sheetData>
  <mergeCells count="27">
    <mergeCell ref="J4:FI4"/>
    <mergeCell ref="FK4:FY4"/>
    <mergeCell ref="FZ4:GE4"/>
    <mergeCell ref="BG5:BG6"/>
    <mergeCell ref="BH5:BH7"/>
    <mergeCell ref="GM5:GM8"/>
    <mergeCell ref="GH5:GH7"/>
    <mergeCell ref="GJ5:GJ7"/>
    <mergeCell ref="GL5:GL8"/>
    <mergeCell ref="A5:A8"/>
    <mergeCell ref="D7:F7"/>
    <mergeCell ref="B5:B6"/>
    <mergeCell ref="C5:F5"/>
    <mergeCell ref="G5:G6"/>
    <mergeCell ref="H5:I5"/>
    <mergeCell ref="J5:J7"/>
    <mergeCell ref="A115:B115"/>
    <mergeCell ref="GK5:GK7"/>
    <mergeCell ref="A9:A10"/>
    <mergeCell ref="A11:A12"/>
    <mergeCell ref="A109:B109"/>
    <mergeCell ref="H109:I109"/>
    <mergeCell ref="CR5:CR6"/>
    <mergeCell ref="CS5:CS7"/>
    <mergeCell ref="FI5:FI6"/>
    <mergeCell ref="GG5:GG7"/>
    <mergeCell ref="GI5:GI6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4"/>
  <sheetViews>
    <sheetView zoomScale="96" zoomScaleNormal="96" workbookViewId="0">
      <pane xSplit="8" ySplit="5" topLeftCell="I66" activePane="bottomRight" state="frozen"/>
      <selection activeCell="A107" sqref="A107:A108"/>
      <selection pane="topRight" activeCell="A107" sqref="A107:A108"/>
      <selection pane="bottomLeft" activeCell="A107" sqref="A107:A108"/>
      <selection pane="bottomRight" activeCell="I61" sqref="I61"/>
    </sheetView>
  </sheetViews>
  <sheetFormatPr defaultRowHeight="14.4" x14ac:dyDescent="0.3"/>
  <cols>
    <col min="1" max="1" width="9.109375" customWidth="1"/>
    <col min="2" max="2" width="36.5546875" customWidth="1"/>
    <col min="3" max="3" width="13.44140625" customWidth="1"/>
    <col min="4" max="4" width="14.6640625" customWidth="1"/>
    <col min="5" max="5" width="15.44140625" style="315" customWidth="1"/>
    <col min="6" max="6" width="12.44140625" style="61" customWidth="1"/>
    <col min="7" max="7" width="13.109375" style="234" customWidth="1"/>
    <col min="8" max="8" width="15.6640625" style="236" customWidth="1"/>
    <col min="9" max="9" width="10.88671875" style="77" customWidth="1"/>
    <col min="10" max="10" width="10.109375" style="77" customWidth="1"/>
    <col min="11" max="11" width="10.88671875" style="77" customWidth="1"/>
    <col min="12" max="12" width="11" style="69" customWidth="1"/>
    <col min="13" max="13" width="11.88671875" style="55" customWidth="1"/>
    <col min="14" max="14" width="14.88671875" style="153" customWidth="1"/>
    <col min="15" max="15" width="38.44140625" style="52" customWidth="1"/>
  </cols>
  <sheetData>
    <row r="1" spans="1:15" ht="14.25" customHeight="1" x14ac:dyDescent="0.3">
      <c r="B1" s="56">
        <v>46168</v>
      </c>
      <c r="C1" s="56"/>
      <c r="D1" s="56"/>
      <c r="E1" s="773"/>
      <c r="F1" s="56"/>
      <c r="H1" s="386"/>
      <c r="I1" s="76" t="s">
        <v>87</v>
      </c>
      <c r="N1" s="175"/>
      <c r="O1" s="88"/>
    </row>
    <row r="2" spans="1:15" ht="15" thickBot="1" x14ac:dyDescent="0.35">
      <c r="B2" s="824"/>
      <c r="C2" s="53" t="s">
        <v>78</v>
      </c>
      <c r="D2" s="206" t="s">
        <v>578</v>
      </c>
      <c r="E2" s="1051"/>
      <c r="F2" s="206">
        <v>2026</v>
      </c>
      <c r="G2" s="403"/>
      <c r="H2" s="1285" t="s">
        <v>600</v>
      </c>
      <c r="I2" s="76" t="s">
        <v>86</v>
      </c>
    </row>
    <row r="3" spans="1:15" ht="15" customHeight="1" x14ac:dyDescent="0.3">
      <c r="A3" s="1410" t="s">
        <v>0</v>
      </c>
      <c r="B3" s="1419" t="s">
        <v>137</v>
      </c>
      <c r="C3" s="620" t="s">
        <v>178</v>
      </c>
      <c r="D3" s="1407" t="s">
        <v>577</v>
      </c>
      <c r="E3" s="1423" t="s">
        <v>283</v>
      </c>
      <c r="F3" s="1417" t="s">
        <v>111</v>
      </c>
      <c r="G3" s="1414" t="s">
        <v>130</v>
      </c>
      <c r="H3" s="1425" t="s">
        <v>536</v>
      </c>
      <c r="I3" s="1413" t="s">
        <v>79</v>
      </c>
      <c r="J3" s="1413"/>
      <c r="K3" s="1413"/>
      <c r="L3" s="1401" t="s">
        <v>92</v>
      </c>
      <c r="M3" s="1404" t="s">
        <v>80</v>
      </c>
      <c r="N3" s="1398" t="s">
        <v>81</v>
      </c>
    </row>
    <row r="4" spans="1:15" ht="25.5" customHeight="1" x14ac:dyDescent="0.3">
      <c r="A4" s="1411"/>
      <c r="B4" s="1420"/>
      <c r="C4" s="1421" t="s">
        <v>104</v>
      </c>
      <c r="D4" s="1408"/>
      <c r="E4" s="1424"/>
      <c r="F4" s="1418"/>
      <c r="G4" s="1415"/>
      <c r="H4" s="1426"/>
      <c r="I4" s="1295" t="s">
        <v>105</v>
      </c>
      <c r="J4" s="1427" t="s">
        <v>106</v>
      </c>
      <c r="K4" s="1428"/>
      <c r="L4" s="1402"/>
      <c r="M4" s="1405"/>
      <c r="N4" s="1399"/>
    </row>
    <row r="5" spans="1:15" ht="21.75" customHeight="1" thickBot="1" x14ac:dyDescent="0.35">
      <c r="A5" s="1412"/>
      <c r="B5" s="1420"/>
      <c r="C5" s="1422"/>
      <c r="D5" s="1409"/>
      <c r="E5" s="776">
        <f>B1</f>
        <v>46168</v>
      </c>
      <c r="F5" s="532">
        <f>E5</f>
        <v>46168</v>
      </c>
      <c r="G5" s="1416"/>
      <c r="H5" s="1011" t="s">
        <v>535</v>
      </c>
      <c r="I5" s="817" t="s">
        <v>153</v>
      </c>
      <c r="J5" s="817" t="s">
        <v>391</v>
      </c>
      <c r="K5" s="817" t="s">
        <v>152</v>
      </c>
      <c r="L5" s="1403"/>
      <c r="M5" s="1406"/>
      <c r="N5" s="1400"/>
    </row>
    <row r="6" spans="1:15" x14ac:dyDescent="0.3">
      <c r="A6" s="127">
        <f>'2_квартал'!A9</f>
        <v>1</v>
      </c>
      <c r="B6" s="1252" t="str">
        <f>'2_квартал'!B9</f>
        <v>вит А 1000</v>
      </c>
      <c r="C6" s="1250">
        <f>'2_квартал'!GS9</f>
        <v>50.723999999999997</v>
      </c>
      <c r="D6" s="1291">
        <f>'2_квартал'!GR9</f>
        <v>70.447000000000003</v>
      </c>
      <c r="E6" s="1290">
        <f>'2_квартал'!DU9</f>
        <v>50.677766666666678</v>
      </c>
      <c r="F6" s="985">
        <f>'2_квартал'!I9</f>
        <v>64.364000000000004</v>
      </c>
      <c r="G6" s="711">
        <f>'2_квартал'!GP9</f>
        <v>57.591200000000001</v>
      </c>
      <c r="H6" s="712"/>
      <c r="I6" s="997">
        <v>200</v>
      </c>
      <c r="J6" s="86"/>
      <c r="K6" s="995"/>
      <c r="L6" s="1003">
        <f>SUM(I6:K6)</f>
        <v>200</v>
      </c>
      <c r="M6" s="1004">
        <v>60</v>
      </c>
      <c r="N6" s="1000">
        <f t="shared" ref="N6:N20" si="0">L6*M6*1.2</f>
        <v>14400</v>
      </c>
      <c r="O6" s="54" t="str">
        <f t="shared" ref="O6:O19" si="1">B6</f>
        <v>вит А 1000</v>
      </c>
    </row>
    <row r="7" spans="1:15" x14ac:dyDescent="0.3">
      <c r="A7" s="127">
        <f>'2_квартал'!A10</f>
        <v>2</v>
      </c>
      <c r="B7" s="1252" t="str">
        <f>'2_квартал'!B10</f>
        <v>вит Д3 500</v>
      </c>
      <c r="C7" s="1250">
        <f>'2_квартал'!GS10</f>
        <v>29.143999999999998</v>
      </c>
      <c r="D7" s="1291">
        <f>'2_квартал'!GR10</f>
        <v>32.712000000000003</v>
      </c>
      <c r="E7" s="1288">
        <f>'2_квартал'!DU10</f>
        <v>29.200833333333343</v>
      </c>
      <c r="F7" s="985">
        <f>'2_квартал'!I10</f>
        <v>19.401</v>
      </c>
      <c r="G7" s="711">
        <f>'2_квартал'!GP10</f>
        <v>16.0806</v>
      </c>
      <c r="H7" s="714"/>
      <c r="I7" s="995">
        <v>100</v>
      </c>
      <c r="J7" s="86"/>
      <c r="K7" s="995"/>
      <c r="L7" s="1003">
        <f>SUM(I7:K7)</f>
        <v>100</v>
      </c>
      <c r="M7" s="1005">
        <v>62</v>
      </c>
      <c r="N7" s="1000">
        <f t="shared" si="0"/>
        <v>7440</v>
      </c>
      <c r="O7" s="54" t="str">
        <f t="shared" si="1"/>
        <v>вит Д3 500</v>
      </c>
    </row>
    <row r="8" spans="1:15" x14ac:dyDescent="0.3">
      <c r="A8" s="127">
        <f>'2_квартал'!A11</f>
        <v>3</v>
      </c>
      <c r="B8" s="1252" t="str">
        <f>'2_квартал'!B11</f>
        <v>вит Е 50%</v>
      </c>
      <c r="C8" s="1250">
        <f>'2_квартал'!GS11</f>
        <v>718.94</v>
      </c>
      <c r="D8" s="1291">
        <f>'2_квартал'!GR11</f>
        <v>951.46</v>
      </c>
      <c r="E8" s="1288">
        <f>'2_квартал'!DU11</f>
        <v>718.93543333333344</v>
      </c>
      <c r="F8" s="985">
        <f>'2_квартал'!I11</f>
        <v>724.39</v>
      </c>
      <c r="G8" s="711">
        <f>'2_квартал'!GP11</f>
        <v>609.35799999999995</v>
      </c>
      <c r="H8" s="714"/>
      <c r="I8" s="997">
        <v>2000</v>
      </c>
      <c r="J8" s="86"/>
      <c r="K8" s="995"/>
      <c r="L8" s="1003">
        <f>SUM(I8:K8)</f>
        <v>2000</v>
      </c>
      <c r="M8" s="1005">
        <v>22</v>
      </c>
      <c r="N8" s="1000">
        <f t="shared" si="0"/>
        <v>52800</v>
      </c>
      <c r="O8" s="54" t="str">
        <f t="shared" si="1"/>
        <v>вит Е 50%</v>
      </c>
    </row>
    <row r="9" spans="1:15" x14ac:dyDescent="0.3">
      <c r="A9" s="127">
        <f>'2_квартал'!A12</f>
        <v>4</v>
      </c>
      <c r="B9" s="1252" t="str">
        <f>'2_квартал'!B12</f>
        <v>вит В1 (тиамин)</v>
      </c>
      <c r="C9" s="1250">
        <f>'2_квартал'!GS12</f>
        <v>0</v>
      </c>
      <c r="D9" s="1291">
        <f>'2_квартал'!GR12</f>
        <v>0</v>
      </c>
      <c r="E9" s="1288">
        <f>'2_квартал'!DU12</f>
        <v>0</v>
      </c>
      <c r="F9" s="985">
        <f>'2_квартал'!I12</f>
        <v>0</v>
      </c>
      <c r="G9" s="711">
        <f>'2_квартал'!GP12</f>
        <v>0</v>
      </c>
      <c r="H9" s="783"/>
      <c r="I9" s="86"/>
      <c r="J9" s="86"/>
      <c r="K9" s="995"/>
      <c r="L9" s="1003">
        <f t="shared" ref="L9:L75" si="2">SUM(I9:K9)</f>
        <v>0</v>
      </c>
      <c r="M9" s="1005"/>
      <c r="N9" s="1000">
        <f t="shared" si="0"/>
        <v>0</v>
      </c>
      <c r="O9" s="54" t="str">
        <f t="shared" si="1"/>
        <v>вит В1 (тиамин)</v>
      </c>
    </row>
    <row r="10" spans="1:15" x14ac:dyDescent="0.3">
      <c r="A10" s="127">
        <f>'2_квартал'!A13</f>
        <v>5</v>
      </c>
      <c r="B10" s="1252" t="str">
        <f>'2_квартал'!B13</f>
        <v>вит В2</v>
      </c>
      <c r="C10" s="1250">
        <f>'2_квартал'!GS13</f>
        <v>0</v>
      </c>
      <c r="D10" s="1291">
        <f>'2_квартал'!GR13</f>
        <v>0.43</v>
      </c>
      <c r="E10" s="1288">
        <f>'2_квартал'!DU13</f>
        <v>0</v>
      </c>
      <c r="F10" s="985">
        <f>'2_квартал'!I13</f>
        <v>0</v>
      </c>
      <c r="G10" s="711">
        <f>'2_квартал'!GP13</f>
        <v>0</v>
      </c>
      <c r="H10" s="713"/>
      <c r="I10" s="86"/>
      <c r="J10" s="86"/>
      <c r="K10" s="995"/>
      <c r="L10" s="1003">
        <f t="shared" si="2"/>
        <v>0</v>
      </c>
      <c r="M10" s="1005"/>
      <c r="N10" s="1000">
        <f t="shared" si="0"/>
        <v>0</v>
      </c>
      <c r="O10" s="54" t="str">
        <f t="shared" si="1"/>
        <v>вит В2</v>
      </c>
    </row>
    <row r="11" spans="1:15" x14ac:dyDescent="0.3">
      <c r="A11" s="127">
        <f>'2_квартал'!A14</f>
        <v>6</v>
      </c>
      <c r="B11" s="1252" t="str">
        <f>'2_квартал'!B14</f>
        <v>вит В3, Нутравит В5 (кальпан)</v>
      </c>
      <c r="C11" s="1250">
        <f>'2_квартал'!GS14</f>
        <v>2.42</v>
      </c>
      <c r="D11" s="1291">
        <f>'2_квартал'!GR14</f>
        <v>8.3000000000000004E-2</v>
      </c>
      <c r="E11" s="1288">
        <f>'2_квартал'!DU14</f>
        <v>2.4405999999999999</v>
      </c>
      <c r="F11" s="985">
        <f>'2_квартал'!I14</f>
        <v>6.87</v>
      </c>
      <c r="G11" s="711">
        <f>'2_квартал'!GP14</f>
        <v>6.87</v>
      </c>
      <c r="H11" s="713"/>
      <c r="I11" s="86"/>
      <c r="J11" s="86"/>
      <c r="K11" s="995"/>
      <c r="L11" s="1003">
        <f>SUM(I11:K11)</f>
        <v>0</v>
      </c>
      <c r="M11" s="1005"/>
      <c r="N11" s="1000">
        <f t="shared" si="0"/>
        <v>0</v>
      </c>
      <c r="O11" s="54" t="str">
        <f t="shared" si="1"/>
        <v>вит В3, Нутравит В5 (кальпан)</v>
      </c>
    </row>
    <row r="12" spans="1:15" x14ac:dyDescent="0.3">
      <c r="A12" s="127">
        <f>'2_квартал'!A15</f>
        <v>7</v>
      </c>
      <c r="B12" s="1252" t="str">
        <f>'2_квартал'!B15</f>
        <v>вит В5 (ниацин)</v>
      </c>
      <c r="C12" s="1250">
        <f>'2_квартал'!GS15</f>
        <v>1.59</v>
      </c>
      <c r="D12" s="1291">
        <f>'2_квартал'!GR15</f>
        <v>0.247</v>
      </c>
      <c r="E12" s="1288">
        <f>'2_квартал'!DU15</f>
        <v>1.6004</v>
      </c>
      <c r="F12" s="985">
        <f>'2_квартал'!I15</f>
        <v>16.507000000000001</v>
      </c>
      <c r="G12" s="711">
        <f>'2_квартал'!GP15</f>
        <v>16.201000000000001</v>
      </c>
      <c r="H12" s="714"/>
      <c r="I12" s="86"/>
      <c r="J12" s="86"/>
      <c r="K12" s="995"/>
      <c r="L12" s="1003">
        <f t="shared" si="2"/>
        <v>0</v>
      </c>
      <c r="M12" s="1005"/>
      <c r="N12" s="1000">
        <f t="shared" si="0"/>
        <v>0</v>
      </c>
      <c r="O12" s="54" t="str">
        <f t="shared" si="1"/>
        <v>вит В5 (ниацин)</v>
      </c>
    </row>
    <row r="13" spans="1:15" x14ac:dyDescent="0.3">
      <c r="A13" s="127">
        <f>'2_квартал'!A16</f>
        <v>8</v>
      </c>
      <c r="B13" s="1252" t="str">
        <f>'2_квартал'!B16</f>
        <v>вит В6 (пиридоксин)</v>
      </c>
      <c r="C13" s="1250">
        <f>'2_квартал'!GS16</f>
        <v>1.05</v>
      </c>
      <c r="D13" s="1291">
        <f>'2_квартал'!GR16</f>
        <v>0.221</v>
      </c>
      <c r="E13" s="1288">
        <f>'2_квартал'!DU16</f>
        <v>1.0510000000000002</v>
      </c>
      <c r="F13" s="985">
        <f>'2_квартал'!I16</f>
        <v>11.377000000000001</v>
      </c>
      <c r="G13" s="711">
        <f>'2_квартал'!GP16</f>
        <v>11.377000000000001</v>
      </c>
      <c r="H13" s="714"/>
      <c r="I13" s="86"/>
      <c r="J13" s="86"/>
      <c r="K13" s="995"/>
      <c r="L13" s="1003">
        <f t="shared" si="2"/>
        <v>0</v>
      </c>
      <c r="M13" s="1005"/>
      <c r="N13" s="1000">
        <f t="shared" si="0"/>
        <v>0</v>
      </c>
      <c r="O13" s="54" t="str">
        <f t="shared" si="1"/>
        <v>вит В6 (пиридоксин)</v>
      </c>
    </row>
    <row r="14" spans="1:15" x14ac:dyDescent="0.3">
      <c r="A14" s="127">
        <f>'2_квартал'!A17</f>
        <v>9</v>
      </c>
      <c r="B14" s="1252" t="str">
        <f>'2_квартал'!B17</f>
        <v xml:space="preserve">вит Н (биотин) </v>
      </c>
      <c r="C14" s="1250">
        <f>'2_квартал'!GS17</f>
        <v>153.41999999999999</v>
      </c>
      <c r="D14" s="1291">
        <f>'2_квартал'!GR17</f>
        <v>218.50700000000001</v>
      </c>
      <c r="E14" s="1288">
        <f>'2_квартал'!DU17</f>
        <v>153.41759999999996</v>
      </c>
      <c r="F14" s="985">
        <f>'2_квартал'!I17</f>
        <v>354.15</v>
      </c>
      <c r="G14" s="711">
        <f>'2_квартал'!GP17</f>
        <v>320.28119999999996</v>
      </c>
      <c r="H14" s="714"/>
      <c r="I14" s="86"/>
      <c r="J14" s="86"/>
      <c r="K14" s="995"/>
      <c r="L14" s="1003">
        <f t="shared" si="2"/>
        <v>0</v>
      </c>
      <c r="M14" s="1005">
        <v>12</v>
      </c>
      <c r="N14" s="1000">
        <f t="shared" si="0"/>
        <v>0</v>
      </c>
      <c r="O14" s="54" t="str">
        <f t="shared" si="1"/>
        <v xml:space="preserve">вит Н (биотин) </v>
      </c>
    </row>
    <row r="15" spans="1:15" x14ac:dyDescent="0.3">
      <c r="A15" s="1214"/>
      <c r="B15" s="1214"/>
      <c r="C15" s="1214"/>
      <c r="D15" s="1286"/>
      <c r="E15" s="1289"/>
      <c r="F15" s="1287"/>
      <c r="G15" s="1214"/>
      <c r="H15" s="621"/>
      <c r="I15" s="798"/>
      <c r="J15" s="798"/>
      <c r="K15" s="996"/>
      <c r="L15" s="1006"/>
      <c r="M15" s="1007"/>
      <c r="N15" s="1001"/>
      <c r="O15" s="235"/>
    </row>
    <row r="16" spans="1:15" x14ac:dyDescent="0.3">
      <c r="A16" s="127">
        <f>'2_квартал'!A19</f>
        <v>10</v>
      </c>
      <c r="B16" s="1252" t="str">
        <f>'2_квартал'!B19</f>
        <v>окись магния, порошок магнезитовый</v>
      </c>
      <c r="C16" s="1250">
        <f>'2_квартал'!GS19</f>
        <v>9827.7000000000007</v>
      </c>
      <c r="D16" s="1291">
        <f>'2_квартал'!GR19</f>
        <v>12526.257</v>
      </c>
      <c r="E16" s="1288">
        <f>'2_квартал'!DU19</f>
        <v>9827.6964000000025</v>
      </c>
      <c r="F16" s="985">
        <f>'2_квартал'!I19</f>
        <v>27169.279999999999</v>
      </c>
      <c r="G16" s="711">
        <f>'2_квартал'!GP19</f>
        <v>25046.725399999999</v>
      </c>
      <c r="H16" s="714"/>
      <c r="I16" s="86"/>
      <c r="J16" s="854">
        <v>20000</v>
      </c>
      <c r="K16" s="995"/>
      <c r="L16" s="1003">
        <f t="shared" si="2"/>
        <v>20000</v>
      </c>
      <c r="M16" s="1005">
        <v>1.26</v>
      </c>
      <c r="N16" s="1000">
        <f t="shared" si="0"/>
        <v>30240</v>
      </c>
      <c r="O16" s="54" t="str">
        <f t="shared" si="1"/>
        <v>окись магния, порошок магнезитовый</v>
      </c>
    </row>
    <row r="17" spans="1:15" x14ac:dyDescent="0.3">
      <c r="A17" s="127">
        <f>'2_квартал'!A20</f>
        <v>11</v>
      </c>
      <c r="B17" s="1252" t="str">
        <f>'2_квартал'!B20</f>
        <v>сульфат магния б/водный, магний с/кисл.</v>
      </c>
      <c r="C17" s="1250">
        <f>'2_квартал'!GS20</f>
        <v>7540.5</v>
      </c>
      <c r="D17" s="1291">
        <f>'2_квартал'!GR20</f>
        <v>9027.0169999999998</v>
      </c>
      <c r="E17" s="1288">
        <f>'2_квартал'!DU20</f>
        <v>7540.4720666666681</v>
      </c>
      <c r="F17" s="985">
        <f>'2_квартал'!I20</f>
        <v>12845.68</v>
      </c>
      <c r="G17" s="711">
        <f>'2_квартал'!GP20</f>
        <v>11977.1656</v>
      </c>
      <c r="H17" s="714"/>
      <c r="I17" s="86"/>
      <c r="J17" s="86"/>
      <c r="L17" s="1003">
        <f>SUM(I17:J17)</f>
        <v>0</v>
      </c>
      <c r="M17" s="1005">
        <v>4</v>
      </c>
      <c r="N17" s="1000">
        <f t="shared" si="0"/>
        <v>0</v>
      </c>
      <c r="O17" s="54" t="str">
        <f t="shared" si="1"/>
        <v>сульфат магния б/водный, магний с/кисл.</v>
      </c>
    </row>
    <row r="18" spans="1:15" s="168" customFormat="1" x14ac:dyDescent="0.3">
      <c r="A18" s="127">
        <f>'2_квартал'!A21</f>
        <v>12</v>
      </c>
      <c r="B18" s="1252" t="str">
        <f>'2_квартал'!B21</f>
        <v>сульфат магния Кизерит</v>
      </c>
      <c r="C18" s="1250">
        <f>'2_квартал'!GS21</f>
        <v>0</v>
      </c>
      <c r="D18" s="1291">
        <f>'2_квартал'!GR21</f>
        <v>0</v>
      </c>
      <c r="E18" s="1288">
        <f>'2_квартал'!DU21</f>
        <v>0</v>
      </c>
      <c r="F18" s="985">
        <f>'2_квартал'!I21</f>
        <v>0</v>
      </c>
      <c r="G18" s="711">
        <f>'2_квартал'!GP21</f>
        <v>0</v>
      </c>
      <c r="H18" s="714"/>
      <c r="I18" s="86"/>
      <c r="J18" s="86"/>
      <c r="K18" s="995"/>
      <c r="L18" s="1003">
        <f t="shared" ref="L18" si="3">SUM(I18:K18)</f>
        <v>0</v>
      </c>
      <c r="M18" s="1005"/>
      <c r="N18" s="1000">
        <f t="shared" ref="N18" si="4">L18*M18*1.2</f>
        <v>0</v>
      </c>
      <c r="O18" s="54" t="str">
        <f t="shared" ref="O18" si="5">B18</f>
        <v>сульфат магния Кизерит</v>
      </c>
    </row>
    <row r="19" spans="1:15" x14ac:dyDescent="0.3">
      <c r="A19" s="127">
        <f>'2_квартал'!A22</f>
        <v>13</v>
      </c>
      <c r="B19" s="1252" t="str">
        <f>'2_квартал'!B22</f>
        <v>сера</v>
      </c>
      <c r="C19" s="1250">
        <f>'2_квартал'!GS22</f>
        <v>106.68</v>
      </c>
      <c r="D19" s="1291">
        <f>'2_квартал'!GR22</f>
        <v>93.417000000000002</v>
      </c>
      <c r="E19" s="1288">
        <f>'2_квартал'!DU22</f>
        <v>106.67949999999999</v>
      </c>
      <c r="F19" s="985">
        <f>'2_квартал'!I22</f>
        <v>136.93</v>
      </c>
      <c r="G19" s="711">
        <f>'2_квартал'!GP22</f>
        <v>46.210000000000008</v>
      </c>
      <c r="H19" s="714"/>
      <c r="I19" s="854"/>
      <c r="J19" s="86"/>
      <c r="K19" s="995"/>
      <c r="L19" s="1003">
        <f t="shared" si="2"/>
        <v>0</v>
      </c>
      <c r="M19" s="1005">
        <v>1.3</v>
      </c>
      <c r="N19" s="1000">
        <f t="shared" si="0"/>
        <v>0</v>
      </c>
      <c r="O19" s="54" t="str">
        <f t="shared" si="1"/>
        <v>сера</v>
      </c>
    </row>
    <row r="20" spans="1:15" x14ac:dyDescent="0.3">
      <c r="A20" s="127">
        <f>'2_квартал'!A23</f>
        <v>14</v>
      </c>
      <c r="B20" s="1252" t="str">
        <f>'2_квартал'!B23</f>
        <v>сульфат железа+моносульфер</v>
      </c>
      <c r="C20" s="1250">
        <f>'2_квартал'!GS23</f>
        <v>5.38</v>
      </c>
      <c r="D20" s="1291">
        <f>'2_квартал'!GR23</f>
        <v>38.557000000000002</v>
      </c>
      <c r="E20" s="1288">
        <f>'2_квартал'!DU23</f>
        <v>5.3759999999999994</v>
      </c>
      <c r="F20" s="985">
        <f>'2_квартал'!I23</f>
        <v>1498.96</v>
      </c>
      <c r="G20" s="711">
        <f>'2_квартал'!GP23</f>
        <v>1498.96</v>
      </c>
      <c r="H20" s="714"/>
      <c r="I20" s="997"/>
      <c r="J20" s="86"/>
      <c r="K20" s="995"/>
      <c r="L20" s="1003">
        <f t="shared" si="2"/>
        <v>0</v>
      </c>
      <c r="M20" s="1005">
        <v>4</v>
      </c>
      <c r="N20" s="1000">
        <f t="shared" si="0"/>
        <v>0</v>
      </c>
      <c r="O20" s="54" t="str">
        <f t="shared" ref="O20:O75" si="6">B20</f>
        <v>сульфат железа+моносульфер</v>
      </c>
    </row>
    <row r="21" spans="1:15" x14ac:dyDescent="0.3">
      <c r="A21" s="127">
        <f>'2_квартал'!A24</f>
        <v>15</v>
      </c>
      <c r="B21" s="1252" t="str">
        <f>'2_квартал'!B24</f>
        <v>медный купорос</v>
      </c>
      <c r="C21" s="1250">
        <f>'2_квартал'!GS24</f>
        <v>183.63</v>
      </c>
      <c r="D21" s="1291">
        <f>'2_квартал'!GR24</f>
        <v>214.34</v>
      </c>
      <c r="E21" s="1288">
        <f>'2_квартал'!DU24</f>
        <v>183.6172</v>
      </c>
      <c r="F21" s="985">
        <f>'2_квартал'!I24</f>
        <v>833.77200000000005</v>
      </c>
      <c r="G21" s="711">
        <f>'2_квартал'!GP24</f>
        <v>788.64300000000003</v>
      </c>
      <c r="H21" s="714"/>
      <c r="I21" s="86"/>
      <c r="J21" s="86"/>
      <c r="K21" s="995"/>
      <c r="L21" s="1003">
        <f t="shared" si="2"/>
        <v>0</v>
      </c>
      <c r="M21" s="1005">
        <v>11</v>
      </c>
      <c r="N21" s="1000">
        <f t="shared" ref="N21:N75" si="7">L21*M21*1.2</f>
        <v>0</v>
      </c>
      <c r="O21" s="54" t="str">
        <f t="shared" si="6"/>
        <v>медный купорос</v>
      </c>
    </row>
    <row r="22" spans="1:15" x14ac:dyDescent="0.3">
      <c r="A22" s="127">
        <f>'2_квартал'!A25</f>
        <v>16</v>
      </c>
      <c r="B22" s="1252" t="str">
        <f>'2_квартал'!B25</f>
        <v>цинковый купорос+ сульфат цинка</v>
      </c>
      <c r="C22" s="1250">
        <f>'2_квартал'!GS25</f>
        <v>732.29</v>
      </c>
      <c r="D22" s="1291">
        <f>'2_квартал'!GR25</f>
        <v>836.95</v>
      </c>
      <c r="E22" s="1288">
        <f>'2_квартал'!DU25</f>
        <v>732.28166666666675</v>
      </c>
      <c r="F22" s="985">
        <f>'2_квартал'!I25</f>
        <v>989.63</v>
      </c>
      <c r="G22" s="711">
        <f>'2_квартал'!GP25</f>
        <v>862.84699999999998</v>
      </c>
      <c r="H22" s="714"/>
      <c r="I22" s="86"/>
      <c r="J22" s="86"/>
      <c r="K22" s="995"/>
      <c r="L22" s="1003">
        <f t="shared" si="2"/>
        <v>0</v>
      </c>
      <c r="M22" s="1005">
        <v>4</v>
      </c>
      <c r="N22" s="1000">
        <f t="shared" si="7"/>
        <v>0</v>
      </c>
      <c r="O22" s="54" t="str">
        <f t="shared" si="6"/>
        <v>цинковый купорос+ сульфат цинка</v>
      </c>
    </row>
    <row r="23" spans="1:15" x14ac:dyDescent="0.3">
      <c r="A23" s="127">
        <f>'2_квартал'!A26</f>
        <v>17</v>
      </c>
      <c r="B23" s="1252" t="str">
        <f>'2_квартал'!B26</f>
        <v>сульфат марганца</v>
      </c>
      <c r="C23" s="1250">
        <f>'2_квартал'!GS26</f>
        <v>523.61</v>
      </c>
      <c r="D23" s="1291">
        <f>'2_квартал'!GR26</f>
        <v>532.47</v>
      </c>
      <c r="E23" s="1288">
        <f>'2_квартал'!DU26</f>
        <v>523.60976666666659</v>
      </c>
      <c r="F23" s="985">
        <f>'2_квартал'!I26</f>
        <v>205.59</v>
      </c>
      <c r="G23" s="1215">
        <f>'2_квартал'!GP26</f>
        <v>70.587600000000009</v>
      </c>
      <c r="H23" s="714"/>
      <c r="I23" s="86">
        <v>2000</v>
      </c>
      <c r="J23" s="86"/>
      <c r="K23" s="995"/>
      <c r="L23" s="1003">
        <f t="shared" si="2"/>
        <v>2000</v>
      </c>
      <c r="M23" s="1005">
        <v>3.5</v>
      </c>
      <c r="N23" s="1000">
        <f t="shared" si="7"/>
        <v>8400</v>
      </c>
      <c r="O23" s="54" t="str">
        <f t="shared" si="6"/>
        <v>сульфат марганца</v>
      </c>
    </row>
    <row r="24" spans="1:15" x14ac:dyDescent="0.3">
      <c r="A24" s="127">
        <f>'2_квартал'!A27</f>
        <v>18</v>
      </c>
      <c r="B24" s="1252" t="str">
        <f>'2_квартал'!B27</f>
        <v>калий йод</v>
      </c>
      <c r="C24" s="1250">
        <f>'2_квартал'!GS27</f>
        <v>8.01</v>
      </c>
      <c r="D24" s="1291">
        <f>'2_квартал'!GR27</f>
        <v>15.295999999999999</v>
      </c>
      <c r="E24" s="1288">
        <f>'2_квартал'!DU27</f>
        <v>8.0382666666666669</v>
      </c>
      <c r="F24" s="985">
        <f>'2_квартал'!I27</f>
        <v>1.595</v>
      </c>
      <c r="G24" s="1296">
        <f>'2_квартал'!GP27</f>
        <v>-1.7800000000000038E-2</v>
      </c>
      <c r="H24" s="714"/>
      <c r="I24" s="997"/>
      <c r="J24" s="86"/>
      <c r="K24" s="995"/>
      <c r="L24" s="1003">
        <f t="shared" si="2"/>
        <v>0</v>
      </c>
      <c r="M24" s="1005">
        <v>200</v>
      </c>
      <c r="N24" s="1000">
        <f t="shared" si="7"/>
        <v>0</v>
      </c>
      <c r="O24" s="54" t="str">
        <f t="shared" si="6"/>
        <v>калий йод</v>
      </c>
    </row>
    <row r="25" spans="1:15" x14ac:dyDescent="0.3">
      <c r="A25" s="127">
        <f>'2_квартал'!A28</f>
        <v>19</v>
      </c>
      <c r="B25" s="1252" t="str">
        <f>'2_квартал'!B28</f>
        <v>йодат кальция</v>
      </c>
      <c r="C25" s="1250">
        <f>'2_квартал'!GS28</f>
        <v>3.4</v>
      </c>
      <c r="D25" s="1291">
        <f>'2_квартал'!GR28</f>
        <v>0</v>
      </c>
      <c r="E25" s="1288">
        <f>'2_квартал'!DU28</f>
        <v>3.4004999999999996</v>
      </c>
      <c r="F25" s="985">
        <f>'2_квартал'!I28</f>
        <v>43.62</v>
      </c>
      <c r="G25" s="711">
        <f>'2_квартал'!GP28</f>
        <v>43.522799999999997</v>
      </c>
      <c r="H25" s="714"/>
      <c r="I25" s="366"/>
      <c r="J25" s="86"/>
      <c r="K25" s="995"/>
      <c r="L25" s="1003">
        <f t="shared" si="2"/>
        <v>0</v>
      </c>
      <c r="M25" s="1005"/>
      <c r="N25" s="1000">
        <f t="shared" si="7"/>
        <v>0</v>
      </c>
      <c r="O25" s="54" t="str">
        <f t="shared" si="6"/>
        <v>йодат кальция</v>
      </c>
    </row>
    <row r="26" spans="1:15" x14ac:dyDescent="0.3">
      <c r="A26" s="127">
        <f>'2_квартал'!A29</f>
        <v>20</v>
      </c>
      <c r="B26" s="1252" t="str">
        <f>'2_квартал'!B29</f>
        <v>кобальт у/к</v>
      </c>
      <c r="C26" s="1250">
        <f>'2_квартал'!GS29</f>
        <v>6.4</v>
      </c>
      <c r="D26" s="1291">
        <f>'2_квартал'!GR29</f>
        <v>9.9429999999999996</v>
      </c>
      <c r="E26" s="1288">
        <f>'2_квартал'!DU29</f>
        <v>6.3745333333333338</v>
      </c>
      <c r="F26" s="985">
        <f>'2_квартал'!I29</f>
        <v>38.369999999999997</v>
      </c>
      <c r="G26" s="711">
        <f>'2_квартал'!GP29</f>
        <v>37.551600000000001</v>
      </c>
      <c r="H26" s="714"/>
      <c r="I26" s="366"/>
      <c r="J26" s="86"/>
      <c r="K26" s="995"/>
      <c r="L26" s="1003">
        <f t="shared" si="2"/>
        <v>0</v>
      </c>
      <c r="M26" s="1005">
        <v>110</v>
      </c>
      <c r="N26" s="1000">
        <f t="shared" si="7"/>
        <v>0</v>
      </c>
      <c r="O26" s="54" t="str">
        <f t="shared" si="6"/>
        <v>кобальт у/к</v>
      </c>
    </row>
    <row r="27" spans="1:15" s="52" customFormat="1" ht="15" customHeight="1" x14ac:dyDescent="0.3">
      <c r="A27" s="127">
        <f>'2_квартал'!A30</f>
        <v>21</v>
      </c>
      <c r="B27" s="1252" t="str">
        <f>'2_квартал'!B30</f>
        <v>селенит натрия</v>
      </c>
      <c r="C27" s="1250">
        <f>'2_квартал'!GS30</f>
        <v>1.825</v>
      </c>
      <c r="D27" s="1291">
        <f>'2_квартал'!GR30</f>
        <v>2.3279999999999998</v>
      </c>
      <c r="E27" s="1288">
        <f>'2_квартал'!DU30</f>
        <v>1.8464666666666667</v>
      </c>
      <c r="F27" s="985">
        <f>'2_квартал'!I30</f>
        <v>15.555999999999999</v>
      </c>
      <c r="G27" s="711">
        <f>'2_квартал'!GP30</f>
        <v>15.092199999999998</v>
      </c>
      <c r="H27" s="714"/>
      <c r="I27" s="366"/>
      <c r="J27" s="86"/>
      <c r="K27" s="995"/>
      <c r="L27" s="1003">
        <f t="shared" si="2"/>
        <v>0</v>
      </c>
      <c r="M27" s="1005">
        <v>70</v>
      </c>
      <c r="N27" s="1000">
        <f t="shared" si="7"/>
        <v>0</v>
      </c>
      <c r="O27" s="54" t="str">
        <f t="shared" si="6"/>
        <v>селенит натрия</v>
      </c>
    </row>
    <row r="28" spans="1:15" s="52" customFormat="1" ht="15" customHeight="1" x14ac:dyDescent="0.3">
      <c r="A28" s="127">
        <f>'2_квартал'!A31</f>
        <v>22</v>
      </c>
      <c r="B28" s="1252" t="str">
        <f>'2_квартал'!B31</f>
        <v>Метионин</v>
      </c>
      <c r="C28" s="1250">
        <f>'2_квартал'!GS31</f>
        <v>0</v>
      </c>
      <c r="D28" s="1291">
        <f>'2_квартал'!GR31</f>
        <v>0</v>
      </c>
      <c r="E28" s="1288">
        <f>'2_квартал'!DU31</f>
        <v>0</v>
      </c>
      <c r="F28" s="985">
        <f>'2_квартал'!I31</f>
        <v>0</v>
      </c>
      <c r="G28" s="711">
        <f>'2_квартал'!GP31</f>
        <v>0</v>
      </c>
      <c r="H28" s="714"/>
      <c r="I28" s="86"/>
      <c r="J28" s="86"/>
      <c r="K28" s="995"/>
      <c r="L28" s="1003">
        <f t="shared" ref="L28" si="8">SUM(I28:K28)</f>
        <v>0</v>
      </c>
      <c r="M28" s="1005"/>
      <c r="N28" s="1000">
        <f t="shared" ref="N28" si="9">L28*M28*1.2</f>
        <v>0</v>
      </c>
      <c r="O28" s="54" t="str">
        <f t="shared" ref="O28" si="10">B28</f>
        <v>Метионин</v>
      </c>
    </row>
    <row r="29" spans="1:15" x14ac:dyDescent="0.3">
      <c r="A29" s="127">
        <f>'2_квартал'!A32</f>
        <v>23</v>
      </c>
      <c r="B29" s="1252" t="str">
        <f>'2_квартал'!B32</f>
        <v>МиТаргет (Метионин защищённый)</v>
      </c>
      <c r="C29" s="1250">
        <f>'2_квартал'!GS32</f>
        <v>140.62</v>
      </c>
      <c r="D29" s="1291">
        <f>'2_квартал'!GR32</f>
        <v>222.50299999999999</v>
      </c>
      <c r="E29" s="1288">
        <f>'2_квартал'!DU32</f>
        <v>140.61600000000001</v>
      </c>
      <c r="F29" s="985">
        <f>'2_квартал'!I32</f>
        <v>143.6</v>
      </c>
      <c r="G29" s="711">
        <f>'2_квартал'!GP32</f>
        <v>71.283199999999994</v>
      </c>
      <c r="H29" s="714">
        <v>275</v>
      </c>
      <c r="I29" s="86"/>
      <c r="J29" s="86"/>
      <c r="K29" s="995"/>
      <c r="L29" s="1003">
        <f t="shared" si="2"/>
        <v>0</v>
      </c>
      <c r="M29" s="1005"/>
      <c r="N29" s="1000">
        <f t="shared" si="7"/>
        <v>0</v>
      </c>
      <c r="O29" s="54" t="str">
        <f t="shared" si="6"/>
        <v>МиТаргет (Метионин защищённый)</v>
      </c>
    </row>
    <row r="30" spans="1:15" x14ac:dyDescent="0.3">
      <c r="A30" s="127">
        <f>'2_квартал'!A33</f>
        <v>24</v>
      </c>
      <c r="B30" s="1252" t="str">
        <f>'2_квартал'!B33</f>
        <v>монокальцийфосфат (МКФ)</v>
      </c>
      <c r="C30" s="1250">
        <f>'2_квартал'!GS33</f>
        <v>5986.13</v>
      </c>
      <c r="D30" s="1291">
        <f>'2_квартал'!GR33</f>
        <v>5307.7969999999996</v>
      </c>
      <c r="E30" s="1288">
        <f>'2_квартал'!DU33</f>
        <v>5986.150066666667</v>
      </c>
      <c r="F30" s="985">
        <f>'2_квартал'!I33</f>
        <v>8499.81</v>
      </c>
      <c r="G30" s="711">
        <f>'2_квартал'!GP33</f>
        <v>7970.0051999999996</v>
      </c>
      <c r="H30" s="714"/>
      <c r="I30" s="854"/>
      <c r="J30" s="86"/>
      <c r="K30" s="995"/>
      <c r="L30" s="1003">
        <f t="shared" si="2"/>
        <v>0</v>
      </c>
      <c r="M30" s="1125">
        <v>2.5499999999999998</v>
      </c>
      <c r="N30" s="1000">
        <f t="shared" si="7"/>
        <v>0</v>
      </c>
      <c r="O30" s="54" t="str">
        <f t="shared" si="6"/>
        <v>монокальцийфосфат (МКФ)</v>
      </c>
    </row>
    <row r="31" spans="1:15" x14ac:dyDescent="0.3">
      <c r="A31" s="127">
        <f>'2_квартал'!A34</f>
        <v>25</v>
      </c>
      <c r="B31" s="1252" t="str">
        <f>'2_квартал'!B34</f>
        <v>мука известняковая</v>
      </c>
      <c r="C31" s="1250">
        <f>'2_квартал'!GS34</f>
        <v>15181.66</v>
      </c>
      <c r="D31" s="1291">
        <f>'2_квартал'!GR34</f>
        <v>26713.63</v>
      </c>
      <c r="E31" s="1288">
        <f>'2_квартал'!DU34</f>
        <v>15181.680633333333</v>
      </c>
      <c r="F31" s="985">
        <f>'2_квартал'!I34</f>
        <v>75979.615000000005</v>
      </c>
      <c r="G31" s="711">
        <f>'2_квартал'!GP34</f>
        <v>74391.7114</v>
      </c>
      <c r="H31" s="714"/>
      <c r="I31" s="86"/>
      <c r="J31" s="86"/>
      <c r="K31" s="997"/>
      <c r="L31" s="1003">
        <f t="shared" si="2"/>
        <v>0</v>
      </c>
      <c r="M31" s="1005">
        <v>0.17</v>
      </c>
      <c r="N31" s="1000">
        <f t="shared" si="7"/>
        <v>0</v>
      </c>
      <c r="O31" s="54" t="str">
        <f t="shared" si="6"/>
        <v>мука известняковая</v>
      </c>
    </row>
    <row r="32" spans="1:15" x14ac:dyDescent="0.3">
      <c r="A32" s="127">
        <f>'2_квартал'!A36</f>
        <v>27</v>
      </c>
      <c r="B32" s="1252" t="str">
        <f>'2_квартал'!B36</f>
        <v xml:space="preserve">Соль пищ выварочн сорт экстра </v>
      </c>
      <c r="C32" s="1250">
        <f>'2_квартал'!GS36</f>
        <v>1604.23</v>
      </c>
      <c r="D32" s="1291">
        <f>'2_квартал'!GR36</f>
        <v>3144.59</v>
      </c>
      <c r="E32" s="1288">
        <f>'2_квартал'!DU36</f>
        <v>1604.2316000000003</v>
      </c>
      <c r="F32" s="985">
        <f>'2_квартал'!I36</f>
        <v>8602.4599999999991</v>
      </c>
      <c r="G32" s="711">
        <f>'2_квартал'!GP36</f>
        <v>8411.9479999999985</v>
      </c>
      <c r="H32" s="714"/>
      <c r="I32" s="86"/>
      <c r="J32" s="86"/>
      <c r="K32" s="995"/>
      <c r="L32" s="1003">
        <f t="shared" si="2"/>
        <v>0</v>
      </c>
      <c r="M32" s="1005"/>
      <c r="N32" s="1000">
        <f t="shared" ref="N32" si="11">L32*M32*1.2</f>
        <v>0</v>
      </c>
      <c r="O32" s="54" t="str">
        <f t="shared" ref="O32" si="12">B32</f>
        <v xml:space="preserve">Соль пищ выварочн сорт экстра </v>
      </c>
    </row>
    <row r="33" spans="1:15" x14ac:dyDescent="0.3">
      <c r="A33" s="939"/>
      <c r="B33" s="1214"/>
      <c r="C33" s="1214"/>
      <c r="D33" s="1286"/>
      <c r="E33" s="1289"/>
      <c r="F33" s="1287"/>
      <c r="G33" s="1214"/>
      <c r="H33" s="621"/>
      <c r="I33" s="798"/>
      <c r="J33" s="798"/>
      <c r="K33" s="996"/>
      <c r="L33" s="1006"/>
      <c r="M33" s="1007"/>
      <c r="N33" s="1001"/>
      <c r="O33" s="235"/>
    </row>
    <row r="34" spans="1:15" x14ac:dyDescent="0.3">
      <c r="A34" s="127">
        <f>'2_квартал'!A38</f>
        <v>28</v>
      </c>
      <c r="B34" s="1252" t="str">
        <f>'2_квартал'!B38</f>
        <v>Гидрокарбонат натрия Е500 (сода)</v>
      </c>
      <c r="C34" s="1250">
        <f>'2_квартал'!GS38</f>
        <v>55.95</v>
      </c>
      <c r="D34" s="1291">
        <f>'2_квартал'!GR38</f>
        <v>354.31299999999999</v>
      </c>
      <c r="E34" s="1288">
        <f>'2_квартал'!DU38</f>
        <v>55.957200000000007</v>
      </c>
      <c r="F34" s="985">
        <f>'2_квартал'!I38</f>
        <v>1395.6000000000001</v>
      </c>
      <c r="G34" s="711">
        <f>'2_квартал'!GP38</f>
        <v>1386.5280000000002</v>
      </c>
      <c r="H34" s="714"/>
      <c r="I34" s="86"/>
      <c r="J34" s="86"/>
      <c r="K34" s="995"/>
      <c r="L34" s="1003">
        <f t="shared" si="2"/>
        <v>0</v>
      </c>
      <c r="M34" s="1005">
        <v>1.2</v>
      </c>
      <c r="N34" s="1000">
        <f t="shared" si="7"/>
        <v>0</v>
      </c>
      <c r="O34" s="54" t="str">
        <f t="shared" si="6"/>
        <v>Гидрокарбонат натрия Е500 (сода)</v>
      </c>
    </row>
    <row r="35" spans="1:15" x14ac:dyDescent="0.3">
      <c r="A35" s="127">
        <f>'2_квартал'!A39</f>
        <v>29</v>
      </c>
      <c r="B35" s="1252" t="str">
        <f>'2_квартал'!B39</f>
        <v>Актиген</v>
      </c>
      <c r="C35" s="1250">
        <f>'2_квартал'!GS39</f>
        <v>321.25</v>
      </c>
      <c r="D35" s="1291">
        <f>'2_квартал'!GR39</f>
        <v>735.673</v>
      </c>
      <c r="E35" s="1288">
        <f>'2_квартал'!DU39</f>
        <v>321.25010000000009</v>
      </c>
      <c r="F35" s="985">
        <f>'2_квартал'!I39</f>
        <v>307.68</v>
      </c>
      <c r="G35" s="711">
        <f>'2_квартал'!GP39</f>
        <v>296.79360000000003</v>
      </c>
      <c r="H35" s="714"/>
      <c r="I35" s="86"/>
      <c r="J35" s="86"/>
      <c r="K35" s="995"/>
      <c r="L35" s="1003">
        <f t="shared" si="2"/>
        <v>0</v>
      </c>
      <c r="M35" s="1005"/>
      <c r="N35" s="1000">
        <f t="shared" si="7"/>
        <v>0</v>
      </c>
      <c r="O35" s="54" t="str">
        <f t="shared" si="6"/>
        <v>Актиген</v>
      </c>
    </row>
    <row r="36" spans="1:15" s="168" customFormat="1" x14ac:dyDescent="0.3">
      <c r="A36" s="127">
        <f>'2_квартал'!A40</f>
        <v>30</v>
      </c>
      <c r="B36" s="1252" t="str">
        <f>'2_квартал'!B40</f>
        <v>Биогром Энерджи</v>
      </c>
      <c r="C36" s="1250">
        <f>'2_квартал'!GS40</f>
        <v>0</v>
      </c>
      <c r="D36" s="1291">
        <f>'2_квартал'!GR40</f>
        <v>81.137</v>
      </c>
      <c r="E36" s="1288">
        <f>'2_квартал'!DU40</f>
        <v>0</v>
      </c>
      <c r="F36" s="985">
        <f>'2_квартал'!I40</f>
        <v>75</v>
      </c>
      <c r="G36" s="711">
        <f>'2_квартал'!GP40</f>
        <v>75</v>
      </c>
      <c r="H36" s="714"/>
      <c r="I36" s="86"/>
      <c r="J36" s="86"/>
      <c r="K36" s="995"/>
      <c r="L36" s="1003">
        <f t="shared" si="2"/>
        <v>0</v>
      </c>
      <c r="M36" s="1005"/>
      <c r="N36" s="1000">
        <f t="shared" si="7"/>
        <v>0</v>
      </c>
      <c r="O36" s="54" t="str">
        <f t="shared" si="6"/>
        <v>Биогром Энерджи</v>
      </c>
    </row>
    <row r="37" spans="1:15" x14ac:dyDescent="0.3">
      <c r="A37" s="127">
        <f>'2_квартал'!A41</f>
        <v>31</v>
      </c>
      <c r="B37" s="1252" t="str">
        <f>'2_квартал'!B41</f>
        <v>Биогром Холин</v>
      </c>
      <c r="C37" s="1250">
        <f>'2_квартал'!GS41</f>
        <v>0</v>
      </c>
      <c r="D37" s="1291">
        <f>'2_квартал'!GR41</f>
        <v>408.02300000000002</v>
      </c>
      <c r="E37" s="1288">
        <f>'2_квартал'!DU41</f>
        <v>0</v>
      </c>
      <c r="F37" s="985">
        <f>'2_квартал'!I41</f>
        <v>0</v>
      </c>
      <c r="G37" s="711">
        <f>'2_квартал'!GP41</f>
        <v>0</v>
      </c>
      <c r="H37" s="714" t="s">
        <v>553</v>
      </c>
      <c r="I37" s="86"/>
      <c r="J37" s="86"/>
      <c r="K37" s="995"/>
      <c r="L37" s="1003">
        <f t="shared" si="2"/>
        <v>0</v>
      </c>
      <c r="M37" s="1005"/>
      <c r="N37" s="1000">
        <f t="shared" si="7"/>
        <v>0</v>
      </c>
      <c r="O37" s="54" t="str">
        <f t="shared" si="6"/>
        <v>Биогром Холин</v>
      </c>
    </row>
    <row r="38" spans="1:15" x14ac:dyDescent="0.3">
      <c r="A38" s="127">
        <f>'2_квартал'!A42</f>
        <v>32</v>
      </c>
      <c r="B38" s="1252" t="str">
        <f>'2_квартал'!B42</f>
        <v>Биоплекс марганец</v>
      </c>
      <c r="C38" s="1250">
        <f>'2_квартал'!GS42</f>
        <v>712.48</v>
      </c>
      <c r="D38" s="1291">
        <f>'2_квартал'!GR42</f>
        <v>910.76300000000003</v>
      </c>
      <c r="E38" s="1288">
        <f>'2_квартал'!DU42</f>
        <v>712.47749999999996</v>
      </c>
      <c r="F38" s="985">
        <f>'2_квартал'!I42</f>
        <v>1338.2629999999999</v>
      </c>
      <c r="G38" s="711">
        <f>'2_квартал'!GP42</f>
        <v>1282.097</v>
      </c>
      <c r="H38" s="714"/>
      <c r="I38" s="86"/>
      <c r="J38" s="86"/>
      <c r="K38" s="995"/>
      <c r="L38" s="1003">
        <f t="shared" si="2"/>
        <v>0</v>
      </c>
      <c r="M38" s="1005"/>
      <c r="N38" s="1000">
        <f t="shared" si="7"/>
        <v>0</v>
      </c>
      <c r="O38" s="54" t="str">
        <f t="shared" si="6"/>
        <v>Биоплекс марганец</v>
      </c>
    </row>
    <row r="39" spans="1:15" x14ac:dyDescent="0.3">
      <c r="A39" s="127">
        <f>'2_квартал'!A43</f>
        <v>33</v>
      </c>
      <c r="B39" s="1252" t="str">
        <f>'2_квартал'!B43</f>
        <v>Биоплекс медь</v>
      </c>
      <c r="C39" s="1250">
        <f>'2_квартал'!GS43</f>
        <v>558.41000000000008</v>
      </c>
      <c r="D39" s="1291">
        <f>'2_квартал'!GR43</f>
        <v>756.803</v>
      </c>
      <c r="E39" s="1288">
        <f>'2_квартал'!DU43</f>
        <v>558.39369999999997</v>
      </c>
      <c r="F39" s="985">
        <f>'2_квартал'!I43</f>
        <v>1603.873</v>
      </c>
      <c r="G39" s="711">
        <f>'2_квартал'!GP43</f>
        <v>1557.9988000000001</v>
      </c>
      <c r="H39" s="714"/>
      <c r="I39" s="86"/>
      <c r="J39" s="86"/>
      <c r="K39" s="995"/>
      <c r="L39" s="1003">
        <f t="shared" ref="L39" si="13">SUM(I39:K39)</f>
        <v>0</v>
      </c>
      <c r="M39" s="1005"/>
      <c r="N39" s="1000">
        <f t="shared" ref="N39" si="14">L39*M39*1.2</f>
        <v>0</v>
      </c>
      <c r="O39" s="54" t="str">
        <f t="shared" ref="O39" si="15">B39</f>
        <v>Биоплекс медь</v>
      </c>
    </row>
    <row r="40" spans="1:15" x14ac:dyDescent="0.3">
      <c r="A40" s="127">
        <f>'2_квартал'!A44</f>
        <v>34</v>
      </c>
      <c r="B40" s="1252" t="str">
        <f>'2_квартал'!B44</f>
        <v>Биоплекс цинк</v>
      </c>
      <c r="C40" s="1250">
        <f>'2_квартал'!GS44</f>
        <v>1238.18</v>
      </c>
      <c r="D40" s="1291">
        <f>'2_квартал'!GR44</f>
        <v>1571.2329999999999</v>
      </c>
      <c r="E40" s="1288">
        <f>'2_квартал'!DU44</f>
        <v>1238.1655000000001</v>
      </c>
      <c r="F40" s="985">
        <f>'2_квартал'!I44</f>
        <v>1766.0030000000002</v>
      </c>
      <c r="G40" s="711">
        <f>'2_квартал'!GP44</f>
        <v>1649.4374000000003</v>
      </c>
      <c r="H40" s="714"/>
      <c r="I40" s="86"/>
      <c r="J40" s="86"/>
      <c r="K40" s="995"/>
      <c r="L40" s="1003">
        <f t="shared" si="2"/>
        <v>0</v>
      </c>
      <c r="M40" s="1005"/>
      <c r="N40" s="1000">
        <f t="shared" si="7"/>
        <v>0</v>
      </c>
      <c r="O40" s="54" t="str">
        <f t="shared" si="6"/>
        <v>Биоплекс цинк</v>
      </c>
    </row>
    <row r="41" spans="1:15" s="168" customFormat="1" x14ac:dyDescent="0.3">
      <c r="A41" s="127">
        <f>'2_квартал'!A45</f>
        <v>35</v>
      </c>
      <c r="B41" s="1252" t="str">
        <f>'2_квартал'!B45</f>
        <v>Биопромис Селен Пауэр</v>
      </c>
      <c r="C41" s="1250">
        <f>'2_квартал'!GS45</f>
        <v>0</v>
      </c>
      <c r="D41" s="1291">
        <f>'2_квартал'!GR45</f>
        <v>0</v>
      </c>
      <c r="E41" s="1288">
        <f>'2_квартал'!DU45</f>
        <v>0</v>
      </c>
      <c r="F41" s="985">
        <f>'2_квартал'!I45</f>
        <v>0</v>
      </c>
      <c r="G41" s="711">
        <f>'2_квартал'!GP45</f>
        <v>0</v>
      </c>
      <c r="H41" s="714"/>
      <c r="I41" s="86"/>
      <c r="J41" s="86"/>
      <c r="K41" s="995"/>
      <c r="L41" s="1003">
        <f t="shared" si="2"/>
        <v>0</v>
      </c>
      <c r="M41" s="1005"/>
      <c r="N41" s="1000">
        <f t="shared" si="7"/>
        <v>0</v>
      </c>
      <c r="O41" s="54" t="str">
        <f t="shared" si="6"/>
        <v>Биопромис Селен Пауэр</v>
      </c>
    </row>
    <row r="42" spans="1:15" x14ac:dyDescent="0.3">
      <c r="A42" s="127">
        <f>'2_квартал'!A46</f>
        <v>36</v>
      </c>
      <c r="B42" s="1252" t="str">
        <f>'2_квартал'!B46</f>
        <v>Биопромис Хром пиколинат</v>
      </c>
      <c r="C42" s="1250">
        <f>'2_квартал'!GS46</f>
        <v>10.719999999999999</v>
      </c>
      <c r="D42" s="1291">
        <f>'2_квартал'!GR46</f>
        <v>56.997</v>
      </c>
      <c r="E42" s="1288">
        <f>'2_квартал'!DU46</f>
        <v>10.7212</v>
      </c>
      <c r="F42" s="985">
        <f>'2_квартал'!I46</f>
        <v>29.759999999999998</v>
      </c>
      <c r="G42" s="711">
        <f>'2_квартал'!GP46</f>
        <v>29.759999999999998</v>
      </c>
      <c r="H42" s="769"/>
      <c r="I42" s="823"/>
      <c r="J42" s="86"/>
      <c r="K42" s="995"/>
      <c r="L42" s="1003">
        <f t="shared" si="2"/>
        <v>0</v>
      </c>
      <c r="M42" s="1005">
        <v>7.6</v>
      </c>
      <c r="N42" s="1000">
        <f t="shared" si="7"/>
        <v>0</v>
      </c>
      <c r="O42" s="54" t="str">
        <f t="shared" si="6"/>
        <v>Биопромис Хром пиколинат</v>
      </c>
    </row>
    <row r="43" spans="1:15" x14ac:dyDescent="0.3">
      <c r="A43" s="127">
        <f>'2_квартал'!A47</f>
        <v>37</v>
      </c>
      <c r="B43" s="1252" t="str">
        <f>'2_квартал'!B47</f>
        <v>Виусид-Вет</v>
      </c>
      <c r="C43" s="1250">
        <f>'2_квартал'!GS47</f>
        <v>0</v>
      </c>
      <c r="D43" s="1291">
        <f>'2_квартал'!GR47</f>
        <v>98.52</v>
      </c>
      <c r="E43" s="1288">
        <f>'2_квартал'!DU47</f>
        <v>0</v>
      </c>
      <c r="F43" s="985">
        <f>'2_квартал'!I47</f>
        <v>18.84</v>
      </c>
      <c r="G43" s="711">
        <f>'2_квартал'!GP47</f>
        <v>18.84</v>
      </c>
      <c r="H43" s="714"/>
      <c r="I43" s="86"/>
      <c r="J43" s="86"/>
      <c r="K43" s="995"/>
      <c r="L43" s="1003">
        <f t="shared" ref="L43" si="16">SUM(I43:K43)</f>
        <v>0</v>
      </c>
      <c r="M43" s="1005"/>
      <c r="N43" s="1000">
        <f t="shared" ref="N43" si="17">L43*M43*1.2</f>
        <v>0</v>
      </c>
      <c r="O43" s="54" t="str">
        <f t="shared" ref="O43" si="18">B43</f>
        <v>Виусид-Вет</v>
      </c>
    </row>
    <row r="44" spans="1:15" s="168" customFormat="1" x14ac:dyDescent="0.3">
      <c r="A44" s="127">
        <f>'2_квартал'!A48</f>
        <v>38</v>
      </c>
      <c r="B44" s="1252" t="str">
        <f>'2_квартал'!B48</f>
        <v xml:space="preserve">Декстроза </v>
      </c>
      <c r="C44" s="1250">
        <f>'2_квартал'!GS48</f>
        <v>8686.44</v>
      </c>
      <c r="D44" s="1291">
        <f>'2_квартал'!GR48</f>
        <v>9645.2569999999996</v>
      </c>
      <c r="E44" s="1288">
        <f>'2_квартал'!DU48</f>
        <v>8686.44</v>
      </c>
      <c r="F44" s="985">
        <f>'2_квартал'!I48</f>
        <v>7033.73</v>
      </c>
      <c r="G44" s="711">
        <f>'2_квартал'!GP48</f>
        <v>6797.8579999999993</v>
      </c>
      <c r="H44" s="714">
        <v>3000</v>
      </c>
      <c r="I44" s="86"/>
      <c r="J44" s="86"/>
      <c r="K44" s="1297">
        <v>10000</v>
      </c>
      <c r="L44" s="1003">
        <f>SUM(I44:J44)</f>
        <v>0</v>
      </c>
      <c r="M44" s="1005">
        <v>2.5</v>
      </c>
      <c r="N44" s="1000">
        <f t="shared" si="7"/>
        <v>0</v>
      </c>
      <c r="O44" s="54" t="str">
        <f t="shared" si="6"/>
        <v xml:space="preserve">Декстроза </v>
      </c>
    </row>
    <row r="45" spans="1:15" x14ac:dyDescent="0.3">
      <c r="A45" s="127">
        <f>'2_квартал'!A49</f>
        <v>39</v>
      </c>
      <c r="B45" s="1252" t="str">
        <f>'2_квартал'!B49</f>
        <v>Диоксид кремния Экстрасил</v>
      </c>
      <c r="C45" s="1250">
        <f>'2_квартал'!GS49</f>
        <v>10.89</v>
      </c>
      <c r="D45" s="1291">
        <f>'2_квартал'!GR49</f>
        <v>0</v>
      </c>
      <c r="E45" s="1288">
        <f>'2_квартал'!DU49</f>
        <v>10.8864</v>
      </c>
      <c r="F45" s="985">
        <f>'2_квартал'!I49</f>
        <v>25.77</v>
      </c>
      <c r="G45" s="711">
        <f>'2_квартал'!GP49</f>
        <v>25.77</v>
      </c>
      <c r="H45" s="714"/>
      <c r="I45" s="86"/>
      <c r="J45" s="86"/>
      <c r="K45" s="995"/>
      <c r="L45" s="1003">
        <f t="shared" si="2"/>
        <v>0</v>
      </c>
      <c r="M45" s="1005"/>
      <c r="N45" s="1000">
        <f t="shared" si="7"/>
        <v>0</v>
      </c>
      <c r="O45" s="54" t="str">
        <f t="shared" si="6"/>
        <v>Диоксид кремния Экстрасил</v>
      </c>
    </row>
    <row r="46" spans="1:15" ht="15.75" customHeight="1" x14ac:dyDescent="0.3">
      <c r="A46" s="127">
        <f>'2_квартал'!A50</f>
        <v>40</v>
      </c>
      <c r="B46" s="1252" t="str">
        <f>'2_квартал'!B50</f>
        <v>Дрожжевые клетки Saccharomyces</v>
      </c>
      <c r="C46" s="1250">
        <f>'2_квартал'!GS50</f>
        <v>553.79</v>
      </c>
      <c r="D46" s="1291">
        <f>'2_квартал'!GR50</f>
        <v>782.35</v>
      </c>
      <c r="E46" s="1288">
        <f>'2_квартал'!DU50</f>
        <v>553.79520000000002</v>
      </c>
      <c r="F46" s="985">
        <f>'2_квартал'!I50</f>
        <v>645.55999999999995</v>
      </c>
      <c r="G46" s="711">
        <f>'2_квартал'!GP50</f>
        <v>638.30239999999992</v>
      </c>
      <c r="H46" s="714"/>
      <c r="I46" s="86"/>
      <c r="J46" s="86"/>
      <c r="K46" s="995"/>
      <c r="L46" s="1003">
        <f t="shared" si="2"/>
        <v>0</v>
      </c>
      <c r="M46" s="1005"/>
      <c r="N46" s="1000">
        <f t="shared" si="7"/>
        <v>0</v>
      </c>
      <c r="O46" s="54" t="str">
        <f t="shared" si="6"/>
        <v>Дрожжевые клетки Saccharomyces</v>
      </c>
    </row>
    <row r="47" spans="1:15" ht="15.75" customHeight="1" x14ac:dyDescent="0.3">
      <c r="A47" s="127">
        <f>'2_квартал'!A51</f>
        <v>41</v>
      </c>
      <c r="B47" s="1252" t="str">
        <f>'2_квартал'!B51</f>
        <v>Оксикап</v>
      </c>
      <c r="C47" s="1250">
        <f>'2_квартал'!GS51</f>
        <v>31.72</v>
      </c>
      <c r="D47" s="1291">
        <f>'2_квартал'!GR51</f>
        <v>42.283000000000001</v>
      </c>
      <c r="E47" s="1288">
        <f>'2_квартал'!DU51</f>
        <v>31.722700000000003</v>
      </c>
      <c r="F47" s="985">
        <f>'2_квартал'!I51</f>
        <v>52.072000000000003</v>
      </c>
      <c r="G47" s="711">
        <f>'2_квартал'!GP51</f>
        <v>49.8904</v>
      </c>
      <c r="H47" s="714"/>
      <c r="I47" s="854"/>
      <c r="J47" s="86"/>
      <c r="K47" s="995"/>
      <c r="L47" s="1003">
        <f t="shared" si="2"/>
        <v>0</v>
      </c>
      <c r="M47" s="1005">
        <v>6.5</v>
      </c>
      <c r="N47" s="1000">
        <f t="shared" si="7"/>
        <v>0</v>
      </c>
      <c r="O47" s="54" t="str">
        <f t="shared" si="6"/>
        <v>Оксикап</v>
      </c>
    </row>
    <row r="48" spans="1:15" x14ac:dyDescent="0.3">
      <c r="A48" s="127">
        <f>'2_квартал'!A52</f>
        <v>42</v>
      </c>
      <c r="B48" s="1252" t="str">
        <f>'2_квартал'!B52</f>
        <v>Олеобиотик</v>
      </c>
      <c r="C48" s="1250">
        <f>'2_квартал'!GS52</f>
        <v>0</v>
      </c>
      <c r="D48" s="1291">
        <f>'2_квартал'!GR52</f>
        <v>8.65</v>
      </c>
      <c r="E48" s="1288">
        <f>'2_квартал'!DU52</f>
        <v>0</v>
      </c>
      <c r="F48" s="985">
        <f>'2_квартал'!I52</f>
        <v>12.63</v>
      </c>
      <c r="G48" s="711">
        <f>'2_квартал'!GP52</f>
        <v>12.63</v>
      </c>
      <c r="H48" s="714"/>
      <c r="I48" s="86"/>
      <c r="J48" s="86"/>
      <c r="K48" s="995"/>
      <c r="L48" s="1003">
        <f t="shared" ref="L48:L54" si="19">SUM(I48:K48)</f>
        <v>0</v>
      </c>
      <c r="M48" s="1005"/>
      <c r="N48" s="1000">
        <f t="shared" ref="N48:N52" si="20">L48*M48*1.2</f>
        <v>0</v>
      </c>
      <c r="O48" s="54" t="str">
        <f t="shared" ref="O48:O52" si="21">B48</f>
        <v>Олеобиотик</v>
      </c>
    </row>
    <row r="49" spans="1:15" x14ac:dyDescent="0.3">
      <c r="A49" s="127">
        <f>'2_квартал'!A53</f>
        <v>43</v>
      </c>
      <c r="B49" s="1252" t="str">
        <f>'2_квартал'!B53</f>
        <v>Оптиген</v>
      </c>
      <c r="C49" s="1250">
        <f>'2_квартал'!GS53</f>
        <v>0</v>
      </c>
      <c r="D49" s="1291">
        <f>'2_квартал'!GR53</f>
        <v>899.33299999999997</v>
      </c>
      <c r="E49" s="1288">
        <f>'2_квартал'!DU53</f>
        <v>0</v>
      </c>
      <c r="F49" s="985">
        <f>'2_квартал'!I53</f>
        <v>24</v>
      </c>
      <c r="G49" s="711">
        <f>'2_квартал'!GP53</f>
        <v>24</v>
      </c>
      <c r="H49" s="714"/>
      <c r="I49" s="86"/>
      <c r="J49" s="86"/>
      <c r="K49" s="995"/>
      <c r="L49" s="1003">
        <f t="shared" si="19"/>
        <v>0</v>
      </c>
      <c r="M49" s="1005"/>
      <c r="N49" s="1000">
        <f t="shared" si="20"/>
        <v>0</v>
      </c>
      <c r="O49" s="54" t="str">
        <f t="shared" si="21"/>
        <v>Оптиген</v>
      </c>
    </row>
    <row r="50" spans="1:15" x14ac:dyDescent="0.3">
      <c r="A50" s="127">
        <f>'2_квартал'!A54</f>
        <v>44</v>
      </c>
      <c r="B50" s="1252" t="str">
        <f>'2_квартал'!B54</f>
        <v>Оптима 100</v>
      </c>
      <c r="C50" s="1250">
        <f>'2_квартал'!GS54</f>
        <v>442.78</v>
      </c>
      <c r="D50" s="1291">
        <f>'2_квартал'!GR54</f>
        <v>500</v>
      </c>
      <c r="E50" s="1288">
        <f>'2_квартал'!DU54</f>
        <v>442.78393333333332</v>
      </c>
      <c r="F50" s="985">
        <f>'2_квартал'!I54</f>
        <v>903</v>
      </c>
      <c r="G50" s="711">
        <f>'2_квартал'!GP54</f>
        <v>903</v>
      </c>
      <c r="H50" s="714">
        <v>1150</v>
      </c>
      <c r="I50" s="86"/>
      <c r="J50" s="86"/>
      <c r="K50" s="995"/>
      <c r="L50" s="1003">
        <f t="shared" si="19"/>
        <v>0</v>
      </c>
      <c r="M50" s="1005"/>
      <c r="N50" s="1000">
        <f t="shared" si="20"/>
        <v>0</v>
      </c>
      <c r="O50" s="54" t="str">
        <f t="shared" si="21"/>
        <v>Оптима 100</v>
      </c>
    </row>
    <row r="51" spans="1:15" x14ac:dyDescent="0.3">
      <c r="A51" s="127">
        <f>'2_квартал'!A55</f>
        <v>45</v>
      </c>
      <c r="B51" s="1252" t="str">
        <f>'2_квартал'!B55</f>
        <v>МеноМет</v>
      </c>
      <c r="C51" s="1250">
        <f>'2_квартал'!GS55</f>
        <v>0</v>
      </c>
      <c r="D51" s="1291">
        <f>'2_квартал'!GR55</f>
        <v>0</v>
      </c>
      <c r="E51" s="1288">
        <f>'2_квартал'!DU55</f>
        <v>0</v>
      </c>
      <c r="F51" s="985">
        <f>'2_квартал'!I55</f>
        <v>0</v>
      </c>
      <c r="G51" s="711">
        <f>'2_квартал'!GP55</f>
        <v>0</v>
      </c>
      <c r="H51" s="714"/>
      <c r="I51" s="86"/>
      <c r="J51" s="86"/>
      <c r="K51" s="995"/>
      <c r="L51" s="1003">
        <f t="shared" si="19"/>
        <v>0</v>
      </c>
      <c r="M51" s="1005"/>
      <c r="N51" s="1000">
        <f t="shared" si="20"/>
        <v>0</v>
      </c>
      <c r="O51" s="54" t="str">
        <f t="shared" si="21"/>
        <v>МеноМет</v>
      </c>
    </row>
    <row r="52" spans="1:15" x14ac:dyDescent="0.3">
      <c r="A52" s="127">
        <f>'2_квартал'!A56</f>
        <v>46</v>
      </c>
      <c r="B52" s="1252" t="str">
        <f>'2_квартал'!B56</f>
        <v>Микосорб</v>
      </c>
      <c r="C52" s="1250">
        <f>'2_квартал'!GS56</f>
        <v>3193.22</v>
      </c>
      <c r="D52" s="1291">
        <f>'2_квартал'!GR56</f>
        <v>3746.67</v>
      </c>
      <c r="E52" s="1288">
        <f>'2_квартал'!DU56</f>
        <v>3193.2179999999998</v>
      </c>
      <c r="F52" s="985">
        <f>'2_квартал'!I56</f>
        <v>3697.96</v>
      </c>
      <c r="G52" s="1215">
        <f>'2_квартал'!GP56</f>
        <v>3697.96</v>
      </c>
      <c r="H52" s="714"/>
      <c r="I52" s="86"/>
      <c r="J52" s="86"/>
      <c r="K52" s="995"/>
      <c r="L52" s="1003">
        <f t="shared" si="19"/>
        <v>0</v>
      </c>
      <c r="M52" s="1005"/>
      <c r="N52" s="1000">
        <f t="shared" si="20"/>
        <v>0</v>
      </c>
      <c r="O52" s="54" t="str">
        <f t="shared" si="21"/>
        <v>Микосорб</v>
      </c>
    </row>
    <row r="53" spans="1:15" x14ac:dyDescent="0.3">
      <c r="A53" s="127">
        <f>'2_квартал'!A57</f>
        <v>47</v>
      </c>
      <c r="B53" s="1252" t="str">
        <f>'2_квартал'!B57</f>
        <v>МЕГАсодиум</v>
      </c>
      <c r="C53" s="1250">
        <f>'2_квартал'!GS57</f>
        <v>5338.57</v>
      </c>
      <c r="D53" s="1291">
        <f>'2_квартал'!GR57</f>
        <v>5435.5630000000001</v>
      </c>
      <c r="E53" s="1288">
        <f>'2_квартал'!DU57</f>
        <v>5338.5696000000007</v>
      </c>
      <c r="F53" s="985">
        <f>'2_квартал'!I57</f>
        <v>2733.4</v>
      </c>
      <c r="G53" s="711">
        <f>'2_квартал'!GP57</f>
        <v>2013.0832</v>
      </c>
      <c r="H53" s="714"/>
      <c r="I53" s="1016"/>
      <c r="J53" s="86"/>
      <c r="K53" s="1298">
        <v>5000</v>
      </c>
      <c r="L53" s="1003">
        <f t="shared" si="19"/>
        <v>5000</v>
      </c>
      <c r="M53" s="1005">
        <v>0.85</v>
      </c>
      <c r="N53" s="1000">
        <f t="shared" ref="N53:N54" si="22">L53*M53*1.2</f>
        <v>5100</v>
      </c>
      <c r="O53" s="54" t="str">
        <f t="shared" ref="O53:O54" si="23">B53</f>
        <v>МЕГАсодиум</v>
      </c>
    </row>
    <row r="54" spans="1:15" x14ac:dyDescent="0.3">
      <c r="A54" s="127">
        <f>'2_квартал'!A58</f>
        <v>48</v>
      </c>
      <c r="B54" s="1252" t="str">
        <f>'2_квартал'!B58</f>
        <v>Менаро сливки</v>
      </c>
      <c r="C54" s="1250">
        <f>'2_квартал'!GS58</f>
        <v>4.88</v>
      </c>
      <c r="D54" s="1291">
        <f>'2_квартал'!GR58</f>
        <v>5.04</v>
      </c>
      <c r="E54" s="1288">
        <f>'2_квартал'!DU58</f>
        <v>4.88</v>
      </c>
      <c r="F54" s="985">
        <f>'2_квартал'!I58</f>
        <v>0</v>
      </c>
      <c r="G54" s="711">
        <f>'2_квартал'!GP58</f>
        <v>0</v>
      </c>
      <c r="H54" s="714"/>
      <c r="I54" s="940"/>
      <c r="J54" s="86"/>
      <c r="K54" s="998"/>
      <c r="L54" s="1003">
        <f t="shared" si="19"/>
        <v>0</v>
      </c>
      <c r="M54" s="1005"/>
      <c r="N54" s="1000">
        <f t="shared" si="22"/>
        <v>0</v>
      </c>
      <c r="O54" s="54" t="str">
        <f t="shared" si="23"/>
        <v>Менаро сливки</v>
      </c>
    </row>
    <row r="55" spans="1:15" x14ac:dyDescent="0.3">
      <c r="A55" s="939"/>
      <c r="B55" s="1214"/>
      <c r="C55" s="1214"/>
      <c r="D55" s="1286"/>
      <c r="E55" s="1289"/>
      <c r="F55" s="1287"/>
      <c r="G55" s="1214"/>
      <c r="H55" s="621"/>
      <c r="I55" s="798"/>
      <c r="J55" s="798"/>
      <c r="K55" s="996"/>
      <c r="L55" s="1008"/>
      <c r="M55" s="1007"/>
      <c r="N55" s="1002"/>
      <c r="O55" s="235"/>
    </row>
    <row r="56" spans="1:15" x14ac:dyDescent="0.3">
      <c r="A56" s="127">
        <f>'2_квартал'!A60</f>
        <v>49</v>
      </c>
      <c r="B56" s="1252" t="str">
        <f>'2_квартал'!B60</f>
        <v>Новихол</v>
      </c>
      <c r="C56" s="1250">
        <f>'2_квартал'!GS60</f>
        <v>199.57999999999998</v>
      </c>
      <c r="D56" s="1291">
        <f>'2_квартал'!GR60</f>
        <v>451.13</v>
      </c>
      <c r="E56" s="1288">
        <f>'2_квартал'!DU60</f>
        <v>199.584</v>
      </c>
      <c r="F56" s="985">
        <f>'2_квартал'!I60</f>
        <v>300.42</v>
      </c>
      <c r="G56" s="711">
        <f>'2_квартал'!GP60</f>
        <v>184.02660000000003</v>
      </c>
      <c r="H56" s="714"/>
      <c r="I56" s="854"/>
      <c r="J56" s="995">
        <v>300</v>
      </c>
      <c r="K56" s="995"/>
      <c r="L56" s="1003">
        <f t="shared" ref="L56" si="24">SUM(I56:K56)</f>
        <v>300</v>
      </c>
      <c r="M56" s="1005">
        <v>23</v>
      </c>
      <c r="N56" s="1000">
        <f t="shared" ref="N56" si="25">L56*M56*1.2</f>
        <v>8280</v>
      </c>
      <c r="O56" s="54" t="str">
        <f t="shared" ref="O56" si="26">B56</f>
        <v>Новихол</v>
      </c>
    </row>
    <row r="57" spans="1:15" x14ac:dyDescent="0.3">
      <c r="A57" s="127">
        <f>'2_квартал'!A61</f>
        <v>50</v>
      </c>
      <c r="B57" s="1252" t="str">
        <f>'2_квартал'!B61</f>
        <v>Нупро</v>
      </c>
      <c r="C57" s="1250">
        <f>'2_квартал'!GS61</f>
        <v>1399.1</v>
      </c>
      <c r="D57" s="1291">
        <f>'2_квартал'!GR61</f>
        <v>13.776999999999999</v>
      </c>
      <c r="E57" s="1288">
        <f>'2_квартал'!DU61</f>
        <v>1399.105</v>
      </c>
      <c r="F57" s="985">
        <f>'2_квартал'!I61</f>
        <v>7.47</v>
      </c>
      <c r="G57" s="711">
        <f>'2_квартал'!GP61</f>
        <v>7.47</v>
      </c>
      <c r="H57" s="714"/>
      <c r="I57" s="86"/>
      <c r="J57" s="86"/>
      <c r="K57" s="995"/>
      <c r="L57" s="1003">
        <f t="shared" ref="L57:L63" si="27">SUM(I57:K57)</f>
        <v>0</v>
      </c>
      <c r="M57" s="1005"/>
      <c r="N57" s="1000">
        <f t="shared" ref="N57:N63" si="28">L57*M57*1.2</f>
        <v>0</v>
      </c>
      <c r="O57" s="54" t="str">
        <f t="shared" ref="O57:O63" si="29">B57</f>
        <v>Нупро</v>
      </c>
    </row>
    <row r="58" spans="1:15" x14ac:dyDescent="0.3">
      <c r="A58" s="127">
        <f>'2_квартал'!A62</f>
        <v>51</v>
      </c>
      <c r="B58" s="1252" t="str">
        <f>'2_квартал'!B62</f>
        <v>Карбонат калия  гранул</v>
      </c>
      <c r="C58" s="1250">
        <f>'2_квартал'!GS62</f>
        <v>10557.289999999999</v>
      </c>
      <c r="D58" s="1291">
        <f>'2_квартал'!GR62</f>
        <v>3216.4630000000002</v>
      </c>
      <c r="E58" s="1288">
        <f>'2_квартал'!DU62</f>
        <v>10557.288</v>
      </c>
      <c r="F58" s="985">
        <f>'2_квартал'!I62</f>
        <v>1602.02</v>
      </c>
      <c r="G58" s="1215">
        <f>'2_квартал'!GP62</f>
        <v>1456.8679999999999</v>
      </c>
      <c r="H58" s="714">
        <v>4000</v>
      </c>
      <c r="I58" s="86"/>
      <c r="J58" s="86"/>
      <c r="K58" s="997"/>
      <c r="L58" s="1003">
        <f t="shared" si="27"/>
        <v>0</v>
      </c>
      <c r="M58" s="1005">
        <v>3.82</v>
      </c>
      <c r="N58" s="1000">
        <f t="shared" si="28"/>
        <v>0</v>
      </c>
      <c r="O58" s="54" t="str">
        <f t="shared" si="29"/>
        <v>Карбонат калия  гранул</v>
      </c>
    </row>
    <row r="59" spans="1:15" x14ac:dyDescent="0.3">
      <c r="A59" s="127">
        <f>'2_квартал'!A63</f>
        <v>52</v>
      </c>
      <c r="B59" s="1252" t="str">
        <f>'2_квартал'!B63</f>
        <v>Карбонат калия (поташ)</v>
      </c>
      <c r="C59" s="1250">
        <f>'2_квартал'!GS63</f>
        <v>0</v>
      </c>
      <c r="D59" s="1291">
        <f>'2_квартал'!GR63</f>
        <v>0</v>
      </c>
      <c r="E59" s="1288">
        <f>'2_квартал'!DU63</f>
        <v>0</v>
      </c>
      <c r="F59" s="985">
        <f>'2_квартал'!I63</f>
        <v>0</v>
      </c>
      <c r="G59" s="711">
        <f>'2_квартал'!GP63</f>
        <v>0</v>
      </c>
      <c r="H59" s="714"/>
      <c r="I59" s="854">
        <v>14700</v>
      </c>
      <c r="J59" s="86"/>
      <c r="K59" s="995"/>
      <c r="L59" s="1003">
        <f t="shared" si="27"/>
        <v>14700</v>
      </c>
      <c r="M59" s="1005"/>
      <c r="N59" s="1000">
        <f t="shared" si="28"/>
        <v>0</v>
      </c>
      <c r="O59" s="54" t="str">
        <f t="shared" si="29"/>
        <v>Карбонат калия (поташ)</v>
      </c>
    </row>
    <row r="60" spans="1:15" x14ac:dyDescent="0.3">
      <c r="A60" s="127">
        <f>'2_квартал'!A64</f>
        <v>53</v>
      </c>
      <c r="B60" s="1252" t="str">
        <f>'2_квартал'!B64</f>
        <v>кальций хлористый пищ Фудикс</v>
      </c>
      <c r="C60" s="1250">
        <f>'2_квартал'!GS64</f>
        <v>2017.0100000000002</v>
      </c>
      <c r="D60" s="1291">
        <f>'2_квартал'!GR64</f>
        <v>7595.05</v>
      </c>
      <c r="E60" s="1288">
        <f>'2_квартал'!DU64</f>
        <v>2017.0079999999998</v>
      </c>
      <c r="F60" s="985">
        <f>'2_квартал'!I64</f>
        <v>8519.2099999999991</v>
      </c>
      <c r="G60" s="711">
        <f>'2_квартал'!GP64</f>
        <v>8147.2579999999989</v>
      </c>
      <c r="H60" s="714"/>
      <c r="I60" s="86"/>
      <c r="J60" s="997"/>
      <c r="K60" s="995"/>
      <c r="L60" s="1003">
        <f t="shared" si="27"/>
        <v>0</v>
      </c>
      <c r="M60" s="1005">
        <v>1.8</v>
      </c>
      <c r="N60" s="1000">
        <f t="shared" si="28"/>
        <v>0</v>
      </c>
      <c r="O60" s="54" t="str">
        <f t="shared" si="29"/>
        <v>кальций хлористый пищ Фудикс</v>
      </c>
    </row>
    <row r="61" spans="1:15" x14ac:dyDescent="0.3">
      <c r="A61" s="127">
        <f>'2_квартал'!A65</f>
        <v>54</v>
      </c>
      <c r="B61" s="1252" t="str">
        <f>'2_квартал'!B65</f>
        <v>кальция пропионат</v>
      </c>
      <c r="C61" s="1250">
        <f>'2_квартал'!GS65</f>
        <v>2580.48</v>
      </c>
      <c r="D61" s="1291">
        <f>'2_квартал'!GR65</f>
        <v>2661.453</v>
      </c>
      <c r="E61" s="1288">
        <f>'2_квартал'!DU65</f>
        <v>2580.48</v>
      </c>
      <c r="F61" s="985">
        <f>'2_квартал'!I65</f>
        <v>4322.29</v>
      </c>
      <c r="G61" s="711">
        <f>'2_квартал'!GP65</f>
        <v>4140.8500000000004</v>
      </c>
      <c r="H61" s="714"/>
      <c r="I61" s="854">
        <v>2000</v>
      </c>
      <c r="J61" s="86"/>
      <c r="K61" s="995"/>
      <c r="L61" s="1003">
        <f t="shared" si="27"/>
        <v>2000</v>
      </c>
      <c r="M61" s="1005">
        <v>4</v>
      </c>
      <c r="N61" s="1000">
        <f t="shared" si="28"/>
        <v>9600</v>
      </c>
      <c r="O61" s="54" t="str">
        <f t="shared" si="29"/>
        <v>кальция пропионат</v>
      </c>
    </row>
    <row r="62" spans="1:15" x14ac:dyDescent="0.3">
      <c r="A62" s="127">
        <f>'2_квартал'!A66</f>
        <v>55</v>
      </c>
      <c r="B62" s="1252" t="str">
        <f>'2_квартал'!B66</f>
        <v>Концентрат СЖК</v>
      </c>
      <c r="C62" s="1250">
        <f>'2_квартал'!GS66</f>
        <v>0</v>
      </c>
      <c r="D62" s="1291">
        <f>'2_квартал'!GR66</f>
        <v>7.7569999999999997</v>
      </c>
      <c r="E62" s="1288">
        <f>'2_квартал'!DU66</f>
        <v>0</v>
      </c>
      <c r="F62" s="985">
        <f>'2_квартал'!I66</f>
        <v>0</v>
      </c>
      <c r="G62" s="711">
        <f>'2_квартал'!GP66</f>
        <v>0</v>
      </c>
      <c r="H62" s="714"/>
      <c r="I62" s="86"/>
      <c r="J62" s="86"/>
      <c r="K62" s="995"/>
      <c r="L62" s="1003">
        <f t="shared" si="27"/>
        <v>0</v>
      </c>
      <c r="M62" s="1005"/>
      <c r="N62" s="1000">
        <f t="shared" si="28"/>
        <v>0</v>
      </c>
      <c r="O62" s="54" t="str">
        <f t="shared" si="29"/>
        <v>Концентрат СЖК</v>
      </c>
    </row>
    <row r="63" spans="1:15" x14ac:dyDescent="0.3">
      <c r="A63" s="127">
        <f>'2_квартал'!A67</f>
        <v>56</v>
      </c>
      <c r="B63" s="1252" t="str">
        <f>'2_квартал'!B67</f>
        <v>и-сак</v>
      </c>
      <c r="C63" s="1250">
        <f>'2_квартал'!GS67</f>
        <v>117.56</v>
      </c>
      <c r="D63" s="1291">
        <f>'2_квартал'!GR67</f>
        <v>531.54999999999995</v>
      </c>
      <c r="E63" s="1288">
        <f>'2_квартал'!DU67</f>
        <v>117.55799999999999</v>
      </c>
      <c r="F63" s="985">
        <f>'2_квартал'!I67</f>
        <v>257.89999999999998</v>
      </c>
      <c r="G63" s="711">
        <f>'2_квартал'!GP67</f>
        <v>257.89999999999998</v>
      </c>
      <c r="H63" s="714"/>
      <c r="I63" s="86"/>
      <c r="J63" s="86"/>
      <c r="K63" s="995"/>
      <c r="L63" s="1003">
        <f t="shared" si="27"/>
        <v>0</v>
      </c>
      <c r="M63" s="1005"/>
      <c r="N63" s="1000">
        <f t="shared" si="28"/>
        <v>0</v>
      </c>
      <c r="O63" s="54" t="str">
        <f t="shared" si="29"/>
        <v>и-сак</v>
      </c>
    </row>
    <row r="64" spans="1:15" s="167" customFormat="1" x14ac:dyDescent="0.3">
      <c r="A64" s="127">
        <f>'2_квартал'!A68</f>
        <v>57</v>
      </c>
      <c r="B64" s="1252" t="str">
        <f>'2_квартал'!B68</f>
        <v>Селениум Ист 3000</v>
      </c>
      <c r="C64" s="1250">
        <f>'2_квартал'!GS68</f>
        <v>33.409999999999997</v>
      </c>
      <c r="D64" s="1291">
        <f>'2_квартал'!GR68</f>
        <v>30.503</v>
      </c>
      <c r="E64" s="1288">
        <f>'2_квартал'!DU68</f>
        <v>33.409000000000006</v>
      </c>
      <c r="F64" s="985">
        <f>'2_квартал'!I68</f>
        <v>42.74</v>
      </c>
      <c r="G64" s="711">
        <f>'2_квартал'!GP68</f>
        <v>22.580000000000002</v>
      </c>
      <c r="H64" s="714"/>
      <c r="I64" s="86"/>
      <c r="J64" s="86"/>
      <c r="K64" s="995"/>
      <c r="L64" s="1003">
        <f t="shared" ref="L64:L69" si="30">SUM(I64:K64)</f>
        <v>0</v>
      </c>
      <c r="M64" s="1005">
        <v>24</v>
      </c>
      <c r="N64" s="1000">
        <f t="shared" ref="N64:N69" si="31">L64*M64*1.2</f>
        <v>0</v>
      </c>
      <c r="O64" s="54" t="str">
        <f t="shared" ref="O64:O69" si="32">B64</f>
        <v>Селениум Ист 3000</v>
      </c>
    </row>
    <row r="65" spans="1:25" s="167" customFormat="1" x14ac:dyDescent="0.3">
      <c r="A65" s="127">
        <f>'2_квартал'!A69</f>
        <v>58</v>
      </c>
      <c r="B65" s="1252" t="str">
        <f>'2_квартал'!B69</f>
        <v>Сел-плекс 2300 (Сел-плекс )</v>
      </c>
      <c r="C65" s="1250">
        <f>'2_квартал'!GS69</f>
        <v>732.45999999999992</v>
      </c>
      <c r="D65" s="1291">
        <f>'2_квартал'!GR69</f>
        <v>873.88699999999994</v>
      </c>
      <c r="E65" s="1288">
        <f>'2_квартал'!DU69</f>
        <v>732.50316666666663</v>
      </c>
      <c r="F65" s="985">
        <f>'2_квартал'!I69</f>
        <v>602.22</v>
      </c>
      <c r="G65" s="711">
        <f>'2_квартал'!GP69</f>
        <v>556.72649999999999</v>
      </c>
      <c r="H65" s="714"/>
      <c r="I65" s="86"/>
      <c r="J65" s="86"/>
      <c r="K65" s="995"/>
      <c r="L65" s="1003">
        <f t="shared" si="30"/>
        <v>0</v>
      </c>
      <c r="M65" s="1005"/>
      <c r="N65" s="1000">
        <f t="shared" si="31"/>
        <v>0</v>
      </c>
      <c r="O65" s="54" t="str">
        <f t="shared" si="32"/>
        <v>Сел-плекс 2300 (Сел-плекс )</v>
      </c>
    </row>
    <row r="66" spans="1:25" s="167" customFormat="1" x14ac:dyDescent="0.3">
      <c r="A66" s="127">
        <f>'2_квартал'!A70</f>
        <v>59</v>
      </c>
      <c r="B66" s="1252" t="str">
        <f>'2_квартал'!B70</f>
        <v>Сыворотка</v>
      </c>
      <c r="C66" s="1250">
        <f>'2_квартал'!GS70</f>
        <v>302.39999999999998</v>
      </c>
      <c r="D66" s="1291">
        <f>'2_квартал'!GR70</f>
        <v>106.84699999999999</v>
      </c>
      <c r="E66" s="1288">
        <f>'2_квартал'!DU70</f>
        <v>302.39999999999998</v>
      </c>
      <c r="F66" s="985">
        <f>'2_квартал'!I70</f>
        <v>4.1100000000000003</v>
      </c>
      <c r="G66" s="711">
        <f>'2_квартал'!GP70</f>
        <v>4.1100000000000003</v>
      </c>
      <c r="H66" s="714">
        <v>775</v>
      </c>
      <c r="I66" s="86"/>
      <c r="J66" s="86"/>
      <c r="K66" s="995"/>
      <c r="L66" s="1003">
        <f t="shared" si="30"/>
        <v>0</v>
      </c>
      <c r="M66" s="1005"/>
      <c r="N66" s="1000">
        <f t="shared" si="31"/>
        <v>0</v>
      </c>
      <c r="O66" s="54" t="str">
        <f t="shared" si="32"/>
        <v>Сыворотка</v>
      </c>
    </row>
    <row r="67" spans="1:25" s="401" customFormat="1" ht="15.6" x14ac:dyDescent="0.3">
      <c r="A67" s="127">
        <f>'2_квартал'!A71</f>
        <v>60</v>
      </c>
      <c r="B67" s="1252" t="str">
        <f>'2_квартал'!B71</f>
        <v>Пулкокс С</v>
      </c>
      <c r="C67" s="1250">
        <f>'2_квартал'!GS71</f>
        <v>57.37</v>
      </c>
      <c r="D67" s="1291">
        <f>'2_квартал'!GR71</f>
        <v>83.287000000000006</v>
      </c>
      <c r="E67" s="1288">
        <f>'2_квартал'!DU71</f>
        <v>57.381700000000002</v>
      </c>
      <c r="F67" s="985">
        <f>'2_квартал'!I71</f>
        <v>125.12</v>
      </c>
      <c r="G67" s="711">
        <f>'2_квартал'!GP71</f>
        <v>121.8053</v>
      </c>
      <c r="H67" s="714"/>
      <c r="I67" s="854"/>
      <c r="J67" s="86"/>
      <c r="K67" s="995"/>
      <c r="L67" s="1003">
        <f t="shared" si="30"/>
        <v>0</v>
      </c>
      <c r="M67" s="1005">
        <v>36</v>
      </c>
      <c r="N67" s="1000">
        <f t="shared" si="31"/>
        <v>0</v>
      </c>
      <c r="O67" s="54" t="str">
        <f t="shared" si="32"/>
        <v>Пулкокс С</v>
      </c>
    </row>
    <row r="68" spans="1:25" s="401" customFormat="1" ht="15.6" x14ac:dyDescent="0.3">
      <c r="A68" s="127">
        <f>'2_квартал'!A72</f>
        <v>61</v>
      </c>
      <c r="B68" s="1252" t="str">
        <f>'2_квартал'!B72</f>
        <v>Луктаром Молочно-Ванильный</v>
      </c>
      <c r="C68" s="1250">
        <f>'2_квартал'!GS72</f>
        <v>205.26</v>
      </c>
      <c r="D68" s="1291">
        <f>'2_квартал'!GR72</f>
        <v>176.143</v>
      </c>
      <c r="E68" s="1288">
        <f>'2_квартал'!DU72</f>
        <v>205.26830000000001</v>
      </c>
      <c r="F68" s="985">
        <f>'2_квартал'!I72</f>
        <v>73.94</v>
      </c>
      <c r="G68" s="711">
        <f>'2_квартал'!GP72</f>
        <v>64.867999999999995</v>
      </c>
      <c r="H68" s="714"/>
      <c r="I68" s="854"/>
      <c r="J68" s="86"/>
      <c r="K68" s="995"/>
      <c r="L68" s="1003">
        <f t="shared" si="30"/>
        <v>0</v>
      </c>
      <c r="M68" s="1005">
        <v>18</v>
      </c>
      <c r="N68" s="1000">
        <f t="shared" si="31"/>
        <v>0</v>
      </c>
      <c r="O68" s="54" t="str">
        <f t="shared" si="32"/>
        <v>Луктаром Молочно-Ванильный</v>
      </c>
    </row>
    <row r="69" spans="1:25" s="401" customFormat="1" ht="15.6" x14ac:dyDescent="0.3">
      <c r="A69" s="127">
        <f>'2_квартал'!A73</f>
        <v>62</v>
      </c>
      <c r="B69" s="1252" t="str">
        <f>'2_квартал'!B73</f>
        <v>Липро</v>
      </c>
      <c r="C69" s="1250">
        <f>'2_квартал'!GS73</f>
        <v>0</v>
      </c>
      <c r="D69" s="1291">
        <f>'2_квартал'!GR73</f>
        <v>365.41</v>
      </c>
      <c r="E69" s="1288">
        <f>'2_квартал'!DU73</f>
        <v>0</v>
      </c>
      <c r="F69" s="985">
        <f>'2_квартал'!I73</f>
        <v>0</v>
      </c>
      <c r="G69" s="711">
        <f>'2_квартал'!GP73</f>
        <v>0</v>
      </c>
      <c r="H69" s="714"/>
      <c r="I69" s="86"/>
      <c r="J69" s="854"/>
      <c r="K69" s="995"/>
      <c r="L69" s="1003">
        <f t="shared" si="30"/>
        <v>0</v>
      </c>
      <c r="M69" s="1005">
        <v>32</v>
      </c>
      <c r="N69" s="1000">
        <f t="shared" si="31"/>
        <v>0</v>
      </c>
      <c r="O69" s="54" t="str">
        <f t="shared" si="32"/>
        <v>Липро</v>
      </c>
    </row>
    <row r="70" spans="1:25" s="401" customFormat="1" ht="15.6" x14ac:dyDescent="0.3">
      <c r="A70" s="127">
        <f>'2_квартал'!A74</f>
        <v>63</v>
      </c>
      <c r="B70" s="1252" t="str">
        <f>'2_квартал'!B74</f>
        <v>Миалакто</v>
      </c>
      <c r="C70" s="1250">
        <f>'2_квартал'!GS74</f>
        <v>318.67</v>
      </c>
      <c r="D70" s="1291">
        <f>'2_квартал'!GR74</f>
        <v>0</v>
      </c>
      <c r="E70" s="1288">
        <f>'2_квартал'!DU74</f>
        <v>318.66430000000003</v>
      </c>
      <c r="F70" s="985">
        <f>'2_квартал'!I74</f>
        <v>80.92</v>
      </c>
      <c r="G70" s="711">
        <f>'2_квартал'!GP74</f>
        <v>80.92</v>
      </c>
      <c r="H70" s="714"/>
      <c r="I70" s="1016"/>
      <c r="J70" s="86"/>
      <c r="K70" s="995"/>
      <c r="L70" s="1003"/>
      <c r="M70" s="1005">
        <v>0.81</v>
      </c>
      <c r="N70" s="1000"/>
      <c r="O70" s="54"/>
      <c r="P70"/>
      <c r="Q70"/>
      <c r="R70"/>
      <c r="S70"/>
      <c r="T70"/>
      <c r="U70"/>
      <c r="V70"/>
      <c r="W70"/>
      <c r="X70"/>
      <c r="Y70"/>
    </row>
    <row r="71" spans="1:25" s="401" customFormat="1" ht="15.6" x14ac:dyDescent="0.3">
      <c r="A71" s="127">
        <f>'2_квартал'!A75</f>
        <v>64</v>
      </c>
      <c r="B71" s="1252" t="str">
        <f>'2_квартал'!B75</f>
        <v>Фекорд -2012-Ф гр.2</v>
      </c>
      <c r="C71" s="1250">
        <f>'2_квартал'!GS75</f>
        <v>0</v>
      </c>
      <c r="D71" s="1291">
        <f>'2_квартал'!GR75</f>
        <v>1.1870000000000001</v>
      </c>
      <c r="E71" s="1288">
        <f>'2_квартал'!DU75</f>
        <v>0</v>
      </c>
      <c r="F71" s="985">
        <f>'2_квартал'!I75</f>
        <v>0</v>
      </c>
      <c r="G71" s="711">
        <f>'2_квартал'!GP75</f>
        <v>0</v>
      </c>
      <c r="H71" s="714"/>
      <c r="I71" s="86"/>
      <c r="J71" s="86"/>
      <c r="K71" s="999"/>
      <c r="L71" s="1003">
        <f t="shared" si="2"/>
        <v>0</v>
      </c>
      <c r="M71" s="1005"/>
      <c r="N71" s="1000">
        <f t="shared" si="7"/>
        <v>0</v>
      </c>
      <c r="O71" s="54" t="str">
        <f t="shared" si="6"/>
        <v>Фекорд -2012-Ф гр.2</v>
      </c>
    </row>
    <row r="72" spans="1:25" s="401" customFormat="1" ht="15.6" x14ac:dyDescent="0.3">
      <c r="A72" s="127">
        <f>'2_квартал'!A76</f>
        <v>65</v>
      </c>
      <c r="B72" s="1252" t="str">
        <f>'2_квартал'!B76</f>
        <v>Файбрамакс</v>
      </c>
      <c r="C72" s="1250">
        <f>'2_квартал'!GS76</f>
        <v>0</v>
      </c>
      <c r="D72" s="1291">
        <f>'2_квартал'!GR76</f>
        <v>150</v>
      </c>
      <c r="E72" s="1288">
        <f>'2_квартал'!DU76</f>
        <v>0</v>
      </c>
      <c r="F72" s="985">
        <f>'2_квартал'!I76</f>
        <v>0</v>
      </c>
      <c r="G72" s="711">
        <f>'2_квартал'!GP76</f>
        <v>0</v>
      </c>
      <c r="H72" s="714"/>
      <c r="I72" s="86"/>
      <c r="J72" s="86"/>
      <c r="K72" s="999"/>
      <c r="L72" s="1003">
        <f t="shared" ref="L72" si="33">SUM(I72:K72)</f>
        <v>0</v>
      </c>
      <c r="M72" s="1005"/>
      <c r="N72" s="1000">
        <f t="shared" ref="N72" si="34">L72*M72*1.2</f>
        <v>0</v>
      </c>
      <c r="O72" s="54" t="str">
        <f t="shared" ref="O72" si="35">B72</f>
        <v>Файбрамакс</v>
      </c>
    </row>
    <row r="73" spans="1:25" x14ac:dyDescent="0.3">
      <c r="A73" s="127">
        <f>'2_квартал'!A77</f>
        <v>66</v>
      </c>
      <c r="B73" s="1252" t="str">
        <f>'2_квартал'!B77</f>
        <v>ХолиТаргет</v>
      </c>
      <c r="C73" s="1250">
        <f>'2_квартал'!GS77</f>
        <v>294</v>
      </c>
      <c r="D73" s="1291">
        <f>'2_квартал'!GR77</f>
        <v>0</v>
      </c>
      <c r="E73" s="1288">
        <f>'2_квартал'!DU77</f>
        <v>294</v>
      </c>
      <c r="F73" s="985">
        <f>'2_квартал'!I77</f>
        <v>321.27</v>
      </c>
      <c r="G73" s="711">
        <f>'2_квартал'!GP77</f>
        <v>267.06479999999999</v>
      </c>
      <c r="H73" s="714">
        <v>600</v>
      </c>
      <c r="I73" s="86"/>
      <c r="J73" s="86"/>
      <c r="K73" s="999"/>
      <c r="L73" s="1003">
        <f t="shared" si="2"/>
        <v>0</v>
      </c>
      <c r="M73" s="1005">
        <v>12.1</v>
      </c>
      <c r="N73" s="1000">
        <f t="shared" si="7"/>
        <v>0</v>
      </c>
      <c r="O73" s="54" t="str">
        <f t="shared" si="6"/>
        <v>ХолиТаргет</v>
      </c>
    </row>
    <row r="74" spans="1:25" x14ac:dyDescent="0.3">
      <c r="A74" s="127">
        <f>'2_квартал'!A78</f>
        <v>67</v>
      </c>
      <c r="B74" s="1252" t="str">
        <f>'2_квартал'!B78</f>
        <v>Хромсодержащие дрожжи</v>
      </c>
      <c r="C74" s="1250">
        <f>'2_квартал'!GS78</f>
        <v>577.41</v>
      </c>
      <c r="D74" s="1291">
        <f>'2_квартал'!GR78</f>
        <v>366.21</v>
      </c>
      <c r="E74" s="1288">
        <f>'2_квартал'!DU78</f>
        <v>577.4076</v>
      </c>
      <c r="F74" s="985">
        <f>'2_квартал'!I78</f>
        <v>868.96</v>
      </c>
      <c r="G74" s="711">
        <f>'2_квартал'!GP78</f>
        <v>860.79520000000002</v>
      </c>
      <c r="H74" s="714"/>
      <c r="I74" s="86"/>
      <c r="J74" s="86"/>
      <c r="K74" s="999"/>
      <c r="L74" s="1003">
        <f t="shared" ref="L74" si="36">SUM(I74:K74)</f>
        <v>0</v>
      </c>
      <c r="M74" s="1005"/>
      <c r="N74" s="1000">
        <f t="shared" ref="N74" si="37">L74*M74*1.2</f>
        <v>0</v>
      </c>
      <c r="O74" s="54" t="str">
        <f t="shared" ref="O74" si="38">B74</f>
        <v>Хромсодержащие дрожжи</v>
      </c>
    </row>
    <row r="75" spans="1:25" x14ac:dyDescent="0.3">
      <c r="A75" s="127">
        <f>'2_квартал'!A79</f>
        <v>68</v>
      </c>
      <c r="B75" s="1252" t="str">
        <f>'2_квартал'!B79</f>
        <v>Энерфат</v>
      </c>
      <c r="C75" s="1250">
        <f>'2_квартал'!GS79</f>
        <v>2810.71</v>
      </c>
      <c r="D75" s="1291">
        <f>'2_квартал'!GR79</f>
        <v>1556.3869999999999</v>
      </c>
      <c r="E75" s="1288">
        <f>'2_квартал'!DU79</f>
        <v>2810.7071999999998</v>
      </c>
      <c r="F75" s="985">
        <f>'2_квартал'!I79</f>
        <v>19164.830000000002</v>
      </c>
      <c r="G75" s="711">
        <f>'2_квартал'!GP79</f>
        <v>19149.710000000003</v>
      </c>
      <c r="H75" s="714"/>
      <c r="I75" s="86"/>
      <c r="J75" s="86"/>
      <c r="K75" s="995"/>
      <c r="L75" s="1003">
        <f t="shared" si="2"/>
        <v>0</v>
      </c>
      <c r="M75" s="1005"/>
      <c r="N75" s="1000">
        <f t="shared" si="7"/>
        <v>0</v>
      </c>
      <c r="O75" s="54" t="str">
        <f t="shared" si="6"/>
        <v>Энерфат</v>
      </c>
    </row>
    <row r="76" spans="1:25" s="168" customFormat="1" x14ac:dyDescent="0.3">
      <c r="A76" s="127">
        <f>'2_квартал'!A80</f>
        <v>69</v>
      </c>
      <c r="B76" s="1252" t="str">
        <f>'2_квартал'!B80</f>
        <v>Эсид-Пак</v>
      </c>
      <c r="C76" s="1250">
        <f>'2_квартал'!GS80</f>
        <v>0</v>
      </c>
      <c r="D76" s="1291">
        <f>'2_квартал'!GR80</f>
        <v>4.03</v>
      </c>
      <c r="E76" s="1288">
        <f>'2_квартал'!DU80</f>
        <v>0</v>
      </c>
      <c r="F76" s="985">
        <f>'2_квартал'!I80</f>
        <v>0</v>
      </c>
      <c r="G76" s="711">
        <f>'2_квартал'!GP80</f>
        <v>0</v>
      </c>
      <c r="H76" s="714"/>
      <c r="I76" s="86"/>
      <c r="J76" s="86"/>
      <c r="K76" s="995"/>
      <c r="L76" s="1003"/>
      <c r="M76" s="1005"/>
      <c r="N76" s="1000"/>
      <c r="O76" s="54"/>
    </row>
    <row r="77" spans="1:25" ht="15" thickBot="1" x14ac:dyDescent="0.35">
      <c r="A77" s="1253">
        <f>'2_квартал'!A81</f>
        <v>70</v>
      </c>
      <c r="B77" s="1252" t="str">
        <f>'2_квартал'!B81</f>
        <v>ДП60-3/40/плц-127</v>
      </c>
      <c r="C77" s="1251">
        <f>'2_квартал'!GS81</f>
        <v>0</v>
      </c>
      <c r="D77" s="1291"/>
      <c r="E77" s="1288">
        <f>'2_квартал'!DU81</f>
        <v>0</v>
      </c>
      <c r="F77" s="985">
        <f>'2_квартал'!I82</f>
        <v>0</v>
      </c>
      <c r="G77" s="711">
        <f>'2_квартал'!GP82</f>
        <v>0</v>
      </c>
      <c r="H77" s="714"/>
      <c r="I77" s="86"/>
      <c r="J77" s="86"/>
      <c r="K77" s="995"/>
      <c r="L77" s="1009"/>
      <c r="M77" s="1010"/>
      <c r="N77" s="1000"/>
      <c r="O77" s="54"/>
    </row>
    <row r="78" spans="1:25" x14ac:dyDescent="0.3">
      <c r="A78" s="315"/>
      <c r="B78" s="550" t="s">
        <v>170</v>
      </c>
      <c r="F78" s="321">
        <f>SUM(F6:F77)</f>
        <v>196158.08799999993</v>
      </c>
      <c r="I78" s="531"/>
      <c r="J78" s="531"/>
      <c r="K78" s="531"/>
      <c r="N78" s="153">
        <f>SUM(N6:N77)</f>
        <v>136260</v>
      </c>
    </row>
    <row r="79" spans="1:25" hidden="1" x14ac:dyDescent="0.3">
      <c r="A79" s="315" t="s">
        <v>166</v>
      </c>
      <c r="B79" s="315" t="s">
        <v>167</v>
      </c>
      <c r="I79" s="531"/>
      <c r="J79" s="531"/>
      <c r="K79" s="531"/>
    </row>
    <row r="80" spans="1:25" hidden="1" x14ac:dyDescent="0.3">
      <c r="A80" s="237">
        <v>1</v>
      </c>
      <c r="B80" s="237" t="s">
        <v>168</v>
      </c>
      <c r="C80" s="237"/>
      <c r="D80" s="237"/>
      <c r="E80" s="774"/>
      <c r="F80" s="546"/>
      <c r="G80" s="546"/>
      <c r="H80" s="547"/>
      <c r="I80" s="86"/>
      <c r="J80" s="86"/>
      <c r="K80" s="86"/>
      <c r="L80" s="207">
        <f>SUM(I80:J80)</f>
        <v>0</v>
      </c>
      <c r="M80" s="548">
        <v>0</v>
      </c>
      <c r="N80" s="549">
        <f t="shared" ref="N80" si="39">L80*M80*1.2</f>
        <v>0</v>
      </c>
    </row>
    <row r="81" spans="1:15" hidden="1" x14ac:dyDescent="0.3">
      <c r="A81" s="237">
        <v>2</v>
      </c>
      <c r="B81" s="237" t="s">
        <v>169</v>
      </c>
      <c r="C81" s="237"/>
      <c r="D81" s="237"/>
      <c r="E81" s="774"/>
      <c r="F81" s="546"/>
      <c r="G81" s="546"/>
      <c r="H81" s="547"/>
      <c r="I81" s="86"/>
      <c r="J81" s="86"/>
      <c r="K81" s="86"/>
      <c r="L81" s="207">
        <f>SUM(I81:J81)</f>
        <v>0</v>
      </c>
      <c r="M81" s="548">
        <v>1</v>
      </c>
      <c r="N81" s="549">
        <f t="shared" ref="N81" si="40">L81*M81*1.2</f>
        <v>0</v>
      </c>
    </row>
    <row r="82" spans="1:15" hidden="1" x14ac:dyDescent="0.3">
      <c r="B82" s="551" t="s">
        <v>171</v>
      </c>
      <c r="C82" s="552"/>
      <c r="D82" s="552"/>
      <c r="E82" s="775"/>
      <c r="F82" s="552"/>
      <c r="G82" s="552"/>
      <c r="H82" s="553"/>
      <c r="I82" s="986"/>
      <c r="J82" s="986"/>
      <c r="K82" s="986"/>
      <c r="L82" s="554"/>
      <c r="M82" s="629"/>
      <c r="N82" s="555">
        <f>N81+N78</f>
        <v>136260</v>
      </c>
    </row>
    <row r="83" spans="1:15" ht="15" hidden="1" thickBot="1" x14ac:dyDescent="0.35">
      <c r="B83" t="s">
        <v>407</v>
      </c>
      <c r="F83"/>
      <c r="G83"/>
      <c r="H83"/>
      <c r="I83" s="169"/>
      <c r="J83" s="169"/>
      <c r="K83" s="169"/>
      <c r="L83"/>
      <c r="M83" s="315"/>
      <c r="N83"/>
    </row>
    <row r="84" spans="1:15" hidden="1" x14ac:dyDescent="0.3">
      <c r="A84" s="852">
        <v>1</v>
      </c>
      <c r="B84" s="237" t="s">
        <v>408</v>
      </c>
      <c r="C84" s="237"/>
      <c r="D84" s="237"/>
      <c r="E84" s="774"/>
      <c r="F84" s="546"/>
      <c r="G84" s="623"/>
      <c r="H84" s="855"/>
      <c r="I84" s="987"/>
      <c r="J84" s="988"/>
      <c r="K84" s="989"/>
      <c r="L84" s="858">
        <f t="shared" ref="L84:L91" si="41">SUM(I84:K84)</f>
        <v>0</v>
      </c>
      <c r="M84" s="87">
        <v>13.6</v>
      </c>
      <c r="N84" s="549">
        <f t="shared" ref="N84:N89" si="42">L84*M84*1.2</f>
        <v>0</v>
      </c>
      <c r="O84" s="52" t="str">
        <f>B84</f>
        <v>ХолиТаргет (для реализации)</v>
      </c>
    </row>
    <row r="85" spans="1:15" hidden="1" x14ac:dyDescent="0.3">
      <c r="A85" s="853">
        <f>A84+1</f>
        <v>2</v>
      </c>
      <c r="B85" s="237" t="s">
        <v>409</v>
      </c>
      <c r="C85" s="237"/>
      <c r="D85" s="237"/>
      <c r="E85" s="774"/>
      <c r="F85" s="546"/>
      <c r="G85" s="623"/>
      <c r="H85" s="855"/>
      <c r="I85" s="990"/>
      <c r="J85" s="86"/>
      <c r="K85" s="991"/>
      <c r="L85" s="859">
        <f t="shared" si="41"/>
        <v>0</v>
      </c>
      <c r="M85" s="87">
        <v>21.5</v>
      </c>
      <c r="N85" s="549">
        <f t="shared" ref="N85" si="43">L85*M85*1.2</f>
        <v>0</v>
      </c>
      <c r="O85" s="52" t="str">
        <f>B85</f>
        <v>МиТаргет (для реализации)</v>
      </c>
    </row>
    <row r="86" spans="1:15" hidden="1" x14ac:dyDescent="0.3">
      <c r="A86" s="853">
        <f t="shared" ref="A86:A91" si="44">A85+1</f>
        <v>3</v>
      </c>
      <c r="B86" s="237" t="s">
        <v>457</v>
      </c>
      <c r="C86" s="237"/>
      <c r="D86" s="237"/>
      <c r="E86" s="774"/>
      <c r="F86" s="546"/>
      <c r="G86" s="623"/>
      <c r="H86" s="856"/>
      <c r="I86" s="990"/>
      <c r="J86" s="86"/>
      <c r="K86" s="991"/>
      <c r="L86" s="859">
        <f t="shared" si="41"/>
        <v>0</v>
      </c>
      <c r="M86" s="87">
        <v>1</v>
      </c>
      <c r="N86" s="154">
        <f t="shared" si="42"/>
        <v>0</v>
      </c>
      <c r="O86" s="52" t="str">
        <f t="shared" ref="O86:O87" si="45">B86</f>
        <v>Жмых льняной Мацкевичи</v>
      </c>
    </row>
    <row r="87" spans="1:15" hidden="1" x14ac:dyDescent="0.3">
      <c r="A87" s="853">
        <f t="shared" si="44"/>
        <v>4</v>
      </c>
      <c r="B87" s="237" t="s">
        <v>458</v>
      </c>
      <c r="C87" s="237"/>
      <c r="D87" s="237"/>
      <c r="E87" s="774"/>
      <c r="F87" s="546"/>
      <c r="G87" s="623"/>
      <c r="H87" s="856"/>
      <c r="I87" s="990"/>
      <c r="J87" s="86"/>
      <c r="K87" s="991"/>
      <c r="L87" s="859">
        <f t="shared" si="41"/>
        <v>0</v>
      </c>
      <c r="M87" s="916">
        <v>3</v>
      </c>
      <c r="N87" s="154">
        <f t="shared" si="42"/>
        <v>0</v>
      </c>
      <c r="O87" s="52" t="str">
        <f t="shared" si="45"/>
        <v>Соевое масло Мацкевичи (ФрешПроБаланс)</v>
      </c>
    </row>
    <row r="88" spans="1:15" ht="14.25" hidden="1" customHeight="1" x14ac:dyDescent="0.3">
      <c r="A88" s="853">
        <f t="shared" si="44"/>
        <v>5</v>
      </c>
      <c r="B88" s="237"/>
      <c r="C88" s="237"/>
      <c r="D88" s="237"/>
      <c r="E88" s="774"/>
      <c r="F88" s="546"/>
      <c r="G88" s="623"/>
      <c r="H88" s="856"/>
      <c r="I88" s="990"/>
      <c r="J88" s="86"/>
      <c r="K88" s="991"/>
      <c r="L88" s="859">
        <f t="shared" si="41"/>
        <v>0</v>
      </c>
      <c r="M88" s="87"/>
      <c r="N88" s="154">
        <f t="shared" si="42"/>
        <v>0</v>
      </c>
    </row>
    <row r="89" spans="1:15" hidden="1" x14ac:dyDescent="0.3">
      <c r="A89" s="853">
        <f t="shared" si="44"/>
        <v>6</v>
      </c>
      <c r="B89" s="237"/>
      <c r="C89" s="237"/>
      <c r="D89" s="237"/>
      <c r="E89" s="774"/>
      <c r="F89" s="546"/>
      <c r="G89" s="623"/>
      <c r="H89" s="856"/>
      <c r="I89" s="990"/>
      <c r="J89" s="86"/>
      <c r="K89" s="991"/>
      <c r="L89" s="859">
        <f t="shared" si="41"/>
        <v>0</v>
      </c>
      <c r="M89" s="87"/>
      <c r="N89" s="154">
        <f t="shared" si="42"/>
        <v>0</v>
      </c>
    </row>
    <row r="90" spans="1:15" hidden="1" x14ac:dyDescent="0.3">
      <c r="A90" s="853">
        <f t="shared" si="44"/>
        <v>7</v>
      </c>
      <c r="B90" s="237"/>
      <c r="C90" s="237"/>
      <c r="D90" s="237"/>
      <c r="E90" s="774"/>
      <c r="F90" s="546"/>
      <c r="G90" s="623"/>
      <c r="H90" s="857"/>
      <c r="I90" s="990"/>
      <c r="J90" s="86"/>
      <c r="K90" s="991"/>
      <c r="L90" s="859">
        <f t="shared" si="41"/>
        <v>0</v>
      </c>
      <c r="M90" s="87"/>
      <c r="N90" s="154">
        <f t="shared" ref="N90:N91" si="46">L90*M90*1.2</f>
        <v>0</v>
      </c>
    </row>
    <row r="91" spans="1:15" ht="15" hidden="1" thickBot="1" x14ac:dyDescent="0.35">
      <c r="A91" s="853">
        <f t="shared" si="44"/>
        <v>8</v>
      </c>
      <c r="B91" s="237"/>
      <c r="C91" s="237"/>
      <c r="D91" s="237"/>
      <c r="E91" s="774"/>
      <c r="F91" s="546"/>
      <c r="G91" s="623"/>
      <c r="H91" s="855"/>
      <c r="I91" s="992"/>
      <c r="J91" s="993"/>
      <c r="K91" s="994"/>
      <c r="L91" s="859">
        <f t="shared" si="41"/>
        <v>0</v>
      </c>
      <c r="M91" s="87"/>
      <c r="N91" s="154">
        <f t="shared" si="46"/>
        <v>0</v>
      </c>
    </row>
    <row r="92" spans="1:15" hidden="1" x14ac:dyDescent="0.3">
      <c r="B92" s="550" t="s">
        <v>44</v>
      </c>
      <c r="N92" s="153">
        <f>SUM(N84:N91)</f>
        <v>0</v>
      </c>
    </row>
    <row r="93" spans="1:15" hidden="1" x14ac:dyDescent="0.3">
      <c r="B93" s="751" t="s">
        <v>267</v>
      </c>
      <c r="N93" s="55">
        <f>N78+N92</f>
        <v>136260</v>
      </c>
    </row>
    <row r="94" spans="1:15" hidden="1" x14ac:dyDescent="0.3">
      <c r="N94" s="55"/>
    </row>
    <row r="95" spans="1:15" hidden="1" x14ac:dyDescent="0.3"/>
    <row r="96" spans="1:15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</sheetData>
  <mergeCells count="13">
    <mergeCell ref="N3:N5"/>
    <mergeCell ref="L3:L5"/>
    <mergeCell ref="M3:M5"/>
    <mergeCell ref="D3:D5"/>
    <mergeCell ref="A3:A5"/>
    <mergeCell ref="I3:K3"/>
    <mergeCell ref="G3:G5"/>
    <mergeCell ref="F3:F4"/>
    <mergeCell ref="B3:B5"/>
    <mergeCell ref="C4:C5"/>
    <mergeCell ref="E3:E4"/>
    <mergeCell ref="H3:H4"/>
    <mergeCell ref="J4:K4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3D83-A2C1-4A8A-B39C-94DA0EF6D755}">
  <dimension ref="A1:AG21"/>
  <sheetViews>
    <sheetView zoomScale="80" zoomScaleNormal="8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AE8" sqref="AE8"/>
    </sheetView>
  </sheetViews>
  <sheetFormatPr defaultColWidth="9.109375" defaultRowHeight="17.399999999999999" x14ac:dyDescent="0.3"/>
  <cols>
    <col min="1" max="1" width="12" style="1052" customWidth="1"/>
    <col min="2" max="2" width="18.109375" style="1052" customWidth="1"/>
    <col min="3" max="3" width="9.33203125" style="1057" hidden="1" customWidth="1"/>
    <col min="4" max="4" width="10.88671875" style="1057" customWidth="1"/>
    <col min="5" max="5" width="11.5546875" style="1057" customWidth="1"/>
    <col min="6" max="6" width="9.33203125" style="1052" customWidth="1"/>
    <col min="7" max="7" width="10.109375" style="1061" customWidth="1"/>
    <col min="8" max="8" width="8.6640625" style="1061" customWidth="1"/>
    <col min="9" max="9" width="11.88671875" style="1083" customWidth="1"/>
    <col min="10" max="12" width="7.88671875" style="1083" hidden="1" customWidth="1"/>
    <col min="13" max="13" width="8.44140625" style="1083" hidden="1" customWidth="1"/>
    <col min="14" max="14" width="10.5546875" style="1083" hidden="1" customWidth="1"/>
    <col min="15" max="16" width="9.88671875" style="1083" hidden="1" customWidth="1"/>
    <col min="17" max="17" width="10.5546875" style="1083" hidden="1" customWidth="1"/>
    <col min="18" max="18" width="9.88671875" style="1052" customWidth="1"/>
    <col min="19" max="22" width="10.44140625" style="1052" customWidth="1"/>
    <col min="23" max="23" width="6" style="1052" customWidth="1"/>
    <col min="24" max="24" width="18.88671875" style="1052" customWidth="1"/>
    <col min="25" max="25" width="13.33203125" style="1052" customWidth="1"/>
    <col min="26" max="26" width="12.33203125" style="1052" customWidth="1"/>
    <col min="27" max="27" width="9.44140625" style="1052" customWidth="1"/>
    <col min="28" max="28" width="14.6640625" style="1052" customWidth="1"/>
    <col min="29" max="29" width="14.5546875" style="1052" customWidth="1"/>
    <col min="30" max="30" width="17.109375" style="1056" customWidth="1"/>
    <col min="31" max="31" width="14" style="1052" customWidth="1"/>
    <col min="32" max="32" width="17.33203125" style="1052" hidden="1" customWidth="1"/>
    <col min="33" max="16384" width="9.109375" style="1052"/>
  </cols>
  <sheetData>
    <row r="1" spans="1:33" ht="15" customHeight="1" x14ac:dyDescent="0.3">
      <c r="C1" s="1440" t="s">
        <v>486</v>
      </c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34" t="s">
        <v>464</v>
      </c>
      <c r="T1" s="1053"/>
      <c r="U1" s="1053"/>
      <c r="V1" s="1053"/>
      <c r="W1" s="1053"/>
      <c r="Y1" s="1054"/>
      <c r="Z1" s="1055"/>
    </row>
    <row r="2" spans="1:33" ht="18" thickBot="1" x14ac:dyDescent="0.35">
      <c r="C2" s="1441">
        <v>2025</v>
      </c>
      <c r="D2" s="1441"/>
      <c r="F2" s="1438">
        <v>2026</v>
      </c>
      <c r="G2" s="1438"/>
      <c r="H2" s="1438"/>
      <c r="I2" s="1438"/>
      <c r="J2" s="1438"/>
      <c r="K2" s="1438"/>
      <c r="L2" s="1438"/>
      <c r="M2" s="1438"/>
      <c r="N2" s="1438"/>
      <c r="O2" s="1438"/>
      <c r="P2" s="1438"/>
      <c r="Q2" s="1438"/>
      <c r="S2" s="1434"/>
      <c r="T2" s="1053"/>
      <c r="U2" s="1053"/>
      <c r="V2" s="1053"/>
      <c r="W2" s="1053"/>
      <c r="Y2" s="1054" t="s">
        <v>463</v>
      </c>
      <c r="Z2" s="1180">
        <v>46135</v>
      </c>
    </row>
    <row r="3" spans="1:33" ht="37.5" customHeight="1" thickBot="1" x14ac:dyDescent="0.35">
      <c r="C3" s="1058">
        <v>45992</v>
      </c>
      <c r="D3" s="1059" t="s">
        <v>557</v>
      </c>
      <c r="E3" s="1060" t="s">
        <v>465</v>
      </c>
      <c r="F3" s="1061" t="s">
        <v>197</v>
      </c>
      <c r="G3" s="1062" t="s">
        <v>556</v>
      </c>
      <c r="H3" s="1062" t="s">
        <v>564</v>
      </c>
      <c r="I3" s="1063" t="s">
        <v>595</v>
      </c>
      <c r="J3" s="1083" t="s">
        <v>198</v>
      </c>
      <c r="K3" s="1083" t="s">
        <v>222</v>
      </c>
      <c r="L3" s="1083" t="s">
        <v>231</v>
      </c>
      <c r="M3" s="1083" t="s">
        <v>257</v>
      </c>
      <c r="N3" s="1083" t="s">
        <v>258</v>
      </c>
      <c r="O3" s="1083" t="s">
        <v>371</v>
      </c>
      <c r="P3" s="1063" t="s">
        <v>389</v>
      </c>
      <c r="Q3" s="1063" t="s">
        <v>462</v>
      </c>
      <c r="R3" s="1052" t="s">
        <v>154</v>
      </c>
      <c r="S3" s="1434"/>
      <c r="T3" s="1053"/>
      <c r="U3" s="1053"/>
      <c r="V3" s="1053"/>
      <c r="W3" s="1053"/>
      <c r="X3" s="1445"/>
      <c r="Y3" s="1454" t="s">
        <v>67</v>
      </c>
      <c r="Z3" s="1448" t="s">
        <v>66</v>
      </c>
      <c r="AA3" s="1456" t="s">
        <v>168</v>
      </c>
      <c r="AB3" s="1458" t="s">
        <v>169</v>
      </c>
      <c r="AC3" s="1460" t="s">
        <v>44</v>
      </c>
      <c r="AD3" s="1452" t="s">
        <v>466</v>
      </c>
      <c r="AE3" s="1450" t="s">
        <v>392</v>
      </c>
      <c r="AF3" s="1052" t="s">
        <v>394</v>
      </c>
    </row>
    <row r="4" spans="1:33" ht="18" customHeight="1" thickBot="1" x14ac:dyDescent="0.35">
      <c r="A4" s="1430" t="s">
        <v>221</v>
      </c>
      <c r="B4" s="1431"/>
      <c r="C4" s="1432"/>
      <c r="D4" s="1432"/>
      <c r="E4" s="1432"/>
      <c r="F4" s="1431"/>
      <c r="G4" s="1431"/>
      <c r="H4" s="1431"/>
      <c r="I4" s="1431"/>
      <c r="J4" s="1431"/>
      <c r="K4" s="1431"/>
      <c r="L4" s="1431"/>
      <c r="M4" s="1431"/>
      <c r="N4" s="1431"/>
      <c r="O4" s="1431"/>
      <c r="P4" s="1431"/>
      <c r="Q4" s="1431"/>
      <c r="R4" s="1433"/>
      <c r="S4" s="1434"/>
      <c r="T4" s="1053"/>
      <c r="U4" s="1053"/>
      <c r="V4" s="1053"/>
      <c r="W4" s="1053"/>
      <c r="X4" s="1447"/>
      <c r="Y4" s="1455"/>
      <c r="Z4" s="1449"/>
      <c r="AA4" s="1457"/>
      <c r="AB4" s="1459"/>
      <c r="AC4" s="1461"/>
      <c r="AD4" s="1453"/>
      <c r="AE4" s="1451"/>
    </row>
    <row r="5" spans="1:33" ht="30.75" customHeight="1" x14ac:dyDescent="0.35">
      <c r="A5" s="1064" t="s">
        <v>218</v>
      </c>
      <c r="B5" s="1065" t="s">
        <v>488</v>
      </c>
      <c r="C5" s="1066">
        <v>604</v>
      </c>
      <c r="D5" s="1067">
        <v>4940</v>
      </c>
      <c r="E5" s="1068">
        <v>412</v>
      </c>
      <c r="F5" s="1069">
        <f>'1_квартал'!BJ86</f>
        <v>376</v>
      </c>
      <c r="G5" s="1070">
        <f>'1_квартал'!DS86</f>
        <v>544</v>
      </c>
      <c r="H5" s="1070">
        <f>'1_квартал'!FU86</f>
        <v>508</v>
      </c>
      <c r="I5" s="1249">
        <f>'2_квартал'!CA89</f>
        <v>328</v>
      </c>
      <c r="J5" s="1071"/>
      <c r="K5" s="1071"/>
      <c r="L5" s="1071"/>
      <c r="M5" s="1071"/>
      <c r="N5" s="1071"/>
      <c r="O5" s="1071"/>
      <c r="P5" s="1071"/>
      <c r="Q5" s="1104"/>
      <c r="R5" s="1073">
        <f>SUM(F5:Q5)</f>
        <v>1756</v>
      </c>
      <c r="S5" s="1074">
        <f>ROUND(AVERAGE(F5:Q5),0)</f>
        <v>439</v>
      </c>
      <c r="T5" s="1074"/>
      <c r="U5" s="1074"/>
      <c r="V5" s="1074"/>
      <c r="W5" s="1056"/>
      <c r="X5" s="1075" t="s">
        <v>218</v>
      </c>
      <c r="Y5" s="1195">
        <v>0</v>
      </c>
      <c r="Z5" s="1196">
        <f>'2_квартал'!I89</f>
        <v>6310</v>
      </c>
      <c r="AA5" s="1462" t="s">
        <v>565</v>
      </c>
      <c r="AB5" s="1444" t="s">
        <v>565</v>
      </c>
      <c r="AC5" s="1076">
        <f>SUM(Y5:Z5)</f>
        <v>6310</v>
      </c>
      <c r="AD5" s="1198">
        <f>ROUND(AC5/E5,1)</f>
        <v>15.3</v>
      </c>
      <c r="AE5" s="1445" t="s">
        <v>565</v>
      </c>
    </row>
    <row r="6" spans="1:33" ht="28.5" customHeight="1" x14ac:dyDescent="0.35">
      <c r="A6" s="1077" t="s">
        <v>219</v>
      </c>
      <c r="B6" s="1078" t="s">
        <v>489</v>
      </c>
      <c r="C6" s="1066">
        <v>982</v>
      </c>
      <c r="D6" s="1079">
        <v>7160</v>
      </c>
      <c r="E6" s="1080">
        <v>597</v>
      </c>
      <c r="F6" s="1069">
        <f>'1_квартал'!BJ87</f>
        <v>768</v>
      </c>
      <c r="G6" s="1070">
        <f>'1_квартал'!DS87</f>
        <v>876</v>
      </c>
      <c r="H6" s="1070">
        <f>'1_квартал'!FU87</f>
        <v>712</v>
      </c>
      <c r="I6" s="1249">
        <f>'2_квартал'!CA90</f>
        <v>548</v>
      </c>
      <c r="J6" s="1190"/>
      <c r="K6" s="1071"/>
      <c r="L6" s="1071"/>
      <c r="M6" s="1071"/>
      <c r="N6" s="1071"/>
      <c r="O6" s="1071"/>
      <c r="P6" s="1071"/>
      <c r="Q6" s="1104"/>
      <c r="R6" s="1073">
        <f t="shared" ref="R6:R9" si="0">SUM(F6:Q6)</f>
        <v>2904</v>
      </c>
      <c r="S6" s="1074">
        <f t="shared" ref="S6:S8" si="1">ROUND(AVERAGE(F6:Q6),0)</f>
        <v>726</v>
      </c>
      <c r="T6" s="1074"/>
      <c r="U6" s="1074"/>
      <c r="V6" s="1074"/>
      <c r="W6" s="1056"/>
      <c r="X6" s="1081" t="s">
        <v>219</v>
      </c>
      <c r="Y6" s="1240">
        <v>0</v>
      </c>
      <c r="Z6" s="1197">
        <f>'2_квартал'!I90</f>
        <v>5692</v>
      </c>
      <c r="AA6" s="1462"/>
      <c r="AB6" s="1444"/>
      <c r="AC6" s="1082">
        <f>SUM(Y6:Z6)</f>
        <v>5692</v>
      </c>
      <c r="AD6" s="1199">
        <f t="shared" ref="AD6:AD7" si="2">ROUND(AC6/E6,1)</f>
        <v>9.5</v>
      </c>
      <c r="AE6" s="1446"/>
      <c r="AG6" s="1181"/>
    </row>
    <row r="7" spans="1:33" ht="28.5" customHeight="1" thickBot="1" x14ac:dyDescent="0.4">
      <c r="A7" s="1084" t="s">
        <v>64</v>
      </c>
      <c r="B7" s="1085" t="s">
        <v>490</v>
      </c>
      <c r="C7" s="1066">
        <v>2496</v>
      </c>
      <c r="D7" s="1079">
        <v>26240</v>
      </c>
      <c r="E7" s="1080">
        <v>2187</v>
      </c>
      <c r="F7" s="1069">
        <f>'1_квартал'!BJ88</f>
        <v>1952</v>
      </c>
      <c r="G7" s="1070">
        <f>'1_квартал'!DS88</f>
        <v>2512</v>
      </c>
      <c r="H7" s="1070">
        <f>'1_квартал'!FU88</f>
        <v>1996</v>
      </c>
      <c r="I7" s="1249">
        <f>'2_квартал'!CA91</f>
        <v>2148</v>
      </c>
      <c r="J7" s="1071"/>
      <c r="K7" s="1071"/>
      <c r="L7" s="1071"/>
      <c r="M7" s="1071"/>
      <c r="N7" s="1071"/>
      <c r="O7" s="1071"/>
      <c r="P7" s="1071"/>
      <c r="Q7" s="1104"/>
      <c r="R7" s="1073">
        <f t="shared" si="0"/>
        <v>8608</v>
      </c>
      <c r="S7" s="1074">
        <f t="shared" si="1"/>
        <v>2152</v>
      </c>
      <c r="T7" s="1074"/>
      <c r="U7" s="1074"/>
      <c r="V7" s="1074"/>
      <c r="W7" s="1056"/>
      <c r="X7" s="1086" t="s">
        <v>64</v>
      </c>
      <c r="Y7" s="1241">
        <v>5000</v>
      </c>
      <c r="Z7" s="1201">
        <f>'2_квартал'!I91</f>
        <v>5176</v>
      </c>
      <c r="AA7" s="1462"/>
      <c r="AB7" s="1444"/>
      <c r="AC7" s="1200">
        <f>SUM(Y7:Z7)</f>
        <v>10176</v>
      </c>
      <c r="AD7" s="1202">
        <f t="shared" si="2"/>
        <v>4.7</v>
      </c>
      <c r="AE7" s="1192">
        <f>37850-10000-10000</f>
        <v>17850</v>
      </c>
      <c r="AF7" s="1087" t="s">
        <v>467</v>
      </c>
      <c r="AG7" s="1181"/>
    </row>
    <row r="8" spans="1:33" ht="29.1" customHeight="1" thickBot="1" x14ac:dyDescent="0.4">
      <c r="A8" s="1064" t="s">
        <v>220</v>
      </c>
      <c r="B8" s="1065" t="s">
        <v>491</v>
      </c>
      <c r="C8" s="1066">
        <v>892</v>
      </c>
      <c r="D8" s="1079">
        <v>14580</v>
      </c>
      <c r="E8" s="1080">
        <v>1215</v>
      </c>
      <c r="F8" s="1088">
        <f>'1_квартал'!BJ89</f>
        <v>312</v>
      </c>
      <c r="G8" s="1070">
        <f>'1_квартал'!DS89</f>
        <v>776</v>
      </c>
      <c r="H8" s="1070">
        <f>'1_квартал'!FU89</f>
        <v>464</v>
      </c>
      <c r="I8" s="1249">
        <f>'2_квартал'!CA92</f>
        <v>1044</v>
      </c>
      <c r="J8" s="1104"/>
      <c r="K8" s="1071"/>
      <c r="L8" s="1071"/>
      <c r="M8" s="1071"/>
      <c r="N8" s="1071"/>
      <c r="O8" s="1071"/>
      <c r="P8" s="1071"/>
      <c r="Q8" s="1104"/>
      <c r="R8" s="1073">
        <f t="shared" si="0"/>
        <v>2596</v>
      </c>
      <c r="S8" s="1074">
        <f t="shared" si="1"/>
        <v>649</v>
      </c>
      <c r="T8" s="1074"/>
      <c r="U8" s="1074"/>
      <c r="V8" s="1074"/>
      <c r="W8" s="1056"/>
      <c r="X8" s="1090" t="s">
        <v>220</v>
      </c>
      <c r="Y8" s="1242">
        <v>5000</v>
      </c>
      <c r="Z8" s="1100">
        <f>'2_квартал'!I92</f>
        <v>7556</v>
      </c>
      <c r="AA8" s="1244">
        <f>'2_квартал'!D103-I11</f>
        <v>5255</v>
      </c>
      <c r="AB8" s="1245">
        <f>'2_квартал'!E103+'2_квартал'!E105-I15-I17</f>
        <v>5852</v>
      </c>
      <c r="AC8" s="1203">
        <f>SUM(Y8:AB8)</f>
        <v>23663</v>
      </c>
      <c r="AD8" s="1091">
        <f>ROUND(AC8/E20,1)</f>
        <v>13.6</v>
      </c>
      <c r="AE8" s="1101">
        <f>40000-10000</f>
        <v>30000</v>
      </c>
      <c r="AF8" s="1087" t="s">
        <v>468</v>
      </c>
      <c r="AG8" s="1181"/>
    </row>
    <row r="9" spans="1:33" ht="29.1" customHeight="1" thickBot="1" x14ac:dyDescent="0.4">
      <c r="A9" s="1092" t="s">
        <v>196</v>
      </c>
      <c r="B9" s="1093" t="s">
        <v>492</v>
      </c>
      <c r="C9" s="1066">
        <v>1224</v>
      </c>
      <c r="D9" s="1094">
        <v>5196</v>
      </c>
      <c r="E9" s="1095">
        <v>742</v>
      </c>
      <c r="F9" s="1088">
        <f>'1_квартал'!BJ90</f>
        <v>1120</v>
      </c>
      <c r="G9" s="1070">
        <f>'1_квартал'!DS90</f>
        <v>1244</v>
      </c>
      <c r="H9" s="1070">
        <f>'1_квартал'!FU90</f>
        <v>648</v>
      </c>
      <c r="I9" s="1249">
        <f>'2_квартал'!CA93</f>
        <v>1400</v>
      </c>
      <c r="J9" s="1104"/>
      <c r="K9" s="1071"/>
      <c r="L9" s="1071"/>
      <c r="M9" s="1071"/>
      <c r="N9" s="1071"/>
      <c r="O9" s="1071"/>
      <c r="P9" s="1071"/>
      <c r="Q9" s="1104"/>
      <c r="R9" s="1073">
        <f t="shared" si="0"/>
        <v>4412</v>
      </c>
      <c r="S9" s="1074">
        <f>ROUND(AVERAGE(F9:Q9),0)</f>
        <v>1103</v>
      </c>
      <c r="T9" s="1074"/>
      <c r="U9" s="1074"/>
      <c r="V9" s="1074"/>
      <c r="W9" s="1056"/>
      <c r="X9" s="1096" t="s">
        <v>196</v>
      </c>
      <c r="Y9" s="1243">
        <v>0</v>
      </c>
      <c r="Z9" s="1196">
        <f>'2_квартал'!I93</f>
        <v>4180</v>
      </c>
      <c r="AA9" s="1246" t="s">
        <v>565</v>
      </c>
      <c r="AB9" s="1247" t="s">
        <v>565</v>
      </c>
      <c r="AC9" s="1200">
        <f>SUM(Y9:Z9)</f>
        <v>4180</v>
      </c>
      <c r="AD9" s="1202">
        <f>ROUND(AC9/E9,1)</f>
        <v>5.6</v>
      </c>
      <c r="AE9" s="1204" t="s">
        <v>565</v>
      </c>
      <c r="AF9" s="1097"/>
      <c r="AG9" s="1181"/>
    </row>
    <row r="10" spans="1:33" ht="18.75" customHeight="1" thickBot="1" x14ac:dyDescent="0.35">
      <c r="A10" s="1435" t="s">
        <v>168</v>
      </c>
      <c r="B10" s="1436"/>
      <c r="C10" s="1432"/>
      <c r="D10" s="1432"/>
      <c r="E10" s="1432"/>
      <c r="F10" s="1436"/>
      <c r="G10" s="1436"/>
      <c r="H10" s="1436"/>
      <c r="I10" s="1436"/>
      <c r="J10" s="1436"/>
      <c r="K10" s="1436"/>
      <c r="L10" s="1436"/>
      <c r="M10" s="1436"/>
      <c r="N10" s="1436"/>
      <c r="O10" s="1436"/>
      <c r="P10" s="1436"/>
      <c r="Q10" s="1436"/>
      <c r="R10" s="1437"/>
      <c r="S10" s="1056"/>
      <c r="T10" s="1056"/>
      <c r="U10" s="1056"/>
      <c r="V10" s="1056"/>
      <c r="W10" s="1056"/>
      <c r="X10" s="1098" t="s">
        <v>227</v>
      </c>
      <c r="Y10" s="1099">
        <f>'1_квартал'!C103</f>
        <v>5000</v>
      </c>
      <c r="Z10" s="1182"/>
      <c r="AA10" s="1244">
        <f>'2_квартал'!D106-I12</f>
        <v>3249</v>
      </c>
      <c r="AB10" s="1248">
        <f>'2_квартал'!E106-I16</f>
        <v>2856</v>
      </c>
      <c r="AC10" s="1193">
        <f>SUM(Y10:AB10)</f>
        <v>11105</v>
      </c>
      <c r="AD10" s="1091">
        <f>ROUND(AC10/E21,1)</f>
        <v>9.1999999999999993</v>
      </c>
      <c r="AE10" s="1101">
        <v>40000</v>
      </c>
      <c r="AF10" s="1087" t="s">
        <v>469</v>
      </c>
    </row>
    <row r="11" spans="1:33" ht="29.1" customHeight="1" x14ac:dyDescent="0.3">
      <c r="A11" s="1064" t="s">
        <v>220</v>
      </c>
      <c r="B11" s="1065" t="s">
        <v>488</v>
      </c>
      <c r="C11" s="1066">
        <v>0</v>
      </c>
      <c r="D11" s="1102">
        <v>2760</v>
      </c>
      <c r="E11" s="1068">
        <v>230</v>
      </c>
      <c r="F11" s="1103">
        <v>0</v>
      </c>
      <c r="G11" s="1072">
        <v>25</v>
      </c>
      <c r="H11" s="1072">
        <v>480</v>
      </c>
      <c r="I11" s="1104">
        <v>200</v>
      </c>
      <c r="J11" s="1104"/>
      <c r="K11" s="1104"/>
      <c r="L11" s="1104"/>
      <c r="M11" s="1104"/>
      <c r="N11" s="1104"/>
      <c r="O11" s="1104"/>
      <c r="P11" s="1104"/>
      <c r="Q11" s="1104"/>
      <c r="R11" s="1073">
        <f t="shared" ref="R11:R13" si="3">SUM(F11:Q11)</f>
        <v>705</v>
      </c>
      <c r="S11" s="1074">
        <f t="shared" ref="S11" si="4">ROUND(AVERAGE(F11:Q11),0)</f>
        <v>176</v>
      </c>
      <c r="T11" s="1074"/>
      <c r="U11" s="1074"/>
      <c r="V11" s="1074"/>
      <c r="W11" s="1056"/>
      <c r="X11" s="1194"/>
      <c r="Y11" s="1194"/>
      <c r="Z11" s="1194"/>
      <c r="AA11" s="1194"/>
      <c r="AB11" s="1194"/>
      <c r="AC11" s="1194"/>
      <c r="AD11" s="1194"/>
      <c r="AE11" s="1194"/>
      <c r="AF11" s="1194"/>
    </row>
    <row r="12" spans="1:33" ht="29.1" customHeight="1" x14ac:dyDescent="0.3">
      <c r="A12" s="1089" t="s">
        <v>223</v>
      </c>
      <c r="B12" s="1105" t="s">
        <v>224</v>
      </c>
      <c r="C12" s="1106">
        <v>900</v>
      </c>
      <c r="D12" s="1107">
        <v>12732</v>
      </c>
      <c r="E12" s="1108">
        <v>1061</v>
      </c>
      <c r="F12" s="1103">
        <v>580</v>
      </c>
      <c r="G12" s="1072">
        <v>600</v>
      </c>
      <c r="H12" s="1072">
        <v>720</v>
      </c>
      <c r="I12" s="1104">
        <v>560</v>
      </c>
      <c r="J12" s="1104"/>
      <c r="K12" s="1104"/>
      <c r="L12" s="1104"/>
      <c r="M12" s="1104"/>
      <c r="N12" s="1104"/>
      <c r="O12" s="1104"/>
      <c r="P12" s="1104"/>
      <c r="Q12" s="1104"/>
      <c r="R12" s="1073">
        <f>SUM(F12:Q12)</f>
        <v>2460</v>
      </c>
      <c r="S12" s="1074">
        <f>ROUND(AVERAGE(F12:Q12),0)</f>
        <v>615</v>
      </c>
      <c r="T12" s="1074"/>
      <c r="U12" s="1074"/>
      <c r="V12" s="1074"/>
      <c r="W12" s="1056"/>
      <c r="X12" s="1112" t="s">
        <v>487</v>
      </c>
      <c r="Y12" s="1113">
        <f>SUM(Y5:Y10)</f>
        <v>15000</v>
      </c>
      <c r="Z12" s="1113">
        <f t="shared" ref="Z12:AE12" si="5">SUM(Z5:Z10)</f>
        <v>28914</v>
      </c>
      <c r="AA12" s="1113">
        <f t="shared" si="5"/>
        <v>8504</v>
      </c>
      <c r="AB12" s="1113">
        <f t="shared" si="5"/>
        <v>8708</v>
      </c>
      <c r="AC12" s="1113">
        <f t="shared" si="5"/>
        <v>61126</v>
      </c>
      <c r="AD12" s="1113"/>
      <c r="AE12" s="1113">
        <f t="shared" si="5"/>
        <v>87850</v>
      </c>
    </row>
    <row r="13" spans="1:33" ht="29.1" customHeight="1" thickBot="1" x14ac:dyDescent="0.35">
      <c r="A13" s="1105" t="s">
        <v>225</v>
      </c>
      <c r="B13" s="1109" t="s">
        <v>493</v>
      </c>
      <c r="C13" s="1106">
        <v>580</v>
      </c>
      <c r="D13" s="1110">
        <v>820</v>
      </c>
      <c r="E13" s="1111">
        <v>410</v>
      </c>
      <c r="F13" s="1103">
        <v>160</v>
      </c>
      <c r="G13" s="1072">
        <v>255</v>
      </c>
      <c r="H13" s="1072"/>
      <c r="I13" s="1104"/>
      <c r="J13" s="1104"/>
      <c r="K13" s="1104"/>
      <c r="L13" s="1104"/>
      <c r="M13" s="1104"/>
      <c r="N13" s="1104"/>
      <c r="O13" s="1104"/>
      <c r="P13" s="1104"/>
      <c r="Q13" s="1104"/>
      <c r="R13" s="1073">
        <f t="shared" si="3"/>
        <v>415</v>
      </c>
      <c r="S13" s="1074">
        <f>ROUND(AVERAGE(F13:Q13),0)</f>
        <v>208</v>
      </c>
      <c r="T13" s="1074"/>
      <c r="U13" s="1074"/>
      <c r="V13" s="1074"/>
      <c r="W13" s="1056"/>
    </row>
    <row r="14" spans="1:33" ht="18" customHeight="1" thickBot="1" x14ac:dyDescent="0.35">
      <c r="A14" s="1430" t="s">
        <v>169</v>
      </c>
      <c r="B14" s="1431"/>
      <c r="C14" s="1432"/>
      <c r="D14" s="1432"/>
      <c r="E14" s="1432"/>
      <c r="F14" s="1431"/>
      <c r="G14" s="1431"/>
      <c r="H14" s="1431"/>
      <c r="I14" s="1431"/>
      <c r="J14" s="1431"/>
      <c r="K14" s="1431"/>
      <c r="L14" s="1431"/>
      <c r="M14" s="1431"/>
      <c r="N14" s="1431"/>
      <c r="O14" s="1431"/>
      <c r="P14" s="1431"/>
      <c r="Q14" s="1431"/>
      <c r="R14" s="1433"/>
      <c r="S14" s="1056"/>
      <c r="T14" s="1056"/>
      <c r="U14" s="1056"/>
      <c r="V14" s="1056"/>
      <c r="W14" s="1056"/>
    </row>
    <row r="15" spans="1:33" ht="29.1" customHeight="1" x14ac:dyDescent="0.3">
      <c r="A15" s="1064" t="s">
        <v>220</v>
      </c>
      <c r="B15" s="1065" t="s">
        <v>491</v>
      </c>
      <c r="C15" s="1066">
        <v>60</v>
      </c>
      <c r="D15" s="1067">
        <v>3420</v>
      </c>
      <c r="E15" s="1068">
        <v>285</v>
      </c>
      <c r="F15" s="1103">
        <v>480</v>
      </c>
      <c r="G15" s="1072">
        <v>0</v>
      </c>
      <c r="H15" s="1072">
        <v>0</v>
      </c>
      <c r="I15" s="1104">
        <v>160</v>
      </c>
      <c r="J15" s="1104"/>
      <c r="K15" s="1104"/>
      <c r="L15" s="1104"/>
      <c r="M15" s="1104"/>
      <c r="N15" s="1104"/>
      <c r="O15" s="1191"/>
      <c r="P15" s="1104"/>
      <c r="Q15" s="1104"/>
      <c r="R15" s="1073">
        <f>SUM(F15:Q15)</f>
        <v>640</v>
      </c>
      <c r="S15" s="1074">
        <f>ROUND(AVERAGE(F15:Q15),0)</f>
        <v>160</v>
      </c>
      <c r="T15" s="1074"/>
      <c r="U15" s="1074"/>
      <c r="V15" s="1074"/>
      <c r="W15" s="1056"/>
    </row>
    <row r="16" spans="1:33" ht="29.1" customHeight="1" x14ac:dyDescent="0.3">
      <c r="A16" s="1089" t="s">
        <v>223</v>
      </c>
      <c r="B16" s="1105" t="s">
        <v>224</v>
      </c>
      <c r="C16" s="1106">
        <v>0</v>
      </c>
      <c r="D16" s="1114">
        <v>1738</v>
      </c>
      <c r="E16" s="1108">
        <v>145</v>
      </c>
      <c r="F16" s="1087">
        <v>0</v>
      </c>
      <c r="G16" s="1072">
        <v>59</v>
      </c>
      <c r="H16" s="1072">
        <v>0</v>
      </c>
      <c r="I16" s="1104">
        <v>0</v>
      </c>
      <c r="J16" s="1104"/>
      <c r="K16" s="1104"/>
      <c r="L16" s="1104"/>
      <c r="M16" s="1104"/>
      <c r="N16" s="1104"/>
      <c r="O16" s="1104"/>
      <c r="P16" s="1104"/>
      <c r="Q16" s="1104"/>
      <c r="R16" s="1073">
        <f>SUM(F16:Q16)</f>
        <v>59</v>
      </c>
      <c r="S16" s="1074">
        <f t="shared" ref="S16:S17" si="6">ROUND(AVERAGE(F16:Q16),0)</f>
        <v>15</v>
      </c>
      <c r="T16" s="1074"/>
      <c r="U16" s="1074"/>
      <c r="V16" s="1074"/>
      <c r="W16" s="1056"/>
    </row>
    <row r="17" spans="1:24" ht="29.1" customHeight="1" x14ac:dyDescent="0.3">
      <c r="A17" s="1430" t="s">
        <v>393</v>
      </c>
      <c r="B17" s="1431"/>
      <c r="C17" s="1106">
        <v>0</v>
      </c>
      <c r="D17" s="1114">
        <v>120</v>
      </c>
      <c r="E17" s="1108">
        <v>10</v>
      </c>
      <c r="F17" s="1087">
        <v>0</v>
      </c>
      <c r="G17" s="1072">
        <v>0</v>
      </c>
      <c r="H17" s="1072">
        <v>112</v>
      </c>
      <c r="I17" s="1104"/>
      <c r="J17" s="1104"/>
      <c r="K17" s="1104"/>
      <c r="L17" s="1104"/>
      <c r="M17" s="1104"/>
      <c r="N17" s="1104"/>
      <c r="O17" s="1104"/>
      <c r="P17" s="1104"/>
      <c r="Q17" s="1104"/>
      <c r="R17" s="1073">
        <f t="shared" ref="R17" si="7">SUM(F17:Q17)</f>
        <v>112</v>
      </c>
      <c r="S17" s="1074">
        <f t="shared" si="6"/>
        <v>37</v>
      </c>
      <c r="T17" s="1074"/>
      <c r="U17" s="1074"/>
      <c r="V17" s="1074"/>
      <c r="W17" s="1056"/>
    </row>
    <row r="18" spans="1:24" ht="29.1" customHeight="1" thickBot="1" x14ac:dyDescent="0.35">
      <c r="A18" s="1105" t="s">
        <v>225</v>
      </c>
      <c r="B18" s="1115" t="s">
        <v>226</v>
      </c>
      <c r="C18" s="1106">
        <v>0</v>
      </c>
      <c r="D18" s="1116">
        <v>200</v>
      </c>
      <c r="E18" s="1111">
        <v>17</v>
      </c>
      <c r="F18" s="1439" t="s">
        <v>524</v>
      </c>
      <c r="G18" s="1431"/>
      <c r="H18" s="1431"/>
      <c r="I18" s="1431"/>
      <c r="J18" s="1431"/>
      <c r="K18" s="1431"/>
      <c r="L18" s="1431"/>
      <c r="M18" s="1431"/>
      <c r="N18" s="1431"/>
      <c r="O18" s="1431"/>
      <c r="P18" s="1431"/>
      <c r="Q18" s="1431"/>
      <c r="R18" s="1433"/>
      <c r="S18" s="1074"/>
      <c r="T18" s="1074"/>
      <c r="U18" s="1074"/>
      <c r="V18" s="1074"/>
      <c r="W18" s="1056"/>
    </row>
    <row r="19" spans="1:24" ht="18" customHeight="1" thickBot="1" x14ac:dyDescent="0.35">
      <c r="A19" s="1429" t="s">
        <v>171</v>
      </c>
      <c r="B19" s="1429"/>
      <c r="C19" s="1117"/>
      <c r="D19" s="1117"/>
      <c r="E19" s="1117"/>
      <c r="R19" s="1118">
        <f>SUM(R5:R18)</f>
        <v>24667</v>
      </c>
      <c r="S19" s="1056"/>
      <c r="T19" s="1056"/>
      <c r="U19" s="1056"/>
      <c r="V19" s="1056"/>
      <c r="W19" s="1056"/>
    </row>
    <row r="20" spans="1:24" ht="29.1" customHeight="1" x14ac:dyDescent="0.3">
      <c r="A20" s="1064" t="s">
        <v>220</v>
      </c>
      <c r="B20" s="1065" t="s">
        <v>488</v>
      </c>
      <c r="C20" s="1119">
        <f>C11+C15+C17</f>
        <v>60</v>
      </c>
      <c r="D20" s="1120">
        <f>D11+D15+D17</f>
        <v>6300</v>
      </c>
      <c r="E20" s="1121">
        <f>E11+E15+E17+E8</f>
        <v>1740</v>
      </c>
      <c r="F20" s="1442" t="s">
        <v>566</v>
      </c>
      <c r="G20" s="1443"/>
      <c r="H20" s="1443"/>
      <c r="I20" s="1443"/>
      <c r="J20" s="1443"/>
      <c r="K20" s="1443"/>
      <c r="L20" s="1443"/>
      <c r="M20" s="1443"/>
      <c r="N20" s="1443"/>
      <c r="O20" s="1443"/>
      <c r="P20" s="1443"/>
      <c r="Q20" s="1443"/>
      <c r="R20" s="1443"/>
      <c r="S20" s="1056">
        <f>S11+S15+S17+S8</f>
        <v>1022</v>
      </c>
      <c r="T20" s="1083"/>
      <c r="U20" s="1083"/>
      <c r="V20" s="1083"/>
      <c r="X20" s="1122"/>
    </row>
    <row r="21" spans="1:24" ht="29.1" customHeight="1" thickBot="1" x14ac:dyDescent="0.35">
      <c r="A21" s="1089" t="s">
        <v>223</v>
      </c>
      <c r="B21" s="1105" t="s">
        <v>224</v>
      </c>
      <c r="C21" s="1119">
        <f>C12+C16</f>
        <v>900</v>
      </c>
      <c r="D21" s="1123">
        <f>D12+D16</f>
        <v>14470</v>
      </c>
      <c r="E21" s="1124">
        <f>E12+E16</f>
        <v>1206</v>
      </c>
      <c r="F21" s="1442" t="s">
        <v>558</v>
      </c>
      <c r="G21" s="1443"/>
      <c r="H21" s="1443"/>
      <c r="I21" s="1443"/>
      <c r="J21" s="1443"/>
      <c r="K21" s="1443"/>
      <c r="L21" s="1443"/>
      <c r="M21" s="1443"/>
      <c r="N21" s="1443"/>
      <c r="O21" s="1443"/>
      <c r="P21" s="1443"/>
      <c r="Q21" s="1443"/>
      <c r="R21" s="1443"/>
      <c r="S21" s="1056">
        <f>S12+S16</f>
        <v>630</v>
      </c>
      <c r="T21" s="1083"/>
      <c r="U21" s="1083"/>
      <c r="V21" s="1083"/>
    </row>
  </sheetData>
  <mergeCells count="23">
    <mergeCell ref="F20:R20"/>
    <mergeCell ref="F21:R21"/>
    <mergeCell ref="AB5:AB7"/>
    <mergeCell ref="AE5:AE6"/>
    <mergeCell ref="X3:X4"/>
    <mergeCell ref="Z3:Z4"/>
    <mergeCell ref="AE3:AE4"/>
    <mergeCell ref="AD3:AD4"/>
    <mergeCell ref="Y3:Y4"/>
    <mergeCell ref="AA3:AA4"/>
    <mergeCell ref="AB3:AB4"/>
    <mergeCell ref="AC3:AC4"/>
    <mergeCell ref="AA5:AA7"/>
    <mergeCell ref="A19:B19"/>
    <mergeCell ref="A4:R4"/>
    <mergeCell ref="S1:S4"/>
    <mergeCell ref="A10:R10"/>
    <mergeCell ref="A17:B17"/>
    <mergeCell ref="A14:R14"/>
    <mergeCell ref="F2:Q2"/>
    <mergeCell ref="F18:R18"/>
    <mergeCell ref="C1:R1"/>
    <mergeCell ref="C2:D2"/>
  </mergeCells>
  <phoneticPr fontId="6" type="noConversion"/>
  <pageMargins left="0.11811023622047244" right="0.11811023622047244" top="0.19685039370078741" bottom="0.19685039370078741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776B-F842-408A-8CB2-1793AFC84659}">
  <dimension ref="A1:H8"/>
  <sheetViews>
    <sheetView workbookViewId="0">
      <selection activeCell="A5" sqref="A5:A8"/>
    </sheetView>
  </sheetViews>
  <sheetFormatPr defaultColWidth="9.109375" defaultRowHeight="14.4" x14ac:dyDescent="0.3"/>
  <cols>
    <col min="1" max="1" width="9.109375" style="52"/>
    <col min="2" max="2" width="31.33203125" style="52" customWidth="1"/>
    <col min="3" max="4" width="12.6640625" style="52" customWidth="1"/>
    <col min="5" max="6" width="14.5546875" style="550" customWidth="1"/>
    <col min="7" max="7" width="12.6640625" style="52" customWidth="1"/>
    <col min="8" max="16384" width="9.109375" style="52"/>
  </cols>
  <sheetData>
    <row r="1" spans="1:8" ht="15" customHeight="1" x14ac:dyDescent="0.3">
      <c r="C1" s="818">
        <v>2025</v>
      </c>
      <c r="E1" s="624" t="s">
        <v>526</v>
      </c>
      <c r="F1" s="1465" t="s">
        <v>533</v>
      </c>
      <c r="G1" s="1463" t="s">
        <v>525</v>
      </c>
    </row>
    <row r="2" spans="1:8" x14ac:dyDescent="0.3">
      <c r="C2" s="818" t="s">
        <v>37</v>
      </c>
      <c r="D2" s="818" t="s">
        <v>42</v>
      </c>
      <c r="E2" s="624" t="s">
        <v>527</v>
      </c>
      <c r="F2" s="1465"/>
      <c r="G2" s="1463"/>
    </row>
    <row r="3" spans="1:8" s="974" customFormat="1" x14ac:dyDescent="0.3">
      <c r="A3" s="1464" t="s">
        <v>532</v>
      </c>
      <c r="B3" s="1464"/>
      <c r="C3" s="973">
        <v>154.94999999999999</v>
      </c>
      <c r="D3" s="973">
        <v>113.2</v>
      </c>
      <c r="E3" s="978">
        <v>148.80000000000001</v>
      </c>
      <c r="F3" s="1466"/>
      <c r="G3" s="1420"/>
    </row>
    <row r="4" spans="1:8" x14ac:dyDescent="0.3">
      <c r="A4" s="980">
        <v>1</v>
      </c>
      <c r="B4" s="975" t="s">
        <v>27</v>
      </c>
      <c r="C4" s="970">
        <v>217.48</v>
      </c>
      <c r="D4" s="971">
        <f>260.88+37.51</f>
        <v>298.39</v>
      </c>
      <c r="E4" s="979">
        <v>613</v>
      </c>
      <c r="F4" s="976">
        <f>ROUND(AVERAGE(C4:E4),0)</f>
        <v>376</v>
      </c>
      <c r="G4" s="977">
        <v>349.5</v>
      </c>
    </row>
    <row r="5" spans="1:8" x14ac:dyDescent="0.3">
      <c r="A5" s="980">
        <f>A4+1</f>
        <v>2</v>
      </c>
      <c r="B5" s="969" t="s">
        <v>36</v>
      </c>
      <c r="C5" s="970">
        <f>3476.96+8201</f>
        <v>11677.96</v>
      </c>
      <c r="D5" s="971">
        <f>1799+9632</f>
        <v>11431</v>
      </c>
      <c r="E5" s="979">
        <v>13000</v>
      </c>
      <c r="F5" s="976">
        <f t="shared" ref="F5:F8" si="0">ROUND(AVERAGE(C5:E5),0)</f>
        <v>12036</v>
      </c>
      <c r="G5" s="977">
        <v>1369.83</v>
      </c>
      <c r="H5" s="52" t="s">
        <v>528</v>
      </c>
    </row>
    <row r="6" spans="1:8" x14ac:dyDescent="0.3">
      <c r="A6" s="980">
        <f t="shared" ref="A6:A8" si="1">A5+1</f>
        <v>3</v>
      </c>
      <c r="B6" s="38" t="s">
        <v>216</v>
      </c>
      <c r="C6" s="970">
        <f>703.06+3464.4</f>
        <v>4167.46</v>
      </c>
      <c r="D6" s="971">
        <v>3691.56</v>
      </c>
      <c r="E6" s="979">
        <v>4325.3</v>
      </c>
      <c r="F6" s="976">
        <f t="shared" si="0"/>
        <v>4061</v>
      </c>
      <c r="G6" s="54">
        <v>2518.71</v>
      </c>
      <c r="H6" s="52" t="s">
        <v>529</v>
      </c>
    </row>
    <row r="7" spans="1:8" x14ac:dyDescent="0.3">
      <c r="A7" s="980">
        <f t="shared" si="1"/>
        <v>4</v>
      </c>
      <c r="B7" s="969" t="s">
        <v>46</v>
      </c>
      <c r="C7" s="970">
        <f>2753.23+8669.06</f>
        <v>11422.289999999999</v>
      </c>
      <c r="D7" s="25">
        <v>7241.79</v>
      </c>
      <c r="E7" s="979">
        <v>11098</v>
      </c>
      <c r="F7" s="976">
        <f t="shared" si="0"/>
        <v>9921</v>
      </c>
      <c r="G7" s="54">
        <v>2991.07</v>
      </c>
      <c r="H7" s="52" t="s">
        <v>530</v>
      </c>
    </row>
    <row r="8" spans="1:8" x14ac:dyDescent="0.3">
      <c r="A8" s="980">
        <f t="shared" si="1"/>
        <v>5</v>
      </c>
      <c r="B8" s="969" t="s">
        <v>47</v>
      </c>
      <c r="C8" s="970">
        <f>968.89+2357.72</f>
        <v>3326.6099999999997</v>
      </c>
      <c r="D8" s="972">
        <v>2923.56</v>
      </c>
      <c r="E8" s="979">
        <v>5348.4</v>
      </c>
      <c r="F8" s="976">
        <f t="shared" si="0"/>
        <v>3866</v>
      </c>
      <c r="G8" s="54">
        <v>1170.3499999999999</v>
      </c>
      <c r="H8" s="52" t="s">
        <v>531</v>
      </c>
    </row>
  </sheetData>
  <mergeCells count="3">
    <mergeCell ref="G1:G3"/>
    <mergeCell ref="A3:B3"/>
    <mergeCell ref="F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Легенда</vt:lpstr>
      <vt:lpstr>1_квартал</vt:lpstr>
      <vt:lpstr>2_квартал</vt:lpstr>
      <vt:lpstr>3_квартал</vt:lpstr>
      <vt:lpstr>4_квартал</vt:lpstr>
      <vt:lpstr>Потребность</vt:lpstr>
      <vt:lpstr>Расход мешков на площадках</vt:lpstr>
      <vt:lpstr>Кормовит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Гаврилюк</dc:creator>
  <cp:lastModifiedBy>Андрей Кузнецов</cp:lastModifiedBy>
  <cp:lastPrinted>2026-04-23T11:52:04Z</cp:lastPrinted>
  <dcterms:created xsi:type="dcterms:W3CDTF">2015-06-05T18:19:34Z</dcterms:created>
  <dcterms:modified xsi:type="dcterms:W3CDTF">2026-06-10T10:14:10Z</dcterms:modified>
</cp:coreProperties>
</file>